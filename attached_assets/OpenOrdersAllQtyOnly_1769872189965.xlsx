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F:\Daily Reports\"/>
    </mc:Choice>
  </mc:AlternateContent>
  <xr:revisionPtr revIDLastSave="0" documentId="8_{E5CB228E-1BFF-4059-9AD3-F04CD8949E4C}" xr6:coauthVersionLast="47" xr6:coauthVersionMax="47" xr10:uidLastSave="{00000000-0000-0000-0000-000000000000}"/>
  <bookViews>
    <workbookView minimized="1" xWindow="14265" yWindow="555" windowWidth="34020" windowHeight="19845" xr2:uid="{00000000-000D-0000-FFFF-FFFF00000000}"/>
  </bookViews>
  <sheets>
    <sheet name="data" sheetId="5" r:id="rId1"/>
    <sheet name="Param" sheetId="2" state="hidden" r:id="rId2"/>
    <sheet name="Sheet3" sheetId="3" r:id="rId3"/>
  </sheets>
  <definedNames>
    <definedName name="ARDivisionNo" localSheetId="0">data!$F:$F</definedName>
    <definedName name="BillToName" localSheetId="0">data!$G:$G</definedName>
    <definedName name="Calendar">#REF!</definedName>
    <definedName name="CustomerPONo" localSheetId="0">data!$H:$H</definedName>
    <definedName name="Department" localSheetId="0">data!$I:$I</definedName>
    <definedName name="ENG_BI_CORE_LOCATION">"C:\Sage\Sage 100 Workstation\MAS90\Home\Intelligence\"</definedName>
    <definedName name="ENG_BI_EXE_FULL_PATH">"C:\Sage\Sage 100 Workstation\MAS90\Home\Intelligence\BICORE.EXE"</definedName>
    <definedName name="ENG_BI_EXE_NAME" hidden="1">"BICORE.EXE"</definedName>
    <definedName name="ENG_BI_EXEC_CMD_ARGS" hidden="1">"03304607807507309203205407803204907912408507307806908308410407408006807806204905304912912806807509308908407406205005305312912809512112110611810611710207306608707408209507808206507405909308709710710605005705705009209209810410603205305304804107410012210"</definedName>
    <definedName name="ENG_BI_EXEC_CMD_ARGS_2" hidden="1">"21111001051000960820650920640490921341240961171141091230971251100680700720660850690760830760610570550501251320961131191051221021161100770660890880700830650750730921251321021131141141190981211010720710800740920830910840830690650830710870650860650540520"</definedName>
    <definedName name="ENG_BI_EXEC_CMD_ARGS_3" hidden="1">"68050055058059053058056068059048060064050051052059054053057068057051053068057057064050053061059058066049063055052051063049057054059062060060050066060051053054063054049065134123099117118099112105103081065087078068079077070062106110129128079091077069086"</definedName>
    <definedName name="ENG_BI_EXEC_CMD_ARGS_4" hidden="1">"074069081069082069082083070056126"</definedName>
    <definedName name="ENG_BI_GEN_LIC" hidden="1">"0"</definedName>
    <definedName name="ENG_BI_GEN_LIC_WS" hidden="1">"False"</definedName>
    <definedName name="ENG_BI_LANG_CODE" hidden="1">"en"</definedName>
    <definedName name="ENG_BI_LBI" hidden="1">"2HA3DK87ZQ"</definedName>
    <definedName name="ENG_BI_REPOS_FILE" hidden="1">"\\Ace-nj-m101\si2022\alchemex.svd"</definedName>
    <definedName name="ENG_BI_REPOS_PATH" hidden="1">"\\Ace-nj-m101\si2022"</definedName>
    <definedName name="ENG_BI_TLA" hidden="1">"57;118;194;51;126;224;15;210;71;171;59;52;199;197;163;266;169;122;40;44;173;74;47;161;152;242;149;178;123;163;283;71"</definedName>
    <definedName name="ENG_BI_TLA2" hidden="1">"68;140;149;68;112;39;249;123;93;194;252;224;251;197;114;154;176;227;204;60;166;73;230;240;3;232;117;43;105;167;58;135"</definedName>
    <definedName name="EstMfgMin" localSheetId="0">data!$P:$P</definedName>
    <definedName name="INFO_BI_EXE_NAME" hidden="1">"BICORE.EXE"</definedName>
    <definedName name="INFO_EXE_SERVER_PATH" hidden="1">"C:\Sage\Sage 100 Workstation\MAS90\Home\Intelligence\BICORE.EXE"</definedName>
    <definedName name="INFO_INSTANCE_ID" hidden="1">"0"</definedName>
    <definedName name="INFO_INSTANCE_NAME" hidden="1">"Open Order All Qty Only_20260130_10_02_14_022.xls"</definedName>
    <definedName name="INFO_REPORT_CODE" hidden="1">""</definedName>
    <definedName name="INFO_REPORT_ID" hidden="1">"455"</definedName>
    <definedName name="INFO_REPORT_NAME" hidden="1">"Open Order All Qty Only"</definedName>
    <definedName name="INFO_RUN_USER" hidden="1">""</definedName>
    <definedName name="INFO_RUN_WORKSTATION" hidden="1">"ACE-NJ-M101"</definedName>
    <definedName name="Item_Status" localSheetId="0">data!$S:$S</definedName>
    <definedName name="ItemCode" localSheetId="0">data!$J:$J</definedName>
    <definedName name="ItemCodeDesc" localSheetId="0">data!$K:$K</definedName>
    <definedName name="OrderDate" localSheetId="0">data!$B:$B</definedName>
    <definedName name="PARAM_DATA_CATALOG" localSheetId="1">Param!$G$2</definedName>
    <definedName name="PARAM_EXE_PATH" localSheetId="1">Param!$G$7</definedName>
    <definedName name="PARAM_INSTANCE_ID" localSheetId="1">Param!$G$6</definedName>
    <definedName name="PARAM_INSTANCE_NAME" localSheetId="1">Param!$G$5</definedName>
    <definedName name="PARAM_REPORT_ID" localSheetId="1">Param!$G$3</definedName>
    <definedName name="PARAM_REPORT_NAME" localSheetId="1">Param!$G$4</definedName>
    <definedName name="PARAM_RUN_ON" localSheetId="1">Param!$D$2</definedName>
    <definedName name="Prod_Status" localSheetId="0">data!$T:$T</definedName>
    <definedName name="PromiseDate" localSheetId="0">data!$A:$A</definedName>
    <definedName name="QtyRemaining" localSheetId="0">data!$N:$N</definedName>
    <definedName name="QuantityOrdered" localSheetId="0">data!$L:$L</definedName>
    <definedName name="QuantityShipped" localSheetId="0">data!$M:$M</definedName>
    <definedName name="QV_Notes" localSheetId="0">data!$R:$R</definedName>
    <definedName name="RawData" localSheetId="0">data!$A$1:$V$2056</definedName>
    <definedName name="RawDataCols" localSheetId="0">data!$A:$V</definedName>
    <definedName name="REP_REPORT_CODE" localSheetId="1">Param!$G$10</definedName>
    <definedName name="REP_SYSTEM_CODE" localSheetId="1">Param!$G$8</definedName>
    <definedName name="REP_SYSTEM_MODULE" localSheetId="1">Param!$G$9</definedName>
    <definedName name="ROW_MASK_FILTER" localSheetId="1">Param!$G$11</definedName>
    <definedName name="SalesOrderNo" localSheetId="0">data!$E:$E</definedName>
    <definedName name="SalespersonNo" localSheetId="0">data!$C:$C</definedName>
    <definedName name="SV_AUTO_CONN_CATALOG" hidden="1">"001"</definedName>
    <definedName name="SV_AUTO_CONN_SERVER" hidden="1">"E:\Sage2021\Sage 100 Advanced\MAS90\"</definedName>
    <definedName name="SV_DBTYPE">"115"</definedName>
    <definedName name="SV_ENCPT_AUTO_CONN_PASSWORD" hidden="1">"083096084083070110110110"</definedName>
    <definedName name="SV_ENCPT_AUTO_CONN_USER" hidden="1">"095094088070084081070088"</definedName>
    <definedName name="SV_ENCPT_LOGON_PWD" hidden="1">"078104085088070"</definedName>
    <definedName name="SV_ENCPT_LOGON_USER" hidden="1">"095094088070084081070088"</definedName>
    <definedName name="SV_REPORT_CODE">""</definedName>
    <definedName name="SV_REPORT_ID">"455"</definedName>
    <definedName name="SV_REPORT_NAME">"Open Order All Qty Only"</definedName>
    <definedName name="SV_REPOSCODE">""</definedName>
    <definedName name="SV_SOLUTION_ID">"33"</definedName>
    <definedName name="SV_TENANT_CODE">"001"</definedName>
    <definedName name="Total_Mfg_Hrs" localSheetId="0">data!$Q:$Q</definedName>
    <definedName name="UDF_REV" localSheetId="0">data!$O:$O</definedName>
    <definedName name="Week" localSheetId="0">data!$D:$D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2056" i="5" l="1"/>
  <c r="U2056" i="5"/>
  <c r="V2055" i="5"/>
  <c r="U2055" i="5"/>
  <c r="V2054" i="5"/>
  <c r="U2054" i="5"/>
  <c r="V2053" i="5"/>
  <c r="U2053" i="5"/>
  <c r="V2052" i="5"/>
  <c r="U2052" i="5"/>
  <c r="V2051" i="5"/>
  <c r="U2051" i="5"/>
  <c r="V2050" i="5"/>
  <c r="U2050" i="5"/>
  <c r="V2049" i="5"/>
  <c r="U2049" i="5"/>
  <c r="V2048" i="5"/>
  <c r="U2048" i="5"/>
  <c r="V2047" i="5"/>
  <c r="U2047" i="5"/>
  <c r="V2046" i="5"/>
  <c r="U2046" i="5"/>
  <c r="V2045" i="5"/>
  <c r="U2045" i="5"/>
  <c r="V2044" i="5"/>
  <c r="U2044" i="5"/>
  <c r="V2043" i="5"/>
  <c r="U2043" i="5"/>
  <c r="V2042" i="5"/>
  <c r="U2042" i="5"/>
  <c r="V2041" i="5"/>
  <c r="U2041" i="5"/>
  <c r="V2040" i="5"/>
  <c r="U2040" i="5"/>
  <c r="V2039" i="5"/>
  <c r="U2039" i="5"/>
  <c r="V2038" i="5"/>
  <c r="U2038" i="5"/>
  <c r="V2037" i="5"/>
  <c r="U2037" i="5"/>
  <c r="V2036" i="5"/>
  <c r="U2036" i="5"/>
  <c r="V2035" i="5"/>
  <c r="U2035" i="5"/>
  <c r="V2034" i="5"/>
  <c r="U2034" i="5"/>
  <c r="V2033" i="5"/>
  <c r="U2033" i="5"/>
  <c r="V2032" i="5"/>
  <c r="U2032" i="5"/>
  <c r="V2031" i="5"/>
  <c r="U2031" i="5"/>
  <c r="V2030" i="5"/>
  <c r="U2030" i="5"/>
  <c r="V2029" i="5"/>
  <c r="U2029" i="5"/>
  <c r="V2028" i="5"/>
  <c r="U2028" i="5"/>
  <c r="V2027" i="5"/>
  <c r="U2027" i="5"/>
  <c r="V2026" i="5"/>
  <c r="U2026" i="5"/>
  <c r="V2025" i="5"/>
  <c r="U2025" i="5"/>
  <c r="V2024" i="5"/>
  <c r="U2024" i="5"/>
  <c r="V2023" i="5"/>
  <c r="U2023" i="5"/>
  <c r="V2022" i="5"/>
  <c r="U2022" i="5"/>
  <c r="V2021" i="5"/>
  <c r="U2021" i="5"/>
  <c r="V2020" i="5"/>
  <c r="U2020" i="5"/>
  <c r="V2019" i="5"/>
  <c r="U2019" i="5"/>
  <c r="V2018" i="5"/>
  <c r="U2018" i="5"/>
  <c r="V2017" i="5"/>
  <c r="U2017" i="5"/>
  <c r="V2016" i="5"/>
  <c r="U2016" i="5"/>
  <c r="V2015" i="5"/>
  <c r="U2015" i="5"/>
  <c r="V2014" i="5"/>
  <c r="U2014" i="5"/>
  <c r="V2013" i="5"/>
  <c r="U2013" i="5"/>
  <c r="V2012" i="5"/>
  <c r="U2012" i="5"/>
  <c r="V2011" i="5"/>
  <c r="U2011" i="5"/>
  <c r="V2010" i="5"/>
  <c r="U2010" i="5"/>
  <c r="V2009" i="5"/>
  <c r="U2009" i="5"/>
  <c r="V2008" i="5"/>
  <c r="U2008" i="5"/>
  <c r="V2007" i="5"/>
  <c r="U2007" i="5"/>
  <c r="V2006" i="5"/>
  <c r="U2006" i="5"/>
  <c r="V2005" i="5"/>
  <c r="U2005" i="5"/>
  <c r="V2004" i="5"/>
  <c r="U2004" i="5"/>
  <c r="V2003" i="5"/>
  <c r="U2003" i="5"/>
  <c r="V2002" i="5"/>
  <c r="U2002" i="5"/>
  <c r="V2001" i="5"/>
  <c r="U2001" i="5"/>
  <c r="V2000" i="5"/>
  <c r="U2000" i="5"/>
  <c r="V1999" i="5"/>
  <c r="U1999" i="5"/>
  <c r="V1998" i="5"/>
  <c r="U1998" i="5"/>
  <c r="V1997" i="5"/>
  <c r="U1997" i="5"/>
  <c r="V1996" i="5"/>
  <c r="U1996" i="5"/>
  <c r="V1995" i="5"/>
  <c r="U1995" i="5"/>
  <c r="V1994" i="5"/>
  <c r="U1994" i="5"/>
  <c r="V1993" i="5"/>
  <c r="U1993" i="5"/>
  <c r="V1992" i="5"/>
  <c r="U1992" i="5"/>
  <c r="V1991" i="5"/>
  <c r="U1991" i="5"/>
  <c r="V1990" i="5"/>
  <c r="U1990" i="5"/>
  <c r="V1989" i="5"/>
  <c r="U1989" i="5"/>
  <c r="V1988" i="5"/>
  <c r="U1988" i="5"/>
  <c r="V1987" i="5"/>
  <c r="U1987" i="5"/>
  <c r="V1986" i="5"/>
  <c r="U1986" i="5"/>
  <c r="V1985" i="5"/>
  <c r="U1985" i="5"/>
  <c r="V1984" i="5"/>
  <c r="U1984" i="5"/>
  <c r="V1983" i="5"/>
  <c r="U1983" i="5"/>
  <c r="V1982" i="5"/>
  <c r="U1982" i="5"/>
  <c r="V1981" i="5"/>
  <c r="U1981" i="5"/>
  <c r="V1980" i="5"/>
  <c r="U1980" i="5"/>
  <c r="V1979" i="5"/>
  <c r="U1979" i="5"/>
  <c r="V1978" i="5"/>
  <c r="U1978" i="5"/>
  <c r="V1977" i="5"/>
  <c r="U1977" i="5"/>
  <c r="V1976" i="5"/>
  <c r="U1976" i="5"/>
  <c r="V1975" i="5"/>
  <c r="U1975" i="5"/>
  <c r="V1974" i="5"/>
  <c r="U1974" i="5"/>
  <c r="V1973" i="5"/>
  <c r="U1973" i="5"/>
  <c r="V1972" i="5"/>
  <c r="U1972" i="5"/>
  <c r="V1971" i="5"/>
  <c r="U1971" i="5"/>
  <c r="V1970" i="5"/>
  <c r="U1970" i="5"/>
  <c r="V1969" i="5"/>
  <c r="U1969" i="5"/>
  <c r="V1968" i="5"/>
  <c r="U1968" i="5"/>
  <c r="V1967" i="5"/>
  <c r="U1967" i="5"/>
  <c r="V1966" i="5"/>
  <c r="U1966" i="5"/>
  <c r="V1965" i="5"/>
  <c r="U1965" i="5"/>
  <c r="V1964" i="5"/>
  <c r="U1964" i="5"/>
  <c r="V1963" i="5"/>
  <c r="U1963" i="5"/>
  <c r="V1962" i="5"/>
  <c r="U1962" i="5"/>
  <c r="V1961" i="5"/>
  <c r="U1961" i="5"/>
  <c r="V1960" i="5"/>
  <c r="U1960" i="5"/>
  <c r="V1959" i="5"/>
  <c r="U1959" i="5"/>
  <c r="V1958" i="5"/>
  <c r="U1958" i="5"/>
  <c r="V1957" i="5"/>
  <c r="U1957" i="5"/>
  <c r="V1956" i="5"/>
  <c r="U1956" i="5"/>
  <c r="V1955" i="5"/>
  <c r="U1955" i="5"/>
  <c r="V1954" i="5"/>
  <c r="U1954" i="5"/>
  <c r="V1953" i="5"/>
  <c r="U1953" i="5"/>
  <c r="V1952" i="5"/>
  <c r="U1952" i="5"/>
  <c r="V1951" i="5"/>
  <c r="U1951" i="5"/>
  <c r="V1950" i="5"/>
  <c r="U1950" i="5"/>
  <c r="V1949" i="5"/>
  <c r="U1949" i="5"/>
  <c r="V1948" i="5"/>
  <c r="U1948" i="5"/>
  <c r="V1947" i="5"/>
  <c r="U1947" i="5"/>
  <c r="V1946" i="5"/>
  <c r="U1946" i="5"/>
  <c r="V1945" i="5"/>
  <c r="U1945" i="5"/>
  <c r="V1944" i="5"/>
  <c r="U1944" i="5"/>
  <c r="V1943" i="5"/>
  <c r="U1943" i="5"/>
  <c r="V1942" i="5"/>
  <c r="U1942" i="5"/>
  <c r="V1941" i="5"/>
  <c r="U1941" i="5"/>
  <c r="V1940" i="5"/>
  <c r="U1940" i="5"/>
  <c r="V1939" i="5"/>
  <c r="U1939" i="5"/>
  <c r="V1938" i="5"/>
  <c r="U1938" i="5"/>
  <c r="V1937" i="5"/>
  <c r="U1937" i="5"/>
  <c r="V1936" i="5"/>
  <c r="U1936" i="5"/>
  <c r="V1935" i="5"/>
  <c r="U1935" i="5"/>
  <c r="V1934" i="5"/>
  <c r="U1934" i="5"/>
  <c r="V1933" i="5"/>
  <c r="U1933" i="5"/>
  <c r="V1932" i="5"/>
  <c r="U1932" i="5"/>
  <c r="V1931" i="5"/>
  <c r="U1931" i="5"/>
  <c r="V1930" i="5"/>
  <c r="U1930" i="5"/>
  <c r="V1929" i="5"/>
  <c r="U1929" i="5"/>
  <c r="V1928" i="5"/>
  <c r="U1928" i="5"/>
  <c r="V1927" i="5"/>
  <c r="U1927" i="5"/>
  <c r="V1926" i="5"/>
  <c r="U1926" i="5"/>
  <c r="V1925" i="5"/>
  <c r="U1925" i="5"/>
  <c r="V1924" i="5"/>
  <c r="U1924" i="5"/>
  <c r="V1923" i="5"/>
  <c r="U1923" i="5"/>
  <c r="V1922" i="5"/>
  <c r="U1922" i="5"/>
  <c r="V1921" i="5"/>
  <c r="U1921" i="5"/>
  <c r="V1920" i="5"/>
  <c r="U1920" i="5"/>
  <c r="V1919" i="5"/>
  <c r="U1919" i="5"/>
  <c r="V1918" i="5"/>
  <c r="U1918" i="5"/>
  <c r="V1917" i="5"/>
  <c r="U1917" i="5"/>
  <c r="V1916" i="5"/>
  <c r="U1916" i="5"/>
  <c r="V1915" i="5"/>
  <c r="U1915" i="5"/>
  <c r="V1914" i="5"/>
  <c r="U1914" i="5"/>
  <c r="V1913" i="5"/>
  <c r="U1913" i="5"/>
  <c r="V1912" i="5"/>
  <c r="U1912" i="5"/>
  <c r="V1911" i="5"/>
  <c r="U1911" i="5"/>
  <c r="V1910" i="5"/>
  <c r="U1910" i="5"/>
  <c r="V1909" i="5"/>
  <c r="U1909" i="5"/>
  <c r="V1908" i="5"/>
  <c r="U1908" i="5"/>
  <c r="V1907" i="5"/>
  <c r="U1907" i="5"/>
  <c r="V1906" i="5"/>
  <c r="U1906" i="5"/>
  <c r="V1905" i="5"/>
  <c r="U1905" i="5"/>
  <c r="V1904" i="5"/>
  <c r="U1904" i="5"/>
  <c r="V1903" i="5"/>
  <c r="U1903" i="5"/>
  <c r="V1902" i="5"/>
  <c r="U1902" i="5"/>
  <c r="V1901" i="5"/>
  <c r="U1901" i="5"/>
  <c r="V1900" i="5"/>
  <c r="U1900" i="5"/>
  <c r="V1899" i="5"/>
  <c r="U1899" i="5"/>
  <c r="V1898" i="5"/>
  <c r="U1898" i="5"/>
  <c r="V1897" i="5"/>
  <c r="U1897" i="5"/>
  <c r="V1896" i="5"/>
  <c r="U1896" i="5"/>
  <c r="V1895" i="5"/>
  <c r="U1895" i="5"/>
  <c r="V1894" i="5"/>
  <c r="U1894" i="5"/>
  <c r="V1893" i="5"/>
  <c r="U1893" i="5"/>
  <c r="V1892" i="5"/>
  <c r="U1892" i="5"/>
  <c r="V1891" i="5"/>
  <c r="U1891" i="5"/>
  <c r="V1890" i="5"/>
  <c r="U1890" i="5"/>
  <c r="V1889" i="5"/>
  <c r="U1889" i="5"/>
  <c r="V1888" i="5"/>
  <c r="U1888" i="5"/>
  <c r="V1887" i="5"/>
  <c r="U1887" i="5"/>
  <c r="V1886" i="5"/>
  <c r="U1886" i="5"/>
  <c r="V1885" i="5"/>
  <c r="U1885" i="5"/>
  <c r="V1884" i="5"/>
  <c r="U1884" i="5"/>
  <c r="V1883" i="5"/>
  <c r="U1883" i="5"/>
  <c r="V1882" i="5"/>
  <c r="U1882" i="5"/>
  <c r="V1881" i="5"/>
  <c r="U1881" i="5"/>
  <c r="V1880" i="5"/>
  <c r="U1880" i="5"/>
  <c r="V1879" i="5"/>
  <c r="U1879" i="5"/>
  <c r="V1878" i="5"/>
  <c r="U1878" i="5"/>
  <c r="V1877" i="5"/>
  <c r="U1877" i="5"/>
  <c r="V1876" i="5"/>
  <c r="U1876" i="5"/>
  <c r="V1875" i="5"/>
  <c r="U1875" i="5"/>
  <c r="V1874" i="5"/>
  <c r="U1874" i="5"/>
  <c r="V1873" i="5"/>
  <c r="U1873" i="5"/>
  <c r="V1872" i="5"/>
  <c r="U1872" i="5"/>
  <c r="V1871" i="5"/>
  <c r="U1871" i="5"/>
  <c r="V1870" i="5"/>
  <c r="U1870" i="5"/>
  <c r="V1869" i="5"/>
  <c r="U1869" i="5"/>
  <c r="V1868" i="5"/>
  <c r="U1868" i="5"/>
  <c r="V1867" i="5"/>
  <c r="U1867" i="5"/>
  <c r="V1866" i="5"/>
  <c r="U1866" i="5"/>
  <c r="V1865" i="5"/>
  <c r="U1865" i="5"/>
  <c r="V1864" i="5"/>
  <c r="U1864" i="5"/>
  <c r="V1863" i="5"/>
  <c r="U1863" i="5"/>
  <c r="V1862" i="5"/>
  <c r="U1862" i="5"/>
  <c r="V1861" i="5"/>
  <c r="U1861" i="5"/>
  <c r="V1860" i="5"/>
  <c r="U1860" i="5"/>
  <c r="V1859" i="5"/>
  <c r="U1859" i="5"/>
  <c r="V1858" i="5"/>
  <c r="U1858" i="5"/>
  <c r="V1857" i="5"/>
  <c r="U1857" i="5"/>
  <c r="V1856" i="5"/>
  <c r="U1856" i="5"/>
  <c r="V1855" i="5"/>
  <c r="U1855" i="5"/>
  <c r="V1854" i="5"/>
  <c r="U1854" i="5"/>
  <c r="V1853" i="5"/>
  <c r="U1853" i="5"/>
  <c r="V1852" i="5"/>
  <c r="U1852" i="5"/>
  <c r="V1851" i="5"/>
  <c r="U1851" i="5"/>
  <c r="V1850" i="5"/>
  <c r="U1850" i="5"/>
  <c r="V1849" i="5"/>
  <c r="U1849" i="5"/>
  <c r="V1848" i="5"/>
  <c r="U1848" i="5"/>
  <c r="V1847" i="5"/>
  <c r="U1847" i="5"/>
  <c r="V1846" i="5"/>
  <c r="U1846" i="5"/>
  <c r="V1845" i="5"/>
  <c r="U1845" i="5"/>
  <c r="V1844" i="5"/>
  <c r="U1844" i="5"/>
  <c r="V1843" i="5"/>
  <c r="U1843" i="5"/>
  <c r="V1842" i="5"/>
  <c r="U1842" i="5"/>
  <c r="V1841" i="5"/>
  <c r="U1841" i="5"/>
  <c r="V1840" i="5"/>
  <c r="U1840" i="5"/>
  <c r="V1839" i="5"/>
  <c r="U1839" i="5"/>
  <c r="V1838" i="5"/>
  <c r="U1838" i="5"/>
  <c r="V1837" i="5"/>
  <c r="U1837" i="5"/>
  <c r="V1836" i="5"/>
  <c r="U1836" i="5"/>
  <c r="V1835" i="5"/>
  <c r="U1835" i="5"/>
  <c r="V1834" i="5"/>
  <c r="U1834" i="5"/>
  <c r="V1833" i="5"/>
  <c r="U1833" i="5"/>
  <c r="V1832" i="5"/>
  <c r="U1832" i="5"/>
  <c r="V1831" i="5"/>
  <c r="U1831" i="5"/>
  <c r="V1830" i="5"/>
  <c r="U1830" i="5"/>
  <c r="V1829" i="5"/>
  <c r="U1829" i="5"/>
  <c r="V1828" i="5"/>
  <c r="U1828" i="5"/>
  <c r="V1827" i="5"/>
  <c r="U1827" i="5"/>
  <c r="V1826" i="5"/>
  <c r="U1826" i="5"/>
  <c r="V1825" i="5"/>
  <c r="U1825" i="5"/>
  <c r="V1824" i="5"/>
  <c r="U1824" i="5"/>
  <c r="V1823" i="5"/>
  <c r="U1823" i="5"/>
  <c r="V1822" i="5"/>
  <c r="U1822" i="5"/>
  <c r="V1821" i="5"/>
  <c r="U1821" i="5"/>
  <c r="V1820" i="5"/>
  <c r="U1820" i="5"/>
  <c r="V1819" i="5"/>
  <c r="U1819" i="5"/>
  <c r="V1818" i="5"/>
  <c r="U1818" i="5"/>
  <c r="V1817" i="5"/>
  <c r="U1817" i="5"/>
  <c r="V1816" i="5"/>
  <c r="U1816" i="5"/>
  <c r="V1815" i="5"/>
  <c r="U1815" i="5"/>
  <c r="V1814" i="5"/>
  <c r="U1814" i="5"/>
  <c r="V1813" i="5"/>
  <c r="U1813" i="5"/>
  <c r="V1812" i="5"/>
  <c r="U1812" i="5"/>
  <c r="V1811" i="5"/>
  <c r="U1811" i="5"/>
  <c r="V1810" i="5"/>
  <c r="U1810" i="5"/>
  <c r="V1809" i="5"/>
  <c r="U1809" i="5"/>
  <c r="V1808" i="5"/>
  <c r="U1808" i="5"/>
  <c r="V1807" i="5"/>
  <c r="U1807" i="5"/>
  <c r="V1806" i="5"/>
  <c r="U1806" i="5"/>
  <c r="V1805" i="5"/>
  <c r="U1805" i="5"/>
  <c r="V1804" i="5"/>
  <c r="U1804" i="5"/>
  <c r="V1803" i="5"/>
  <c r="U1803" i="5"/>
  <c r="V1802" i="5"/>
  <c r="U1802" i="5"/>
  <c r="V1801" i="5"/>
  <c r="U1801" i="5"/>
  <c r="V1800" i="5"/>
  <c r="U1800" i="5"/>
  <c r="V1799" i="5"/>
  <c r="U1799" i="5"/>
  <c r="V1798" i="5"/>
  <c r="U1798" i="5"/>
  <c r="V1797" i="5"/>
  <c r="U1797" i="5"/>
  <c r="V1796" i="5"/>
  <c r="U1796" i="5"/>
  <c r="V1795" i="5"/>
  <c r="U1795" i="5"/>
  <c r="V1794" i="5"/>
  <c r="U1794" i="5"/>
  <c r="V1793" i="5"/>
  <c r="U1793" i="5"/>
  <c r="V1792" i="5"/>
  <c r="U1792" i="5"/>
  <c r="V1791" i="5"/>
  <c r="U1791" i="5"/>
  <c r="V1790" i="5"/>
  <c r="U1790" i="5"/>
  <c r="V1789" i="5"/>
  <c r="U1789" i="5"/>
  <c r="V1788" i="5"/>
  <c r="U1788" i="5"/>
  <c r="V1787" i="5"/>
  <c r="U1787" i="5"/>
  <c r="V1786" i="5"/>
  <c r="U1786" i="5"/>
  <c r="V1785" i="5"/>
  <c r="U1785" i="5"/>
  <c r="V1784" i="5"/>
  <c r="U1784" i="5"/>
  <c r="V1783" i="5"/>
  <c r="U1783" i="5"/>
  <c r="V1782" i="5"/>
  <c r="U1782" i="5"/>
  <c r="V1781" i="5"/>
  <c r="U1781" i="5"/>
  <c r="V1780" i="5"/>
  <c r="U1780" i="5"/>
  <c r="V1779" i="5"/>
  <c r="U1779" i="5"/>
  <c r="V1778" i="5"/>
  <c r="U1778" i="5"/>
  <c r="V1777" i="5"/>
  <c r="U1777" i="5"/>
  <c r="V1776" i="5"/>
  <c r="U1776" i="5"/>
  <c r="V1775" i="5"/>
  <c r="U1775" i="5"/>
  <c r="V1774" i="5"/>
  <c r="U1774" i="5"/>
  <c r="V1773" i="5"/>
  <c r="U1773" i="5"/>
  <c r="V1772" i="5"/>
  <c r="U1772" i="5"/>
  <c r="V1771" i="5"/>
  <c r="U1771" i="5"/>
  <c r="V1770" i="5"/>
  <c r="U1770" i="5"/>
  <c r="V1769" i="5"/>
  <c r="U1769" i="5"/>
  <c r="V1768" i="5"/>
  <c r="U1768" i="5"/>
  <c r="V1767" i="5"/>
  <c r="U1767" i="5"/>
  <c r="V1766" i="5"/>
  <c r="U1766" i="5"/>
  <c r="V1765" i="5"/>
  <c r="U1765" i="5"/>
  <c r="V1764" i="5"/>
  <c r="U1764" i="5"/>
  <c r="V1763" i="5"/>
  <c r="U1763" i="5"/>
  <c r="V1762" i="5"/>
  <c r="U1762" i="5"/>
  <c r="V1761" i="5"/>
  <c r="U1761" i="5"/>
  <c r="V1760" i="5"/>
  <c r="U1760" i="5"/>
  <c r="V1759" i="5"/>
  <c r="U1759" i="5"/>
  <c r="V1758" i="5"/>
  <c r="U1758" i="5"/>
  <c r="V1757" i="5"/>
  <c r="U1757" i="5"/>
  <c r="V1756" i="5"/>
  <c r="U1756" i="5"/>
  <c r="V1755" i="5"/>
  <c r="U1755" i="5"/>
  <c r="V1754" i="5"/>
  <c r="U1754" i="5"/>
  <c r="V1753" i="5"/>
  <c r="U1753" i="5"/>
  <c r="V1752" i="5"/>
  <c r="U1752" i="5"/>
  <c r="V1751" i="5"/>
  <c r="U1751" i="5"/>
  <c r="V1750" i="5"/>
  <c r="U1750" i="5"/>
  <c r="V1749" i="5"/>
  <c r="U1749" i="5"/>
  <c r="V1748" i="5"/>
  <c r="U1748" i="5"/>
  <c r="V1747" i="5"/>
  <c r="U1747" i="5"/>
  <c r="V1746" i="5"/>
  <c r="U1746" i="5"/>
  <c r="V1745" i="5"/>
  <c r="U1745" i="5"/>
  <c r="V1744" i="5"/>
  <c r="U1744" i="5"/>
  <c r="V1743" i="5"/>
  <c r="U1743" i="5"/>
  <c r="V1742" i="5"/>
  <c r="U1742" i="5"/>
  <c r="V1741" i="5"/>
  <c r="U1741" i="5"/>
  <c r="V1740" i="5"/>
  <c r="U1740" i="5"/>
  <c r="V1739" i="5"/>
  <c r="U1739" i="5"/>
  <c r="V1738" i="5"/>
  <c r="U1738" i="5"/>
  <c r="V1737" i="5"/>
  <c r="U1737" i="5"/>
  <c r="V1736" i="5"/>
  <c r="U1736" i="5"/>
  <c r="V1735" i="5"/>
  <c r="U1735" i="5"/>
  <c r="V1734" i="5"/>
  <c r="U1734" i="5"/>
  <c r="V1733" i="5"/>
  <c r="U1733" i="5"/>
  <c r="V1732" i="5"/>
  <c r="U1732" i="5"/>
  <c r="V1731" i="5"/>
  <c r="U1731" i="5"/>
  <c r="V1730" i="5"/>
  <c r="U1730" i="5"/>
  <c r="V1729" i="5"/>
  <c r="U1729" i="5"/>
  <c r="V1728" i="5"/>
  <c r="U1728" i="5"/>
  <c r="V1727" i="5"/>
  <c r="U1727" i="5"/>
  <c r="V1726" i="5"/>
  <c r="U1726" i="5"/>
  <c r="V1725" i="5"/>
  <c r="U1725" i="5"/>
  <c r="V1724" i="5"/>
  <c r="U1724" i="5"/>
  <c r="V1723" i="5"/>
  <c r="U1723" i="5"/>
  <c r="V1722" i="5"/>
  <c r="U1722" i="5"/>
  <c r="V1721" i="5"/>
  <c r="U1721" i="5"/>
  <c r="V1720" i="5"/>
  <c r="U1720" i="5"/>
  <c r="V1719" i="5"/>
  <c r="U1719" i="5"/>
  <c r="V1718" i="5"/>
  <c r="U1718" i="5"/>
  <c r="V1717" i="5"/>
  <c r="U1717" i="5"/>
  <c r="V1716" i="5"/>
  <c r="U1716" i="5"/>
  <c r="V1715" i="5"/>
  <c r="U1715" i="5"/>
  <c r="V1714" i="5"/>
  <c r="U1714" i="5"/>
  <c r="V1713" i="5"/>
  <c r="U1713" i="5"/>
  <c r="V1712" i="5"/>
  <c r="U1712" i="5"/>
  <c r="V1711" i="5"/>
  <c r="U1711" i="5"/>
  <c r="V1710" i="5"/>
  <c r="U1710" i="5"/>
  <c r="V1709" i="5"/>
  <c r="U1709" i="5"/>
  <c r="V1708" i="5"/>
  <c r="U1708" i="5"/>
  <c r="V1707" i="5"/>
  <c r="U1707" i="5"/>
  <c r="V1706" i="5"/>
  <c r="U1706" i="5"/>
  <c r="V1705" i="5"/>
  <c r="U1705" i="5"/>
  <c r="V1704" i="5"/>
  <c r="U1704" i="5"/>
  <c r="V1703" i="5"/>
  <c r="U1703" i="5"/>
  <c r="V1702" i="5"/>
  <c r="U1702" i="5"/>
  <c r="V1701" i="5"/>
  <c r="U1701" i="5"/>
  <c r="V1700" i="5"/>
  <c r="U1700" i="5"/>
  <c r="V1699" i="5"/>
  <c r="U1699" i="5"/>
  <c r="V1698" i="5"/>
  <c r="U1698" i="5"/>
  <c r="V1697" i="5"/>
  <c r="U1697" i="5"/>
  <c r="V1696" i="5"/>
  <c r="U1696" i="5"/>
  <c r="V1695" i="5"/>
  <c r="U1695" i="5"/>
  <c r="V1694" i="5"/>
  <c r="U1694" i="5"/>
  <c r="V1693" i="5"/>
  <c r="U1693" i="5"/>
  <c r="V1692" i="5"/>
  <c r="U1692" i="5"/>
  <c r="V1691" i="5"/>
  <c r="U1691" i="5"/>
  <c r="V1690" i="5"/>
  <c r="U1690" i="5"/>
  <c r="V1689" i="5"/>
  <c r="U1689" i="5"/>
  <c r="V1688" i="5"/>
  <c r="U1688" i="5"/>
  <c r="V1687" i="5"/>
  <c r="U1687" i="5"/>
  <c r="V1686" i="5"/>
  <c r="U1686" i="5"/>
  <c r="V1685" i="5"/>
  <c r="U1685" i="5"/>
  <c r="V1684" i="5"/>
  <c r="U1684" i="5"/>
  <c r="V1683" i="5"/>
  <c r="U1683" i="5"/>
  <c r="V1682" i="5"/>
  <c r="U1682" i="5"/>
  <c r="V1681" i="5"/>
  <c r="U1681" i="5"/>
  <c r="V1680" i="5"/>
  <c r="U1680" i="5"/>
  <c r="V1679" i="5"/>
  <c r="U1679" i="5"/>
  <c r="V1678" i="5"/>
  <c r="U1678" i="5"/>
  <c r="V1677" i="5"/>
  <c r="U1677" i="5"/>
  <c r="V1676" i="5"/>
  <c r="U1676" i="5"/>
  <c r="V1675" i="5"/>
  <c r="U1675" i="5"/>
  <c r="V1674" i="5"/>
  <c r="U1674" i="5"/>
  <c r="V1673" i="5"/>
  <c r="U1673" i="5"/>
  <c r="V1672" i="5"/>
  <c r="U1672" i="5"/>
  <c r="V1671" i="5"/>
  <c r="U1671" i="5"/>
  <c r="V1670" i="5"/>
  <c r="U1670" i="5"/>
  <c r="V1669" i="5"/>
  <c r="U1669" i="5"/>
  <c r="V1668" i="5"/>
  <c r="U1668" i="5"/>
  <c r="V1667" i="5"/>
  <c r="U1667" i="5"/>
  <c r="V1666" i="5"/>
  <c r="U1666" i="5"/>
  <c r="V1665" i="5"/>
  <c r="U1665" i="5"/>
  <c r="V1664" i="5"/>
  <c r="U1664" i="5"/>
  <c r="V1663" i="5"/>
  <c r="U1663" i="5"/>
  <c r="V1662" i="5"/>
  <c r="U1662" i="5"/>
  <c r="V1661" i="5"/>
  <c r="U1661" i="5"/>
  <c r="V1660" i="5"/>
  <c r="U1660" i="5"/>
  <c r="V1659" i="5"/>
  <c r="U1659" i="5"/>
  <c r="V1658" i="5"/>
  <c r="U1658" i="5"/>
  <c r="V1657" i="5"/>
  <c r="U1657" i="5"/>
  <c r="V1656" i="5"/>
  <c r="U1656" i="5"/>
  <c r="V1655" i="5"/>
  <c r="U1655" i="5"/>
  <c r="V1654" i="5"/>
  <c r="U1654" i="5"/>
  <c r="V1653" i="5"/>
  <c r="U1653" i="5"/>
  <c r="V1652" i="5"/>
  <c r="U1652" i="5"/>
  <c r="V1651" i="5"/>
  <c r="U1651" i="5"/>
  <c r="V1650" i="5"/>
  <c r="U1650" i="5"/>
  <c r="V1649" i="5"/>
  <c r="U1649" i="5"/>
  <c r="V1648" i="5"/>
  <c r="U1648" i="5"/>
  <c r="V1647" i="5"/>
  <c r="U1647" i="5"/>
  <c r="V1646" i="5"/>
  <c r="U1646" i="5"/>
  <c r="V1645" i="5"/>
  <c r="U1645" i="5"/>
  <c r="V1644" i="5"/>
  <c r="U1644" i="5"/>
  <c r="V1643" i="5"/>
  <c r="U1643" i="5"/>
  <c r="V1642" i="5"/>
  <c r="U1642" i="5"/>
  <c r="V1641" i="5"/>
  <c r="U1641" i="5"/>
  <c r="V1640" i="5"/>
  <c r="U1640" i="5"/>
  <c r="V1639" i="5"/>
  <c r="U1639" i="5"/>
  <c r="V1638" i="5"/>
  <c r="U1638" i="5"/>
  <c r="V1637" i="5"/>
  <c r="U1637" i="5"/>
  <c r="V1636" i="5"/>
  <c r="U1636" i="5"/>
  <c r="V1635" i="5"/>
  <c r="U1635" i="5"/>
  <c r="V1634" i="5"/>
  <c r="U1634" i="5"/>
  <c r="V1633" i="5"/>
  <c r="U1633" i="5"/>
  <c r="V1632" i="5"/>
  <c r="U1632" i="5"/>
  <c r="V1631" i="5"/>
  <c r="U1631" i="5"/>
  <c r="V1630" i="5"/>
  <c r="U1630" i="5"/>
  <c r="V1629" i="5"/>
  <c r="U1629" i="5"/>
  <c r="V1628" i="5"/>
  <c r="U1628" i="5"/>
  <c r="V1627" i="5"/>
  <c r="U1627" i="5"/>
  <c r="V1626" i="5"/>
  <c r="U1626" i="5"/>
  <c r="V1625" i="5"/>
  <c r="U1625" i="5"/>
  <c r="V1624" i="5"/>
  <c r="U1624" i="5"/>
  <c r="V1623" i="5"/>
  <c r="U1623" i="5"/>
  <c r="V1622" i="5"/>
  <c r="U1622" i="5"/>
  <c r="V1621" i="5"/>
  <c r="U1621" i="5"/>
  <c r="V1620" i="5"/>
  <c r="U1620" i="5"/>
  <c r="V1619" i="5"/>
  <c r="U1619" i="5"/>
  <c r="V1618" i="5"/>
  <c r="U1618" i="5"/>
  <c r="V1617" i="5"/>
  <c r="U1617" i="5"/>
  <c r="V1616" i="5"/>
  <c r="U1616" i="5"/>
  <c r="V1615" i="5"/>
  <c r="U1615" i="5"/>
  <c r="V1614" i="5"/>
  <c r="U1614" i="5"/>
  <c r="V1613" i="5"/>
  <c r="U1613" i="5"/>
  <c r="V1612" i="5"/>
  <c r="U1612" i="5"/>
  <c r="V1611" i="5"/>
  <c r="U1611" i="5"/>
  <c r="V1610" i="5"/>
  <c r="U1610" i="5"/>
  <c r="V1609" i="5"/>
  <c r="U1609" i="5"/>
  <c r="V1608" i="5"/>
  <c r="U1608" i="5"/>
  <c r="V1607" i="5"/>
  <c r="U1607" i="5"/>
  <c r="V1606" i="5"/>
  <c r="U1606" i="5"/>
  <c r="V1605" i="5"/>
  <c r="U1605" i="5"/>
  <c r="V1604" i="5"/>
  <c r="U1604" i="5"/>
  <c r="V1603" i="5"/>
  <c r="U1603" i="5"/>
  <c r="V1602" i="5"/>
  <c r="U1602" i="5"/>
  <c r="V1601" i="5"/>
  <c r="U1601" i="5"/>
  <c r="V1600" i="5"/>
  <c r="U1600" i="5"/>
  <c r="V1599" i="5"/>
  <c r="U1599" i="5"/>
  <c r="V1598" i="5"/>
  <c r="U1598" i="5"/>
  <c r="V1597" i="5"/>
  <c r="U1597" i="5"/>
  <c r="V1596" i="5"/>
  <c r="U1596" i="5"/>
  <c r="V1595" i="5"/>
  <c r="U1595" i="5"/>
  <c r="V1594" i="5"/>
  <c r="U1594" i="5"/>
  <c r="V1593" i="5"/>
  <c r="U1593" i="5"/>
  <c r="V1592" i="5"/>
  <c r="U1592" i="5"/>
  <c r="V1591" i="5"/>
  <c r="U1591" i="5"/>
  <c r="V1590" i="5"/>
  <c r="U1590" i="5"/>
  <c r="V1589" i="5"/>
  <c r="U1589" i="5"/>
  <c r="V1588" i="5"/>
  <c r="U1588" i="5"/>
  <c r="V1587" i="5"/>
  <c r="U1587" i="5"/>
  <c r="V1586" i="5"/>
  <c r="U1586" i="5"/>
  <c r="V1585" i="5"/>
  <c r="U1585" i="5"/>
  <c r="V1584" i="5"/>
  <c r="U1584" i="5"/>
  <c r="V1583" i="5"/>
  <c r="U1583" i="5"/>
  <c r="V1582" i="5"/>
  <c r="U1582" i="5"/>
  <c r="V1581" i="5"/>
  <c r="U1581" i="5"/>
  <c r="V1580" i="5"/>
  <c r="U1580" i="5"/>
  <c r="V1579" i="5"/>
  <c r="U1579" i="5"/>
  <c r="V1578" i="5"/>
  <c r="U1578" i="5"/>
  <c r="V1577" i="5"/>
  <c r="U1577" i="5"/>
  <c r="V1576" i="5"/>
  <c r="U1576" i="5"/>
  <c r="V1575" i="5"/>
  <c r="U1575" i="5"/>
  <c r="V1574" i="5"/>
  <c r="U1574" i="5"/>
  <c r="V1573" i="5"/>
  <c r="U1573" i="5"/>
  <c r="V1572" i="5"/>
  <c r="U1572" i="5"/>
  <c r="V1571" i="5"/>
  <c r="U1571" i="5"/>
  <c r="V1570" i="5"/>
  <c r="U1570" i="5"/>
  <c r="V1569" i="5"/>
  <c r="U1569" i="5"/>
  <c r="V1568" i="5"/>
  <c r="U1568" i="5"/>
  <c r="V1567" i="5"/>
  <c r="U1567" i="5"/>
  <c r="V1566" i="5"/>
  <c r="U1566" i="5"/>
  <c r="V1565" i="5"/>
  <c r="U1565" i="5"/>
  <c r="V1564" i="5"/>
  <c r="U1564" i="5"/>
  <c r="V1563" i="5"/>
  <c r="U1563" i="5"/>
  <c r="V1562" i="5"/>
  <c r="U1562" i="5"/>
  <c r="V1561" i="5"/>
  <c r="U1561" i="5"/>
  <c r="V1560" i="5"/>
  <c r="U1560" i="5"/>
  <c r="V1559" i="5"/>
  <c r="U1559" i="5"/>
  <c r="V1558" i="5"/>
  <c r="U1558" i="5"/>
  <c r="V1557" i="5"/>
  <c r="U1557" i="5"/>
  <c r="V1556" i="5"/>
  <c r="U1556" i="5"/>
  <c r="V1555" i="5"/>
  <c r="U1555" i="5"/>
  <c r="V1554" i="5"/>
  <c r="U1554" i="5"/>
  <c r="V1553" i="5"/>
  <c r="U1553" i="5"/>
  <c r="V1552" i="5"/>
  <c r="U1552" i="5"/>
  <c r="V1551" i="5"/>
  <c r="U1551" i="5"/>
  <c r="V1550" i="5"/>
  <c r="U1550" i="5"/>
  <c r="V1549" i="5"/>
  <c r="U1549" i="5"/>
  <c r="V1548" i="5"/>
  <c r="U1548" i="5"/>
  <c r="V1547" i="5"/>
  <c r="U1547" i="5"/>
  <c r="V1546" i="5"/>
  <c r="U1546" i="5"/>
  <c r="V1545" i="5"/>
  <c r="U1545" i="5"/>
  <c r="V1544" i="5"/>
  <c r="U1544" i="5"/>
  <c r="V1543" i="5"/>
  <c r="U1543" i="5"/>
  <c r="V1542" i="5"/>
  <c r="U1542" i="5"/>
  <c r="V1541" i="5"/>
  <c r="U1541" i="5"/>
  <c r="V1540" i="5"/>
  <c r="U1540" i="5"/>
  <c r="V1539" i="5"/>
  <c r="U1539" i="5"/>
  <c r="V1538" i="5"/>
  <c r="U1538" i="5"/>
  <c r="V1537" i="5"/>
  <c r="U1537" i="5"/>
  <c r="V1536" i="5"/>
  <c r="U1536" i="5"/>
  <c r="V1535" i="5"/>
  <c r="U1535" i="5"/>
  <c r="V1534" i="5"/>
  <c r="U1534" i="5"/>
  <c r="V1533" i="5"/>
  <c r="U1533" i="5"/>
  <c r="V1532" i="5"/>
  <c r="U1532" i="5"/>
  <c r="V1531" i="5"/>
  <c r="U1531" i="5"/>
  <c r="V1530" i="5"/>
  <c r="U1530" i="5"/>
  <c r="V1529" i="5"/>
  <c r="U1529" i="5"/>
  <c r="V1528" i="5"/>
  <c r="U1528" i="5"/>
  <c r="V1527" i="5"/>
  <c r="U1527" i="5"/>
  <c r="V1526" i="5"/>
  <c r="U1526" i="5"/>
  <c r="V1525" i="5"/>
  <c r="U1525" i="5"/>
  <c r="V1524" i="5"/>
  <c r="U1524" i="5"/>
  <c r="V1523" i="5"/>
  <c r="U1523" i="5"/>
  <c r="V1522" i="5"/>
  <c r="U1522" i="5"/>
  <c r="V1521" i="5"/>
  <c r="U1521" i="5"/>
  <c r="V1520" i="5"/>
  <c r="U1520" i="5"/>
  <c r="V1519" i="5"/>
  <c r="U1519" i="5"/>
  <c r="V1518" i="5"/>
  <c r="U1518" i="5"/>
  <c r="V1517" i="5"/>
  <c r="U1517" i="5"/>
  <c r="V1516" i="5"/>
  <c r="U1516" i="5"/>
  <c r="V1515" i="5"/>
  <c r="U1515" i="5"/>
  <c r="V1514" i="5"/>
  <c r="U1514" i="5"/>
  <c r="V1513" i="5"/>
  <c r="U1513" i="5"/>
  <c r="V1512" i="5"/>
  <c r="U1512" i="5"/>
  <c r="V1511" i="5"/>
  <c r="U1511" i="5"/>
  <c r="V1510" i="5"/>
  <c r="U1510" i="5"/>
  <c r="V1509" i="5"/>
  <c r="U1509" i="5"/>
  <c r="V1508" i="5"/>
  <c r="U1508" i="5"/>
  <c r="V1507" i="5"/>
  <c r="U1507" i="5"/>
  <c r="V1506" i="5"/>
  <c r="U1506" i="5"/>
  <c r="V1505" i="5"/>
  <c r="U1505" i="5"/>
  <c r="V1504" i="5"/>
  <c r="U1504" i="5"/>
  <c r="V1503" i="5"/>
  <c r="U1503" i="5"/>
  <c r="V1502" i="5"/>
  <c r="U1502" i="5"/>
  <c r="V1501" i="5"/>
  <c r="U1501" i="5"/>
  <c r="V1500" i="5"/>
  <c r="U1500" i="5"/>
  <c r="V1499" i="5"/>
  <c r="U1499" i="5"/>
  <c r="V1498" i="5"/>
  <c r="U1498" i="5"/>
  <c r="V1497" i="5"/>
  <c r="U1497" i="5"/>
  <c r="V1496" i="5"/>
  <c r="U1496" i="5"/>
  <c r="V1495" i="5"/>
  <c r="U1495" i="5"/>
  <c r="V1494" i="5"/>
  <c r="U1494" i="5"/>
  <c r="V1493" i="5"/>
  <c r="U1493" i="5"/>
  <c r="V1492" i="5"/>
  <c r="U1492" i="5"/>
  <c r="V1491" i="5"/>
  <c r="U1491" i="5"/>
  <c r="V1490" i="5"/>
  <c r="U1490" i="5"/>
  <c r="V1489" i="5"/>
  <c r="U1489" i="5"/>
  <c r="V1488" i="5"/>
  <c r="U1488" i="5"/>
  <c r="V1487" i="5"/>
  <c r="U1487" i="5"/>
  <c r="V1486" i="5"/>
  <c r="U1486" i="5"/>
  <c r="V1485" i="5"/>
  <c r="U1485" i="5"/>
  <c r="V1484" i="5"/>
  <c r="U1484" i="5"/>
  <c r="V1483" i="5"/>
  <c r="U1483" i="5"/>
  <c r="V1482" i="5"/>
  <c r="U1482" i="5"/>
  <c r="V1481" i="5"/>
  <c r="U1481" i="5"/>
  <c r="V1480" i="5"/>
  <c r="U1480" i="5"/>
  <c r="V1479" i="5"/>
  <c r="U1479" i="5"/>
  <c r="V1478" i="5"/>
  <c r="U1478" i="5"/>
  <c r="V1477" i="5"/>
  <c r="U1477" i="5"/>
  <c r="V1476" i="5"/>
  <c r="U1476" i="5"/>
  <c r="V1475" i="5"/>
  <c r="U1475" i="5"/>
  <c r="V1474" i="5"/>
  <c r="U1474" i="5"/>
  <c r="V1473" i="5"/>
  <c r="U1473" i="5"/>
  <c r="V1472" i="5"/>
  <c r="U1472" i="5"/>
  <c r="V1471" i="5"/>
  <c r="U1471" i="5"/>
  <c r="V1470" i="5"/>
  <c r="U1470" i="5"/>
  <c r="V1469" i="5"/>
  <c r="U1469" i="5"/>
  <c r="V1468" i="5"/>
  <c r="U1468" i="5"/>
  <c r="V1467" i="5"/>
  <c r="U1467" i="5"/>
  <c r="V1466" i="5"/>
  <c r="U1466" i="5"/>
  <c r="V1465" i="5"/>
  <c r="U1465" i="5"/>
  <c r="V1464" i="5"/>
  <c r="U1464" i="5"/>
  <c r="V1463" i="5"/>
  <c r="U1463" i="5"/>
  <c r="V1462" i="5"/>
  <c r="U1462" i="5"/>
  <c r="V1461" i="5"/>
  <c r="U1461" i="5"/>
  <c r="V1460" i="5"/>
  <c r="U1460" i="5"/>
  <c r="V1459" i="5"/>
  <c r="U1459" i="5"/>
  <c r="V1458" i="5"/>
  <c r="U1458" i="5"/>
  <c r="V1457" i="5"/>
  <c r="U1457" i="5"/>
  <c r="V1456" i="5"/>
  <c r="U1456" i="5"/>
  <c r="V1455" i="5"/>
  <c r="U1455" i="5"/>
  <c r="V1454" i="5"/>
  <c r="U1454" i="5"/>
  <c r="V1453" i="5"/>
  <c r="U1453" i="5"/>
  <c r="V1452" i="5"/>
  <c r="U1452" i="5"/>
  <c r="V1451" i="5"/>
  <c r="U1451" i="5"/>
  <c r="V1450" i="5"/>
  <c r="U1450" i="5"/>
  <c r="V1449" i="5"/>
  <c r="U1449" i="5"/>
  <c r="V1448" i="5"/>
  <c r="U1448" i="5"/>
  <c r="V1447" i="5"/>
  <c r="U1447" i="5"/>
  <c r="V1446" i="5"/>
  <c r="U1446" i="5"/>
  <c r="V1445" i="5"/>
  <c r="U1445" i="5"/>
  <c r="V1444" i="5"/>
  <c r="U1444" i="5"/>
  <c r="V1443" i="5"/>
  <c r="U1443" i="5"/>
  <c r="V1442" i="5"/>
  <c r="U1442" i="5"/>
  <c r="V1441" i="5"/>
  <c r="U1441" i="5"/>
  <c r="V1440" i="5"/>
  <c r="U1440" i="5"/>
  <c r="V1439" i="5"/>
  <c r="U1439" i="5"/>
  <c r="V1438" i="5"/>
  <c r="U1438" i="5"/>
  <c r="V1437" i="5"/>
  <c r="U1437" i="5"/>
  <c r="V1436" i="5"/>
  <c r="U1436" i="5"/>
  <c r="V1435" i="5"/>
  <c r="U1435" i="5"/>
  <c r="V1434" i="5"/>
  <c r="U1434" i="5"/>
  <c r="V1433" i="5"/>
  <c r="U1433" i="5"/>
  <c r="V1432" i="5"/>
  <c r="U1432" i="5"/>
  <c r="V1431" i="5"/>
  <c r="U1431" i="5"/>
  <c r="V1430" i="5"/>
  <c r="U1430" i="5"/>
  <c r="V1429" i="5"/>
  <c r="U1429" i="5"/>
  <c r="V1428" i="5"/>
  <c r="U1428" i="5"/>
  <c r="V1427" i="5"/>
  <c r="U1427" i="5"/>
  <c r="V1426" i="5"/>
  <c r="U1426" i="5"/>
  <c r="V1425" i="5"/>
  <c r="U1425" i="5"/>
  <c r="V1424" i="5"/>
  <c r="U1424" i="5"/>
  <c r="V1423" i="5"/>
  <c r="U1423" i="5"/>
  <c r="V1422" i="5"/>
  <c r="U1422" i="5"/>
  <c r="V1421" i="5"/>
  <c r="U1421" i="5"/>
  <c r="V1420" i="5"/>
  <c r="U1420" i="5"/>
  <c r="V1419" i="5"/>
  <c r="U1419" i="5"/>
  <c r="V1418" i="5"/>
  <c r="U1418" i="5"/>
  <c r="V1417" i="5"/>
  <c r="U1417" i="5"/>
  <c r="V1416" i="5"/>
  <c r="U1416" i="5"/>
  <c r="V1415" i="5"/>
  <c r="U1415" i="5"/>
  <c r="V1414" i="5"/>
  <c r="U1414" i="5"/>
  <c r="V1413" i="5"/>
  <c r="U1413" i="5"/>
  <c r="V1412" i="5"/>
  <c r="U1412" i="5"/>
  <c r="V1411" i="5"/>
  <c r="U1411" i="5"/>
  <c r="V1410" i="5"/>
  <c r="U1410" i="5"/>
  <c r="V1409" i="5"/>
  <c r="U1409" i="5"/>
  <c r="V1408" i="5"/>
  <c r="U1408" i="5"/>
  <c r="V1407" i="5"/>
  <c r="U1407" i="5"/>
  <c r="V1406" i="5"/>
  <c r="U1406" i="5"/>
  <c r="V1405" i="5"/>
  <c r="U1405" i="5"/>
  <c r="V1404" i="5"/>
  <c r="U1404" i="5"/>
  <c r="V1403" i="5"/>
  <c r="U1403" i="5"/>
  <c r="V1402" i="5"/>
  <c r="U1402" i="5"/>
  <c r="V1401" i="5"/>
  <c r="U1401" i="5"/>
  <c r="V1400" i="5"/>
  <c r="U1400" i="5"/>
  <c r="V1399" i="5"/>
  <c r="U1399" i="5"/>
  <c r="V1398" i="5"/>
  <c r="U1398" i="5"/>
  <c r="V1397" i="5"/>
  <c r="U1397" i="5"/>
  <c r="V1396" i="5"/>
  <c r="U1396" i="5"/>
  <c r="V1395" i="5"/>
  <c r="U1395" i="5"/>
  <c r="V1394" i="5"/>
  <c r="U1394" i="5"/>
  <c r="V1393" i="5"/>
  <c r="U1393" i="5"/>
  <c r="V1392" i="5"/>
  <c r="U1392" i="5"/>
  <c r="V1391" i="5"/>
  <c r="U1391" i="5"/>
  <c r="V1390" i="5"/>
  <c r="U1390" i="5"/>
  <c r="V1389" i="5"/>
  <c r="U1389" i="5"/>
  <c r="V1388" i="5"/>
  <c r="U1388" i="5"/>
  <c r="V1387" i="5"/>
  <c r="U1387" i="5"/>
  <c r="V1386" i="5"/>
  <c r="U1386" i="5"/>
  <c r="V1385" i="5"/>
  <c r="U1385" i="5"/>
  <c r="V1384" i="5"/>
  <c r="U1384" i="5"/>
  <c r="V1383" i="5"/>
  <c r="U1383" i="5"/>
  <c r="V1382" i="5"/>
  <c r="U1382" i="5"/>
  <c r="V1381" i="5"/>
  <c r="U1381" i="5"/>
  <c r="V1380" i="5"/>
  <c r="U1380" i="5"/>
  <c r="V1379" i="5"/>
  <c r="U1379" i="5"/>
  <c r="V1378" i="5"/>
  <c r="U1378" i="5"/>
  <c r="V1377" i="5"/>
  <c r="U1377" i="5"/>
  <c r="V1376" i="5"/>
  <c r="U1376" i="5"/>
  <c r="V1375" i="5"/>
  <c r="U1375" i="5"/>
  <c r="V1374" i="5"/>
  <c r="U1374" i="5"/>
  <c r="V1373" i="5"/>
  <c r="U1373" i="5"/>
  <c r="V1372" i="5"/>
  <c r="U1372" i="5"/>
  <c r="V1371" i="5"/>
  <c r="U1371" i="5"/>
  <c r="V1370" i="5"/>
  <c r="U1370" i="5"/>
  <c r="V1369" i="5"/>
  <c r="U1369" i="5"/>
  <c r="V1368" i="5"/>
  <c r="U1368" i="5"/>
  <c r="V1367" i="5"/>
  <c r="U1367" i="5"/>
  <c r="V1366" i="5"/>
  <c r="U1366" i="5"/>
  <c r="V1365" i="5"/>
  <c r="U1365" i="5"/>
  <c r="V1364" i="5"/>
  <c r="U1364" i="5"/>
  <c r="V1363" i="5"/>
  <c r="U1363" i="5"/>
  <c r="V1362" i="5"/>
  <c r="U1362" i="5"/>
  <c r="V1361" i="5"/>
  <c r="U1361" i="5"/>
  <c r="V1360" i="5"/>
  <c r="U1360" i="5"/>
  <c r="V1359" i="5"/>
  <c r="U1359" i="5"/>
  <c r="V1358" i="5"/>
  <c r="U1358" i="5"/>
  <c r="V1357" i="5"/>
  <c r="U1357" i="5"/>
  <c r="V1356" i="5"/>
  <c r="U1356" i="5"/>
  <c r="V1355" i="5"/>
  <c r="U1355" i="5"/>
  <c r="V1354" i="5"/>
  <c r="U1354" i="5"/>
  <c r="V1353" i="5"/>
  <c r="U1353" i="5"/>
  <c r="V1352" i="5"/>
  <c r="U1352" i="5"/>
  <c r="V1351" i="5"/>
  <c r="U1351" i="5"/>
  <c r="V1350" i="5"/>
  <c r="U1350" i="5"/>
  <c r="V1349" i="5"/>
  <c r="U1349" i="5"/>
  <c r="V1348" i="5"/>
  <c r="U1348" i="5"/>
  <c r="V1347" i="5"/>
  <c r="U1347" i="5"/>
  <c r="V1346" i="5"/>
  <c r="U1346" i="5"/>
  <c r="V1345" i="5"/>
  <c r="U1345" i="5"/>
  <c r="V1344" i="5"/>
  <c r="U1344" i="5"/>
  <c r="V1343" i="5"/>
  <c r="U1343" i="5"/>
  <c r="V1342" i="5"/>
  <c r="U1342" i="5"/>
  <c r="V1341" i="5"/>
  <c r="U1341" i="5"/>
  <c r="V1340" i="5"/>
  <c r="U1340" i="5"/>
  <c r="V1339" i="5"/>
  <c r="U1339" i="5"/>
  <c r="V1338" i="5"/>
  <c r="U1338" i="5"/>
  <c r="V1337" i="5"/>
  <c r="U1337" i="5"/>
  <c r="V1336" i="5"/>
  <c r="U1336" i="5"/>
  <c r="V1335" i="5"/>
  <c r="U1335" i="5"/>
  <c r="V1334" i="5"/>
  <c r="U1334" i="5"/>
  <c r="V1333" i="5"/>
  <c r="U1333" i="5"/>
  <c r="V1332" i="5"/>
  <c r="U1332" i="5"/>
  <c r="V1331" i="5"/>
  <c r="U1331" i="5"/>
  <c r="V1330" i="5"/>
  <c r="U1330" i="5"/>
  <c r="V1329" i="5"/>
  <c r="U1329" i="5"/>
  <c r="V1328" i="5"/>
  <c r="U1328" i="5"/>
  <c r="V1327" i="5"/>
  <c r="U1327" i="5"/>
  <c r="V1326" i="5"/>
  <c r="U1326" i="5"/>
  <c r="V1325" i="5"/>
  <c r="U1325" i="5"/>
  <c r="V1324" i="5"/>
  <c r="U1324" i="5"/>
  <c r="V1323" i="5"/>
  <c r="U1323" i="5"/>
  <c r="V1322" i="5"/>
  <c r="U1322" i="5"/>
  <c r="V1321" i="5"/>
  <c r="U1321" i="5"/>
  <c r="V1320" i="5"/>
  <c r="U1320" i="5"/>
  <c r="V1319" i="5"/>
  <c r="U1319" i="5"/>
  <c r="V1318" i="5"/>
  <c r="U1318" i="5"/>
  <c r="V1317" i="5"/>
  <c r="U1317" i="5"/>
  <c r="V1316" i="5"/>
  <c r="U1316" i="5"/>
  <c r="V1315" i="5"/>
  <c r="U1315" i="5"/>
  <c r="V1314" i="5"/>
  <c r="U1314" i="5"/>
  <c r="V1313" i="5"/>
  <c r="U1313" i="5"/>
  <c r="V1312" i="5"/>
  <c r="U1312" i="5"/>
  <c r="V1311" i="5"/>
  <c r="U1311" i="5"/>
  <c r="V1310" i="5"/>
  <c r="U1310" i="5"/>
  <c r="V1309" i="5"/>
  <c r="U1309" i="5"/>
  <c r="V1308" i="5"/>
  <c r="U1308" i="5"/>
  <c r="V1307" i="5"/>
  <c r="U1307" i="5"/>
  <c r="V1306" i="5"/>
  <c r="U1306" i="5"/>
  <c r="V1305" i="5"/>
  <c r="U1305" i="5"/>
  <c r="V1304" i="5"/>
  <c r="U1304" i="5"/>
  <c r="V1303" i="5"/>
  <c r="U1303" i="5"/>
  <c r="V1302" i="5"/>
  <c r="U1302" i="5"/>
  <c r="V1301" i="5"/>
  <c r="U1301" i="5"/>
  <c r="V1300" i="5"/>
  <c r="U1300" i="5"/>
  <c r="V1299" i="5"/>
  <c r="U1299" i="5"/>
  <c r="V1298" i="5"/>
  <c r="U1298" i="5"/>
  <c r="V1297" i="5"/>
  <c r="U1297" i="5"/>
  <c r="V1296" i="5"/>
  <c r="U1296" i="5"/>
  <c r="V1295" i="5"/>
  <c r="U1295" i="5"/>
  <c r="V1294" i="5"/>
  <c r="U1294" i="5"/>
  <c r="V1293" i="5"/>
  <c r="U1293" i="5"/>
  <c r="V1292" i="5"/>
  <c r="U1292" i="5"/>
  <c r="V1291" i="5"/>
  <c r="U1291" i="5"/>
  <c r="V1290" i="5"/>
  <c r="U1290" i="5"/>
  <c r="V1289" i="5"/>
  <c r="U1289" i="5"/>
  <c r="V1288" i="5"/>
  <c r="U1288" i="5"/>
  <c r="V1287" i="5"/>
  <c r="U1287" i="5"/>
  <c r="V1286" i="5"/>
  <c r="U1286" i="5"/>
  <c r="V1285" i="5"/>
  <c r="U1285" i="5"/>
  <c r="V1284" i="5"/>
  <c r="U1284" i="5"/>
  <c r="V1283" i="5"/>
  <c r="U1283" i="5"/>
  <c r="V1282" i="5"/>
  <c r="U1282" i="5"/>
  <c r="V1281" i="5"/>
  <c r="U1281" i="5"/>
  <c r="V1280" i="5"/>
  <c r="U1280" i="5"/>
  <c r="V1279" i="5"/>
  <c r="U1279" i="5"/>
  <c r="V1278" i="5"/>
  <c r="U1278" i="5"/>
  <c r="V1277" i="5"/>
  <c r="U1277" i="5"/>
  <c r="V1276" i="5"/>
  <c r="U1276" i="5"/>
  <c r="V1275" i="5"/>
  <c r="U1275" i="5"/>
  <c r="V1274" i="5"/>
  <c r="U1274" i="5"/>
  <c r="V1273" i="5"/>
  <c r="U1273" i="5"/>
  <c r="V1272" i="5"/>
  <c r="U1272" i="5"/>
  <c r="V1271" i="5"/>
  <c r="U1271" i="5"/>
  <c r="V1270" i="5"/>
  <c r="U1270" i="5"/>
  <c r="V1269" i="5"/>
  <c r="U1269" i="5"/>
  <c r="V1268" i="5"/>
  <c r="U1268" i="5"/>
  <c r="V1267" i="5"/>
  <c r="U1267" i="5"/>
  <c r="V1266" i="5"/>
  <c r="U1266" i="5"/>
  <c r="V1265" i="5"/>
  <c r="U1265" i="5"/>
  <c r="V1264" i="5"/>
  <c r="U1264" i="5"/>
  <c r="V1263" i="5"/>
  <c r="U1263" i="5"/>
  <c r="V1262" i="5"/>
  <c r="U1262" i="5"/>
  <c r="V1261" i="5"/>
  <c r="U1261" i="5"/>
  <c r="V1260" i="5"/>
  <c r="U1260" i="5"/>
  <c r="V1259" i="5"/>
  <c r="U1259" i="5"/>
  <c r="V1258" i="5"/>
  <c r="U1258" i="5"/>
  <c r="V1257" i="5"/>
  <c r="U1257" i="5"/>
  <c r="V1256" i="5"/>
  <c r="U1256" i="5"/>
  <c r="V1255" i="5"/>
  <c r="U1255" i="5"/>
  <c r="V1254" i="5"/>
  <c r="U1254" i="5"/>
  <c r="V1253" i="5"/>
  <c r="U1253" i="5"/>
  <c r="V1252" i="5"/>
  <c r="U1252" i="5"/>
  <c r="V1251" i="5"/>
  <c r="U1251" i="5"/>
  <c r="V1250" i="5"/>
  <c r="U1250" i="5"/>
  <c r="V1249" i="5"/>
  <c r="U1249" i="5"/>
  <c r="V1248" i="5"/>
  <c r="U1248" i="5"/>
  <c r="V1247" i="5"/>
  <c r="U1247" i="5"/>
  <c r="V1246" i="5"/>
  <c r="U1246" i="5"/>
  <c r="V1245" i="5"/>
  <c r="U1245" i="5"/>
  <c r="V1244" i="5"/>
  <c r="U1244" i="5"/>
  <c r="V1243" i="5"/>
  <c r="U1243" i="5"/>
  <c r="V1242" i="5"/>
  <c r="U1242" i="5"/>
  <c r="V1241" i="5"/>
  <c r="U1241" i="5"/>
  <c r="V1240" i="5"/>
  <c r="U1240" i="5"/>
  <c r="V1239" i="5"/>
  <c r="U1239" i="5"/>
  <c r="V1238" i="5"/>
  <c r="U1238" i="5"/>
  <c r="V1237" i="5"/>
  <c r="U1237" i="5"/>
  <c r="V1236" i="5"/>
  <c r="U1236" i="5"/>
  <c r="V1235" i="5"/>
  <c r="U1235" i="5"/>
  <c r="V1234" i="5"/>
  <c r="U1234" i="5"/>
  <c r="V1233" i="5"/>
  <c r="U1233" i="5"/>
  <c r="V1232" i="5"/>
  <c r="U1232" i="5"/>
  <c r="V1231" i="5"/>
  <c r="U1231" i="5"/>
  <c r="V1230" i="5"/>
  <c r="U1230" i="5"/>
  <c r="V1229" i="5"/>
  <c r="U1229" i="5"/>
  <c r="V1228" i="5"/>
  <c r="U1228" i="5"/>
  <c r="V1227" i="5"/>
  <c r="U1227" i="5"/>
  <c r="V1226" i="5"/>
  <c r="U1226" i="5"/>
  <c r="V1225" i="5"/>
  <c r="U1225" i="5"/>
  <c r="V1224" i="5"/>
  <c r="U1224" i="5"/>
  <c r="V1223" i="5"/>
  <c r="U1223" i="5"/>
  <c r="V1222" i="5"/>
  <c r="U1222" i="5"/>
  <c r="V1221" i="5"/>
  <c r="U1221" i="5"/>
  <c r="V1220" i="5"/>
  <c r="U1220" i="5"/>
  <c r="V1219" i="5"/>
  <c r="U1219" i="5"/>
  <c r="V1218" i="5"/>
  <c r="U1218" i="5"/>
  <c r="V1217" i="5"/>
  <c r="U1217" i="5"/>
  <c r="V1216" i="5"/>
  <c r="U1216" i="5"/>
  <c r="V1215" i="5"/>
  <c r="U1215" i="5"/>
  <c r="V1214" i="5"/>
  <c r="U1214" i="5"/>
  <c r="V1213" i="5"/>
  <c r="U1213" i="5"/>
  <c r="V1212" i="5"/>
  <c r="U1212" i="5"/>
  <c r="V1211" i="5"/>
  <c r="U1211" i="5"/>
  <c r="V1210" i="5"/>
  <c r="U1210" i="5"/>
  <c r="V1209" i="5"/>
  <c r="U1209" i="5"/>
  <c r="V1208" i="5"/>
  <c r="U1208" i="5"/>
  <c r="V1207" i="5"/>
  <c r="U1207" i="5"/>
  <c r="V1206" i="5"/>
  <c r="U1206" i="5"/>
  <c r="V1205" i="5"/>
  <c r="U1205" i="5"/>
  <c r="V1204" i="5"/>
  <c r="U1204" i="5"/>
  <c r="V1203" i="5"/>
  <c r="U1203" i="5"/>
  <c r="V1202" i="5"/>
  <c r="U1202" i="5"/>
  <c r="V1201" i="5"/>
  <c r="U1201" i="5"/>
  <c r="V1200" i="5"/>
  <c r="U1200" i="5"/>
  <c r="V1199" i="5"/>
  <c r="U1199" i="5"/>
  <c r="V1198" i="5"/>
  <c r="U1198" i="5"/>
  <c r="V1197" i="5"/>
  <c r="U1197" i="5"/>
  <c r="V1196" i="5"/>
  <c r="U1196" i="5"/>
  <c r="V1195" i="5"/>
  <c r="U1195" i="5"/>
  <c r="V1194" i="5"/>
  <c r="U1194" i="5"/>
  <c r="V1193" i="5"/>
  <c r="U1193" i="5"/>
  <c r="V1192" i="5"/>
  <c r="U1192" i="5"/>
  <c r="V1191" i="5"/>
  <c r="U1191" i="5"/>
  <c r="V1190" i="5"/>
  <c r="U1190" i="5"/>
  <c r="V1189" i="5"/>
  <c r="U1189" i="5"/>
  <c r="V1188" i="5"/>
  <c r="U1188" i="5"/>
  <c r="V1187" i="5"/>
  <c r="U1187" i="5"/>
  <c r="V1186" i="5"/>
  <c r="U1186" i="5"/>
  <c r="V1185" i="5"/>
  <c r="U1185" i="5"/>
  <c r="V1184" i="5"/>
  <c r="U1184" i="5"/>
  <c r="V1183" i="5"/>
  <c r="U1183" i="5"/>
  <c r="V1182" i="5"/>
  <c r="U1182" i="5"/>
  <c r="V1181" i="5"/>
  <c r="U1181" i="5"/>
  <c r="V1180" i="5"/>
  <c r="U1180" i="5"/>
  <c r="V1179" i="5"/>
  <c r="U1179" i="5"/>
  <c r="V1178" i="5"/>
  <c r="U1178" i="5"/>
  <c r="V1177" i="5"/>
  <c r="U1177" i="5"/>
  <c r="V1176" i="5"/>
  <c r="U1176" i="5"/>
  <c r="V1175" i="5"/>
  <c r="U1175" i="5"/>
  <c r="V1174" i="5"/>
  <c r="U1174" i="5"/>
  <c r="V1173" i="5"/>
  <c r="U1173" i="5"/>
  <c r="V1172" i="5"/>
  <c r="U1172" i="5"/>
  <c r="V1171" i="5"/>
  <c r="U1171" i="5"/>
  <c r="V1170" i="5"/>
  <c r="U1170" i="5"/>
  <c r="V1169" i="5"/>
  <c r="U1169" i="5"/>
  <c r="V1168" i="5"/>
  <c r="U1168" i="5"/>
  <c r="V1167" i="5"/>
  <c r="U1167" i="5"/>
  <c r="V1166" i="5"/>
  <c r="U1166" i="5"/>
  <c r="V1165" i="5"/>
  <c r="U1165" i="5"/>
  <c r="V1164" i="5"/>
  <c r="U1164" i="5"/>
  <c r="V1163" i="5"/>
  <c r="U1163" i="5"/>
  <c r="V1162" i="5"/>
  <c r="U1162" i="5"/>
  <c r="V1161" i="5"/>
  <c r="U1161" i="5"/>
  <c r="V1160" i="5"/>
  <c r="U1160" i="5"/>
  <c r="V1159" i="5"/>
  <c r="U1159" i="5"/>
  <c r="V1158" i="5"/>
  <c r="U1158" i="5"/>
  <c r="V1157" i="5"/>
  <c r="U1157" i="5"/>
  <c r="V1156" i="5"/>
  <c r="U1156" i="5"/>
  <c r="V1155" i="5"/>
  <c r="U1155" i="5"/>
  <c r="V1154" i="5"/>
  <c r="U1154" i="5"/>
  <c r="V1153" i="5"/>
  <c r="U1153" i="5"/>
  <c r="V1152" i="5"/>
  <c r="U1152" i="5"/>
  <c r="V1151" i="5"/>
  <c r="U1151" i="5"/>
  <c r="V1150" i="5"/>
  <c r="U1150" i="5"/>
  <c r="V1149" i="5"/>
  <c r="U1149" i="5"/>
  <c r="V1148" i="5"/>
  <c r="U1148" i="5"/>
  <c r="V1147" i="5"/>
  <c r="U1147" i="5"/>
  <c r="V1146" i="5"/>
  <c r="U1146" i="5"/>
  <c r="V1145" i="5"/>
  <c r="U1145" i="5"/>
  <c r="V1144" i="5"/>
  <c r="U1144" i="5"/>
  <c r="V1143" i="5"/>
  <c r="U1143" i="5"/>
  <c r="V1142" i="5"/>
  <c r="U1142" i="5"/>
  <c r="V1141" i="5"/>
  <c r="U1141" i="5"/>
  <c r="V1140" i="5"/>
  <c r="U1140" i="5"/>
  <c r="V1139" i="5"/>
  <c r="U1139" i="5"/>
  <c r="V1138" i="5"/>
  <c r="U1138" i="5"/>
  <c r="V1137" i="5"/>
  <c r="U1137" i="5"/>
  <c r="V1136" i="5"/>
  <c r="U1136" i="5"/>
  <c r="V1135" i="5"/>
  <c r="U1135" i="5"/>
  <c r="V1134" i="5"/>
  <c r="U1134" i="5"/>
  <c r="V1133" i="5"/>
  <c r="U1133" i="5"/>
  <c r="V1132" i="5"/>
  <c r="U1132" i="5"/>
  <c r="V1131" i="5"/>
  <c r="U1131" i="5"/>
  <c r="V1130" i="5"/>
  <c r="U1130" i="5"/>
  <c r="V1129" i="5"/>
  <c r="U1129" i="5"/>
  <c r="V1128" i="5"/>
  <c r="U1128" i="5"/>
  <c r="V1127" i="5"/>
  <c r="U1127" i="5"/>
  <c r="V1126" i="5"/>
  <c r="U1126" i="5"/>
  <c r="V1125" i="5"/>
  <c r="U1125" i="5"/>
  <c r="V1124" i="5"/>
  <c r="U1124" i="5"/>
  <c r="V1123" i="5"/>
  <c r="U1123" i="5"/>
  <c r="V1122" i="5"/>
  <c r="U1122" i="5"/>
  <c r="V1121" i="5"/>
  <c r="U1121" i="5"/>
  <c r="V1120" i="5"/>
  <c r="U1120" i="5"/>
  <c r="V1119" i="5"/>
  <c r="U1119" i="5"/>
  <c r="V1118" i="5"/>
  <c r="U1118" i="5"/>
  <c r="V1117" i="5"/>
  <c r="U1117" i="5"/>
  <c r="V1116" i="5"/>
  <c r="U1116" i="5"/>
  <c r="V1115" i="5"/>
  <c r="U1115" i="5"/>
  <c r="V1114" i="5"/>
  <c r="U1114" i="5"/>
  <c r="V1113" i="5"/>
  <c r="U1113" i="5"/>
  <c r="V1112" i="5"/>
  <c r="U1112" i="5"/>
  <c r="V1111" i="5"/>
  <c r="U1111" i="5"/>
  <c r="V1110" i="5"/>
  <c r="U1110" i="5"/>
  <c r="V1109" i="5"/>
  <c r="U1109" i="5"/>
  <c r="V1108" i="5"/>
  <c r="U1108" i="5"/>
  <c r="V1107" i="5"/>
  <c r="U1107" i="5"/>
  <c r="V1106" i="5"/>
  <c r="U1106" i="5"/>
  <c r="V1105" i="5"/>
  <c r="U1105" i="5"/>
  <c r="V1104" i="5"/>
  <c r="U1104" i="5"/>
  <c r="V1103" i="5"/>
  <c r="U1103" i="5"/>
  <c r="V1102" i="5"/>
  <c r="U1102" i="5"/>
  <c r="V1101" i="5"/>
  <c r="U1101" i="5"/>
  <c r="V1100" i="5"/>
  <c r="U1100" i="5"/>
  <c r="V1099" i="5"/>
  <c r="U1099" i="5"/>
  <c r="V1098" i="5"/>
  <c r="U1098" i="5"/>
  <c r="V1097" i="5"/>
  <c r="U1097" i="5"/>
  <c r="V1096" i="5"/>
  <c r="U1096" i="5"/>
  <c r="V1095" i="5"/>
  <c r="U1095" i="5"/>
  <c r="V1094" i="5"/>
  <c r="U1094" i="5"/>
  <c r="V1093" i="5"/>
  <c r="U1093" i="5"/>
  <c r="V1092" i="5"/>
  <c r="U1092" i="5"/>
  <c r="V1091" i="5"/>
  <c r="U1091" i="5"/>
  <c r="V1090" i="5"/>
  <c r="U1090" i="5"/>
  <c r="V1089" i="5"/>
  <c r="U1089" i="5"/>
  <c r="V1088" i="5"/>
  <c r="U1088" i="5"/>
  <c r="V1087" i="5"/>
  <c r="U1087" i="5"/>
  <c r="V1086" i="5"/>
  <c r="U1086" i="5"/>
  <c r="V1085" i="5"/>
  <c r="U1085" i="5"/>
  <c r="V1084" i="5"/>
  <c r="U1084" i="5"/>
  <c r="V1083" i="5"/>
  <c r="U1083" i="5"/>
  <c r="V1082" i="5"/>
  <c r="U1082" i="5"/>
  <c r="V1081" i="5"/>
  <c r="U1081" i="5"/>
  <c r="V1080" i="5"/>
  <c r="U1080" i="5"/>
  <c r="V1079" i="5"/>
  <c r="U1079" i="5"/>
  <c r="V1078" i="5"/>
  <c r="U1078" i="5"/>
  <c r="V1077" i="5"/>
  <c r="U1077" i="5"/>
  <c r="V1076" i="5"/>
  <c r="U1076" i="5"/>
  <c r="V1075" i="5"/>
  <c r="U1075" i="5"/>
  <c r="V1074" i="5"/>
  <c r="U1074" i="5"/>
  <c r="V1073" i="5"/>
  <c r="U1073" i="5"/>
  <c r="V1072" i="5"/>
  <c r="U1072" i="5"/>
  <c r="V1071" i="5"/>
  <c r="U1071" i="5"/>
  <c r="V1070" i="5"/>
  <c r="U1070" i="5"/>
  <c r="V1069" i="5"/>
  <c r="U1069" i="5"/>
  <c r="V1068" i="5"/>
  <c r="U1068" i="5"/>
  <c r="V1067" i="5"/>
  <c r="U1067" i="5"/>
  <c r="V1066" i="5"/>
  <c r="U1066" i="5"/>
  <c r="V1065" i="5"/>
  <c r="U1065" i="5"/>
  <c r="V1064" i="5"/>
  <c r="U1064" i="5"/>
  <c r="V1063" i="5"/>
  <c r="U1063" i="5"/>
  <c r="V1062" i="5"/>
  <c r="U1062" i="5"/>
  <c r="V1061" i="5"/>
  <c r="U1061" i="5"/>
  <c r="V1060" i="5"/>
  <c r="U1060" i="5"/>
  <c r="V1059" i="5"/>
  <c r="U1059" i="5"/>
  <c r="V1058" i="5"/>
  <c r="U1058" i="5"/>
  <c r="V1057" i="5"/>
  <c r="U1057" i="5"/>
  <c r="V1056" i="5"/>
  <c r="U1056" i="5"/>
  <c r="V1055" i="5"/>
  <c r="U1055" i="5"/>
  <c r="V1054" i="5"/>
  <c r="U1054" i="5"/>
  <c r="V1053" i="5"/>
  <c r="U1053" i="5"/>
  <c r="V1052" i="5"/>
  <c r="U1052" i="5"/>
  <c r="V1051" i="5"/>
  <c r="U1051" i="5"/>
  <c r="V1050" i="5"/>
  <c r="U1050" i="5"/>
  <c r="V1049" i="5"/>
  <c r="U1049" i="5"/>
  <c r="V1048" i="5"/>
  <c r="U1048" i="5"/>
  <c r="V1047" i="5"/>
  <c r="U1047" i="5"/>
  <c r="V1046" i="5"/>
  <c r="U1046" i="5"/>
  <c r="V1045" i="5"/>
  <c r="U1045" i="5"/>
  <c r="V1044" i="5"/>
  <c r="U1044" i="5"/>
  <c r="V1043" i="5"/>
  <c r="U1043" i="5"/>
  <c r="V1042" i="5"/>
  <c r="U1042" i="5"/>
  <c r="V1041" i="5"/>
  <c r="U1041" i="5"/>
  <c r="V1040" i="5"/>
  <c r="U1040" i="5"/>
  <c r="V1039" i="5"/>
  <c r="U1039" i="5"/>
  <c r="V1038" i="5"/>
  <c r="U1038" i="5"/>
  <c r="V1037" i="5"/>
  <c r="U1037" i="5"/>
  <c r="V1036" i="5"/>
  <c r="U1036" i="5"/>
  <c r="V1035" i="5"/>
  <c r="U1035" i="5"/>
  <c r="V1034" i="5"/>
  <c r="U1034" i="5"/>
  <c r="V1033" i="5"/>
  <c r="U1033" i="5"/>
  <c r="V1032" i="5"/>
  <c r="U1032" i="5"/>
  <c r="V1031" i="5"/>
  <c r="U1031" i="5"/>
  <c r="V1030" i="5"/>
  <c r="U1030" i="5"/>
  <c r="V1029" i="5"/>
  <c r="U1029" i="5"/>
  <c r="V1028" i="5"/>
  <c r="U1028" i="5"/>
  <c r="V1027" i="5"/>
  <c r="U1027" i="5"/>
  <c r="V1026" i="5"/>
  <c r="U1026" i="5"/>
  <c r="V1025" i="5"/>
  <c r="U1025" i="5"/>
  <c r="V1024" i="5"/>
  <c r="U1024" i="5"/>
  <c r="V1023" i="5"/>
  <c r="U1023" i="5"/>
  <c r="V1022" i="5"/>
  <c r="U1022" i="5"/>
  <c r="V1021" i="5"/>
  <c r="U1021" i="5"/>
  <c r="V1020" i="5"/>
  <c r="U1020" i="5"/>
  <c r="V1019" i="5"/>
  <c r="U1019" i="5"/>
  <c r="V1018" i="5"/>
  <c r="U1018" i="5"/>
  <c r="V1017" i="5"/>
  <c r="U1017" i="5"/>
  <c r="V1016" i="5"/>
  <c r="U1016" i="5"/>
  <c r="V1015" i="5"/>
  <c r="U1015" i="5"/>
  <c r="V1014" i="5"/>
  <c r="U1014" i="5"/>
  <c r="V1013" i="5"/>
  <c r="U1013" i="5"/>
  <c r="V1012" i="5"/>
  <c r="U1012" i="5"/>
  <c r="V1011" i="5"/>
  <c r="U1011" i="5"/>
  <c r="V1010" i="5"/>
  <c r="U1010" i="5"/>
  <c r="V1009" i="5"/>
  <c r="U1009" i="5"/>
  <c r="V1008" i="5"/>
  <c r="U1008" i="5"/>
  <c r="V1007" i="5"/>
  <c r="U1007" i="5"/>
  <c r="V1006" i="5"/>
  <c r="U1006" i="5"/>
  <c r="V1005" i="5"/>
  <c r="U1005" i="5"/>
  <c r="V1004" i="5"/>
  <c r="U1004" i="5"/>
  <c r="V1003" i="5"/>
  <c r="U1003" i="5"/>
  <c r="V1002" i="5"/>
  <c r="U1002" i="5"/>
  <c r="V1001" i="5"/>
  <c r="U1001" i="5"/>
  <c r="V1000" i="5"/>
  <c r="U1000" i="5"/>
  <c r="V999" i="5"/>
  <c r="U999" i="5"/>
  <c r="V998" i="5"/>
  <c r="U998" i="5"/>
  <c r="V997" i="5"/>
  <c r="U997" i="5"/>
  <c r="V996" i="5"/>
  <c r="U996" i="5"/>
  <c r="V995" i="5"/>
  <c r="U995" i="5"/>
  <c r="V994" i="5"/>
  <c r="U994" i="5"/>
  <c r="V993" i="5"/>
  <c r="U993" i="5"/>
  <c r="V992" i="5"/>
  <c r="U992" i="5"/>
  <c r="V991" i="5"/>
  <c r="U991" i="5"/>
  <c r="V990" i="5"/>
  <c r="U990" i="5"/>
  <c r="V989" i="5"/>
  <c r="U989" i="5"/>
  <c r="V988" i="5"/>
  <c r="U988" i="5"/>
  <c r="V987" i="5"/>
  <c r="U987" i="5"/>
  <c r="V986" i="5"/>
  <c r="U986" i="5"/>
  <c r="V985" i="5"/>
  <c r="U985" i="5"/>
  <c r="V984" i="5"/>
  <c r="U984" i="5"/>
  <c r="V983" i="5"/>
  <c r="U983" i="5"/>
  <c r="V982" i="5"/>
  <c r="U982" i="5"/>
  <c r="V981" i="5"/>
  <c r="U981" i="5"/>
  <c r="V980" i="5"/>
  <c r="U980" i="5"/>
  <c r="V979" i="5"/>
  <c r="U979" i="5"/>
  <c r="V978" i="5"/>
  <c r="U978" i="5"/>
  <c r="V977" i="5"/>
  <c r="U977" i="5"/>
  <c r="V976" i="5"/>
  <c r="U976" i="5"/>
  <c r="V975" i="5"/>
  <c r="U975" i="5"/>
  <c r="V974" i="5"/>
  <c r="U974" i="5"/>
  <c r="V973" i="5"/>
  <c r="U973" i="5"/>
  <c r="V972" i="5"/>
  <c r="U972" i="5"/>
  <c r="V971" i="5"/>
  <c r="U971" i="5"/>
  <c r="V970" i="5"/>
  <c r="U970" i="5"/>
  <c r="V969" i="5"/>
  <c r="U969" i="5"/>
  <c r="V968" i="5"/>
  <c r="U968" i="5"/>
  <c r="V967" i="5"/>
  <c r="U967" i="5"/>
  <c r="V966" i="5"/>
  <c r="U966" i="5"/>
  <c r="V965" i="5"/>
  <c r="U965" i="5"/>
  <c r="V964" i="5"/>
  <c r="U964" i="5"/>
  <c r="V963" i="5"/>
  <c r="U963" i="5"/>
  <c r="V962" i="5"/>
  <c r="U962" i="5"/>
  <c r="V961" i="5"/>
  <c r="U961" i="5"/>
  <c r="V960" i="5"/>
  <c r="U960" i="5"/>
  <c r="V959" i="5"/>
  <c r="U959" i="5"/>
  <c r="V958" i="5"/>
  <c r="U958" i="5"/>
  <c r="V957" i="5"/>
  <c r="U957" i="5"/>
  <c r="V956" i="5"/>
  <c r="U956" i="5"/>
  <c r="V955" i="5"/>
  <c r="U955" i="5"/>
  <c r="V954" i="5"/>
  <c r="U954" i="5"/>
  <c r="V953" i="5"/>
  <c r="U953" i="5"/>
  <c r="V952" i="5"/>
  <c r="U952" i="5"/>
  <c r="V951" i="5"/>
  <c r="U951" i="5"/>
  <c r="V950" i="5"/>
  <c r="U950" i="5"/>
  <c r="V949" i="5"/>
  <c r="U949" i="5"/>
  <c r="V948" i="5"/>
  <c r="U948" i="5"/>
  <c r="V947" i="5"/>
  <c r="U947" i="5"/>
  <c r="V946" i="5"/>
  <c r="U946" i="5"/>
  <c r="V945" i="5"/>
  <c r="U945" i="5"/>
  <c r="V944" i="5"/>
  <c r="U944" i="5"/>
  <c r="V943" i="5"/>
  <c r="U943" i="5"/>
  <c r="V942" i="5"/>
  <c r="U942" i="5"/>
  <c r="V941" i="5"/>
  <c r="U941" i="5"/>
  <c r="V940" i="5"/>
  <c r="U940" i="5"/>
  <c r="V939" i="5"/>
  <c r="U939" i="5"/>
  <c r="V938" i="5"/>
  <c r="U938" i="5"/>
  <c r="V937" i="5"/>
  <c r="U937" i="5"/>
  <c r="V936" i="5"/>
  <c r="U936" i="5"/>
  <c r="V935" i="5"/>
  <c r="U935" i="5"/>
  <c r="V934" i="5"/>
  <c r="U934" i="5"/>
  <c r="V933" i="5"/>
  <c r="U933" i="5"/>
  <c r="V932" i="5"/>
  <c r="U932" i="5"/>
  <c r="V931" i="5"/>
  <c r="U931" i="5"/>
  <c r="V930" i="5"/>
  <c r="U930" i="5"/>
  <c r="V929" i="5"/>
  <c r="U929" i="5"/>
  <c r="V928" i="5"/>
  <c r="U928" i="5"/>
  <c r="V927" i="5"/>
  <c r="U927" i="5"/>
  <c r="V926" i="5"/>
  <c r="U926" i="5"/>
  <c r="V925" i="5"/>
  <c r="U925" i="5"/>
  <c r="V924" i="5"/>
  <c r="U924" i="5"/>
  <c r="V923" i="5"/>
  <c r="U923" i="5"/>
  <c r="V922" i="5"/>
  <c r="U922" i="5"/>
  <c r="V921" i="5"/>
  <c r="U921" i="5"/>
  <c r="V920" i="5"/>
  <c r="U920" i="5"/>
  <c r="V919" i="5"/>
  <c r="U919" i="5"/>
  <c r="V918" i="5"/>
  <c r="U918" i="5"/>
  <c r="V917" i="5"/>
  <c r="U917" i="5"/>
  <c r="V916" i="5"/>
  <c r="U916" i="5"/>
  <c r="V915" i="5"/>
  <c r="U915" i="5"/>
  <c r="V914" i="5"/>
  <c r="U914" i="5"/>
  <c r="V913" i="5"/>
  <c r="U913" i="5"/>
  <c r="V912" i="5"/>
  <c r="U912" i="5"/>
  <c r="V911" i="5"/>
  <c r="U911" i="5"/>
  <c r="V910" i="5"/>
  <c r="U910" i="5"/>
  <c r="V909" i="5"/>
  <c r="U909" i="5"/>
  <c r="V908" i="5"/>
  <c r="U908" i="5"/>
  <c r="V907" i="5"/>
  <c r="U907" i="5"/>
  <c r="V906" i="5"/>
  <c r="U906" i="5"/>
  <c r="V905" i="5"/>
  <c r="U905" i="5"/>
  <c r="V904" i="5"/>
  <c r="U904" i="5"/>
  <c r="V903" i="5"/>
  <c r="U903" i="5"/>
  <c r="V902" i="5"/>
  <c r="U902" i="5"/>
  <c r="V901" i="5"/>
  <c r="U901" i="5"/>
  <c r="V900" i="5"/>
  <c r="U900" i="5"/>
  <c r="V899" i="5"/>
  <c r="U899" i="5"/>
  <c r="V898" i="5"/>
  <c r="U898" i="5"/>
  <c r="V897" i="5"/>
  <c r="U897" i="5"/>
  <c r="V896" i="5"/>
  <c r="U896" i="5"/>
  <c r="V895" i="5"/>
  <c r="U895" i="5"/>
  <c r="V894" i="5"/>
  <c r="U894" i="5"/>
  <c r="V893" i="5"/>
  <c r="U893" i="5"/>
  <c r="V892" i="5"/>
  <c r="U892" i="5"/>
  <c r="V891" i="5"/>
  <c r="U891" i="5"/>
  <c r="V890" i="5"/>
  <c r="U890" i="5"/>
  <c r="V889" i="5"/>
  <c r="U889" i="5"/>
  <c r="V888" i="5"/>
  <c r="U888" i="5"/>
  <c r="V887" i="5"/>
  <c r="U887" i="5"/>
  <c r="V886" i="5"/>
  <c r="U886" i="5"/>
  <c r="V885" i="5"/>
  <c r="U885" i="5"/>
  <c r="V884" i="5"/>
  <c r="U884" i="5"/>
  <c r="V883" i="5"/>
  <c r="U883" i="5"/>
  <c r="V882" i="5"/>
  <c r="U882" i="5"/>
  <c r="V881" i="5"/>
  <c r="U881" i="5"/>
  <c r="V880" i="5"/>
  <c r="U880" i="5"/>
  <c r="V879" i="5"/>
  <c r="U879" i="5"/>
  <c r="V878" i="5"/>
  <c r="U878" i="5"/>
  <c r="V877" i="5"/>
  <c r="U877" i="5"/>
  <c r="V876" i="5"/>
  <c r="U876" i="5"/>
  <c r="V875" i="5"/>
  <c r="U875" i="5"/>
  <c r="V874" i="5"/>
  <c r="U874" i="5"/>
  <c r="V873" i="5"/>
  <c r="U873" i="5"/>
  <c r="V872" i="5"/>
  <c r="U872" i="5"/>
  <c r="V871" i="5"/>
  <c r="U871" i="5"/>
  <c r="V870" i="5"/>
  <c r="U870" i="5"/>
  <c r="V869" i="5"/>
  <c r="U869" i="5"/>
  <c r="V868" i="5"/>
  <c r="U868" i="5"/>
  <c r="V867" i="5"/>
  <c r="U867" i="5"/>
  <c r="V866" i="5"/>
  <c r="U866" i="5"/>
  <c r="V865" i="5"/>
  <c r="U865" i="5"/>
  <c r="V864" i="5"/>
  <c r="U864" i="5"/>
  <c r="V863" i="5"/>
  <c r="U863" i="5"/>
  <c r="V862" i="5"/>
  <c r="U862" i="5"/>
  <c r="V861" i="5"/>
  <c r="U861" i="5"/>
  <c r="V860" i="5"/>
  <c r="U860" i="5"/>
  <c r="V859" i="5"/>
  <c r="U859" i="5"/>
  <c r="V858" i="5"/>
  <c r="U858" i="5"/>
  <c r="V857" i="5"/>
  <c r="U857" i="5"/>
  <c r="V856" i="5"/>
  <c r="U856" i="5"/>
  <c r="V855" i="5"/>
  <c r="U855" i="5"/>
  <c r="V854" i="5"/>
  <c r="U854" i="5"/>
  <c r="V853" i="5"/>
  <c r="U853" i="5"/>
  <c r="V852" i="5"/>
  <c r="U852" i="5"/>
  <c r="V851" i="5"/>
  <c r="U851" i="5"/>
  <c r="V850" i="5"/>
  <c r="U850" i="5"/>
  <c r="V849" i="5"/>
  <c r="U849" i="5"/>
  <c r="V848" i="5"/>
  <c r="U848" i="5"/>
  <c r="V847" i="5"/>
  <c r="U847" i="5"/>
  <c r="V846" i="5"/>
  <c r="U846" i="5"/>
  <c r="V845" i="5"/>
  <c r="U845" i="5"/>
  <c r="V844" i="5"/>
  <c r="U844" i="5"/>
  <c r="V843" i="5"/>
  <c r="U843" i="5"/>
  <c r="V842" i="5"/>
  <c r="U842" i="5"/>
  <c r="V841" i="5"/>
  <c r="U841" i="5"/>
  <c r="V840" i="5"/>
  <c r="U840" i="5"/>
  <c r="V839" i="5"/>
  <c r="U839" i="5"/>
  <c r="V838" i="5"/>
  <c r="U838" i="5"/>
  <c r="V837" i="5"/>
  <c r="U837" i="5"/>
  <c r="V836" i="5"/>
  <c r="U836" i="5"/>
  <c r="V835" i="5"/>
  <c r="U835" i="5"/>
  <c r="V834" i="5"/>
  <c r="U834" i="5"/>
  <c r="V833" i="5"/>
  <c r="U833" i="5"/>
  <c r="V832" i="5"/>
  <c r="U832" i="5"/>
  <c r="V831" i="5"/>
  <c r="U831" i="5"/>
  <c r="V830" i="5"/>
  <c r="U830" i="5"/>
  <c r="V829" i="5"/>
  <c r="U829" i="5"/>
  <c r="V828" i="5"/>
  <c r="U828" i="5"/>
  <c r="V827" i="5"/>
  <c r="U827" i="5"/>
  <c r="V826" i="5"/>
  <c r="U826" i="5"/>
  <c r="V825" i="5"/>
  <c r="U825" i="5"/>
  <c r="V824" i="5"/>
  <c r="U824" i="5"/>
  <c r="V823" i="5"/>
  <c r="U823" i="5"/>
  <c r="V822" i="5"/>
  <c r="U822" i="5"/>
  <c r="V821" i="5"/>
  <c r="U821" i="5"/>
  <c r="V820" i="5"/>
  <c r="U820" i="5"/>
  <c r="V819" i="5"/>
  <c r="U819" i="5"/>
  <c r="V818" i="5"/>
  <c r="U818" i="5"/>
  <c r="V817" i="5"/>
  <c r="U817" i="5"/>
  <c r="V816" i="5"/>
  <c r="U816" i="5"/>
  <c r="V815" i="5"/>
  <c r="U815" i="5"/>
  <c r="V814" i="5"/>
  <c r="U814" i="5"/>
  <c r="V813" i="5"/>
  <c r="U813" i="5"/>
  <c r="V812" i="5"/>
  <c r="U812" i="5"/>
  <c r="V811" i="5"/>
  <c r="U811" i="5"/>
  <c r="V810" i="5"/>
  <c r="U810" i="5"/>
  <c r="V809" i="5"/>
  <c r="U809" i="5"/>
  <c r="V808" i="5"/>
  <c r="U808" i="5"/>
  <c r="V807" i="5"/>
  <c r="U807" i="5"/>
  <c r="V806" i="5"/>
  <c r="U806" i="5"/>
  <c r="V805" i="5"/>
  <c r="U805" i="5"/>
  <c r="V804" i="5"/>
  <c r="U804" i="5"/>
  <c r="V803" i="5"/>
  <c r="U803" i="5"/>
  <c r="V802" i="5"/>
  <c r="U802" i="5"/>
  <c r="V801" i="5"/>
  <c r="U801" i="5"/>
  <c r="V800" i="5"/>
  <c r="U800" i="5"/>
  <c r="V799" i="5"/>
  <c r="U799" i="5"/>
  <c r="V798" i="5"/>
  <c r="U798" i="5"/>
  <c r="V797" i="5"/>
  <c r="U797" i="5"/>
  <c r="V796" i="5"/>
  <c r="U796" i="5"/>
  <c r="V795" i="5"/>
  <c r="U795" i="5"/>
  <c r="V794" i="5"/>
  <c r="U794" i="5"/>
  <c r="V793" i="5"/>
  <c r="U793" i="5"/>
  <c r="V792" i="5"/>
  <c r="U792" i="5"/>
  <c r="V791" i="5"/>
  <c r="U791" i="5"/>
  <c r="V790" i="5"/>
  <c r="U790" i="5"/>
  <c r="V789" i="5"/>
  <c r="U789" i="5"/>
  <c r="V788" i="5"/>
  <c r="U788" i="5"/>
  <c r="V787" i="5"/>
  <c r="U787" i="5"/>
  <c r="V786" i="5"/>
  <c r="U786" i="5"/>
  <c r="V785" i="5"/>
  <c r="U785" i="5"/>
  <c r="V784" i="5"/>
  <c r="U784" i="5"/>
  <c r="V783" i="5"/>
  <c r="U783" i="5"/>
  <c r="V782" i="5"/>
  <c r="U782" i="5"/>
  <c r="V781" i="5"/>
  <c r="U781" i="5"/>
  <c r="V780" i="5"/>
  <c r="U780" i="5"/>
  <c r="V779" i="5"/>
  <c r="U779" i="5"/>
  <c r="V778" i="5"/>
  <c r="U778" i="5"/>
  <c r="V777" i="5"/>
  <c r="U777" i="5"/>
  <c r="V776" i="5"/>
  <c r="U776" i="5"/>
  <c r="V775" i="5"/>
  <c r="U775" i="5"/>
  <c r="V774" i="5"/>
  <c r="U774" i="5"/>
  <c r="V773" i="5"/>
  <c r="U773" i="5"/>
  <c r="V772" i="5"/>
  <c r="U772" i="5"/>
  <c r="V771" i="5"/>
  <c r="U771" i="5"/>
  <c r="V770" i="5"/>
  <c r="U770" i="5"/>
  <c r="V769" i="5"/>
  <c r="U769" i="5"/>
  <c r="V768" i="5"/>
  <c r="U768" i="5"/>
  <c r="V767" i="5"/>
  <c r="U767" i="5"/>
  <c r="V766" i="5"/>
  <c r="U766" i="5"/>
  <c r="V765" i="5"/>
  <c r="U765" i="5"/>
  <c r="V764" i="5"/>
  <c r="U764" i="5"/>
  <c r="V763" i="5"/>
  <c r="U763" i="5"/>
  <c r="V762" i="5"/>
  <c r="U762" i="5"/>
  <c r="V761" i="5"/>
  <c r="U761" i="5"/>
  <c r="V760" i="5"/>
  <c r="U760" i="5"/>
  <c r="V759" i="5"/>
  <c r="U759" i="5"/>
  <c r="V758" i="5"/>
  <c r="U758" i="5"/>
  <c r="V757" i="5"/>
  <c r="U757" i="5"/>
  <c r="V756" i="5"/>
  <c r="U756" i="5"/>
  <c r="V755" i="5"/>
  <c r="U755" i="5"/>
  <c r="V754" i="5"/>
  <c r="U754" i="5"/>
  <c r="V753" i="5"/>
  <c r="U753" i="5"/>
  <c r="V752" i="5"/>
  <c r="U752" i="5"/>
  <c r="V751" i="5"/>
  <c r="U751" i="5"/>
  <c r="V750" i="5"/>
  <c r="U750" i="5"/>
  <c r="V749" i="5"/>
  <c r="U749" i="5"/>
  <c r="V748" i="5"/>
  <c r="U748" i="5"/>
  <c r="V747" i="5"/>
  <c r="U747" i="5"/>
  <c r="V746" i="5"/>
  <c r="U746" i="5"/>
  <c r="V745" i="5"/>
  <c r="U745" i="5"/>
  <c r="V744" i="5"/>
  <c r="U744" i="5"/>
  <c r="V743" i="5"/>
  <c r="U743" i="5"/>
  <c r="V742" i="5"/>
  <c r="U742" i="5"/>
  <c r="V741" i="5"/>
  <c r="U741" i="5"/>
  <c r="V740" i="5"/>
  <c r="U740" i="5"/>
  <c r="V739" i="5"/>
  <c r="U739" i="5"/>
  <c r="V738" i="5"/>
  <c r="U738" i="5"/>
  <c r="V737" i="5"/>
  <c r="U737" i="5"/>
  <c r="V736" i="5"/>
  <c r="U736" i="5"/>
  <c r="V735" i="5"/>
  <c r="U735" i="5"/>
  <c r="V734" i="5"/>
  <c r="U734" i="5"/>
  <c r="V733" i="5"/>
  <c r="U733" i="5"/>
  <c r="V732" i="5"/>
  <c r="U732" i="5"/>
  <c r="V731" i="5"/>
  <c r="U731" i="5"/>
  <c r="V730" i="5"/>
  <c r="U730" i="5"/>
  <c r="V729" i="5"/>
  <c r="U729" i="5"/>
  <c r="V728" i="5"/>
  <c r="U728" i="5"/>
  <c r="V727" i="5"/>
  <c r="U727" i="5"/>
  <c r="V726" i="5"/>
  <c r="U726" i="5"/>
  <c r="V725" i="5"/>
  <c r="U725" i="5"/>
  <c r="V724" i="5"/>
  <c r="U724" i="5"/>
  <c r="V723" i="5"/>
  <c r="U723" i="5"/>
  <c r="V722" i="5"/>
  <c r="U722" i="5"/>
  <c r="V721" i="5"/>
  <c r="U721" i="5"/>
  <c r="V720" i="5"/>
  <c r="U720" i="5"/>
  <c r="V719" i="5"/>
  <c r="U719" i="5"/>
  <c r="V718" i="5"/>
  <c r="U718" i="5"/>
  <c r="V717" i="5"/>
  <c r="U717" i="5"/>
  <c r="V716" i="5"/>
  <c r="U716" i="5"/>
  <c r="V715" i="5"/>
  <c r="U715" i="5"/>
  <c r="V714" i="5"/>
  <c r="U714" i="5"/>
  <c r="V713" i="5"/>
  <c r="U713" i="5"/>
  <c r="V712" i="5"/>
  <c r="U712" i="5"/>
  <c r="V711" i="5"/>
  <c r="U711" i="5"/>
  <c r="V710" i="5"/>
  <c r="U710" i="5"/>
  <c r="V709" i="5"/>
  <c r="U709" i="5"/>
  <c r="V708" i="5"/>
  <c r="U708" i="5"/>
  <c r="V707" i="5"/>
  <c r="U707" i="5"/>
  <c r="V706" i="5"/>
  <c r="U706" i="5"/>
  <c r="V705" i="5"/>
  <c r="U705" i="5"/>
  <c r="V704" i="5"/>
  <c r="U704" i="5"/>
  <c r="V703" i="5"/>
  <c r="U703" i="5"/>
  <c r="V702" i="5"/>
  <c r="U702" i="5"/>
  <c r="V701" i="5"/>
  <c r="U701" i="5"/>
  <c r="V700" i="5"/>
  <c r="U700" i="5"/>
  <c r="V699" i="5"/>
  <c r="U699" i="5"/>
  <c r="V698" i="5"/>
  <c r="U698" i="5"/>
  <c r="V697" i="5"/>
  <c r="U697" i="5"/>
  <c r="V696" i="5"/>
  <c r="U696" i="5"/>
  <c r="V695" i="5"/>
  <c r="U695" i="5"/>
  <c r="V694" i="5"/>
  <c r="U694" i="5"/>
  <c r="V693" i="5"/>
  <c r="U693" i="5"/>
  <c r="V692" i="5"/>
  <c r="U692" i="5"/>
  <c r="V691" i="5"/>
  <c r="U691" i="5"/>
  <c r="V690" i="5"/>
  <c r="U690" i="5"/>
  <c r="V689" i="5"/>
  <c r="U689" i="5"/>
  <c r="V688" i="5"/>
  <c r="U688" i="5"/>
  <c r="V687" i="5"/>
  <c r="U687" i="5"/>
  <c r="V686" i="5"/>
  <c r="U686" i="5"/>
  <c r="V685" i="5"/>
  <c r="U685" i="5"/>
  <c r="V684" i="5"/>
  <c r="U684" i="5"/>
  <c r="V683" i="5"/>
  <c r="U683" i="5"/>
  <c r="V682" i="5"/>
  <c r="U682" i="5"/>
  <c r="V681" i="5"/>
  <c r="U681" i="5"/>
  <c r="V680" i="5"/>
  <c r="U680" i="5"/>
  <c r="V679" i="5"/>
  <c r="U679" i="5"/>
  <c r="V678" i="5"/>
  <c r="U678" i="5"/>
  <c r="V677" i="5"/>
  <c r="U677" i="5"/>
  <c r="V676" i="5"/>
  <c r="U676" i="5"/>
  <c r="V675" i="5"/>
  <c r="U675" i="5"/>
  <c r="V674" i="5"/>
  <c r="U674" i="5"/>
  <c r="V673" i="5"/>
  <c r="U673" i="5"/>
  <c r="V672" i="5"/>
  <c r="U672" i="5"/>
  <c r="V671" i="5"/>
  <c r="U671" i="5"/>
  <c r="V670" i="5"/>
  <c r="U670" i="5"/>
  <c r="V669" i="5"/>
  <c r="U669" i="5"/>
  <c r="V668" i="5"/>
  <c r="U668" i="5"/>
  <c r="V667" i="5"/>
  <c r="U667" i="5"/>
  <c r="V666" i="5"/>
  <c r="U666" i="5"/>
  <c r="V665" i="5"/>
  <c r="U665" i="5"/>
  <c r="V664" i="5"/>
  <c r="U664" i="5"/>
  <c r="V663" i="5"/>
  <c r="U663" i="5"/>
  <c r="V662" i="5"/>
  <c r="U662" i="5"/>
  <c r="V661" i="5"/>
  <c r="U661" i="5"/>
  <c r="V660" i="5"/>
  <c r="U660" i="5"/>
  <c r="V659" i="5"/>
  <c r="U659" i="5"/>
  <c r="V658" i="5"/>
  <c r="U658" i="5"/>
  <c r="V657" i="5"/>
  <c r="U657" i="5"/>
  <c r="V656" i="5"/>
  <c r="U656" i="5"/>
  <c r="V655" i="5"/>
  <c r="U655" i="5"/>
  <c r="V654" i="5"/>
  <c r="U654" i="5"/>
  <c r="V653" i="5"/>
  <c r="U653" i="5"/>
  <c r="V652" i="5"/>
  <c r="U652" i="5"/>
  <c r="V651" i="5"/>
  <c r="U651" i="5"/>
  <c r="V650" i="5"/>
  <c r="U650" i="5"/>
  <c r="V649" i="5"/>
  <c r="U649" i="5"/>
  <c r="V648" i="5"/>
  <c r="U648" i="5"/>
  <c r="V647" i="5"/>
  <c r="U647" i="5"/>
  <c r="V646" i="5"/>
  <c r="U646" i="5"/>
  <c r="V645" i="5"/>
  <c r="U645" i="5"/>
  <c r="V644" i="5"/>
  <c r="U644" i="5"/>
  <c r="V643" i="5"/>
  <c r="U643" i="5"/>
  <c r="V642" i="5"/>
  <c r="U642" i="5"/>
  <c r="V641" i="5"/>
  <c r="U641" i="5"/>
  <c r="V640" i="5"/>
  <c r="U640" i="5"/>
  <c r="V639" i="5"/>
  <c r="U639" i="5"/>
  <c r="V638" i="5"/>
  <c r="U638" i="5"/>
  <c r="V637" i="5"/>
  <c r="U637" i="5"/>
  <c r="V636" i="5"/>
  <c r="U636" i="5"/>
  <c r="V635" i="5"/>
  <c r="U635" i="5"/>
  <c r="V634" i="5"/>
  <c r="U634" i="5"/>
  <c r="V633" i="5"/>
  <c r="U633" i="5"/>
  <c r="V632" i="5"/>
  <c r="U632" i="5"/>
  <c r="V631" i="5"/>
  <c r="U631" i="5"/>
  <c r="V630" i="5"/>
  <c r="U630" i="5"/>
  <c r="V629" i="5"/>
  <c r="U629" i="5"/>
  <c r="V628" i="5"/>
  <c r="U628" i="5"/>
  <c r="V627" i="5"/>
  <c r="U627" i="5"/>
  <c r="V626" i="5"/>
  <c r="U626" i="5"/>
  <c r="V625" i="5"/>
  <c r="U625" i="5"/>
  <c r="V624" i="5"/>
  <c r="U624" i="5"/>
  <c r="V623" i="5"/>
  <c r="U623" i="5"/>
  <c r="V622" i="5"/>
  <c r="U622" i="5"/>
  <c r="V621" i="5"/>
  <c r="U621" i="5"/>
  <c r="V620" i="5"/>
  <c r="U620" i="5"/>
  <c r="V619" i="5"/>
  <c r="U619" i="5"/>
  <c r="V618" i="5"/>
  <c r="U618" i="5"/>
  <c r="V617" i="5"/>
  <c r="U617" i="5"/>
  <c r="V616" i="5"/>
  <c r="U616" i="5"/>
  <c r="V615" i="5"/>
  <c r="U615" i="5"/>
  <c r="V614" i="5"/>
  <c r="U614" i="5"/>
  <c r="V613" i="5"/>
  <c r="U613" i="5"/>
  <c r="V612" i="5"/>
  <c r="U612" i="5"/>
  <c r="V611" i="5"/>
  <c r="U611" i="5"/>
  <c r="V610" i="5"/>
  <c r="U610" i="5"/>
  <c r="V609" i="5"/>
  <c r="U609" i="5"/>
  <c r="V608" i="5"/>
  <c r="U608" i="5"/>
  <c r="V607" i="5"/>
  <c r="U607" i="5"/>
  <c r="V606" i="5"/>
  <c r="U606" i="5"/>
  <c r="V605" i="5"/>
  <c r="U605" i="5"/>
  <c r="V604" i="5"/>
  <c r="U604" i="5"/>
  <c r="V603" i="5"/>
  <c r="U603" i="5"/>
  <c r="V602" i="5"/>
  <c r="U602" i="5"/>
  <c r="V601" i="5"/>
  <c r="U601" i="5"/>
  <c r="V600" i="5"/>
  <c r="U600" i="5"/>
  <c r="V599" i="5"/>
  <c r="U599" i="5"/>
  <c r="V598" i="5"/>
  <c r="U598" i="5"/>
  <c r="V597" i="5"/>
  <c r="U597" i="5"/>
  <c r="V596" i="5"/>
  <c r="U596" i="5"/>
  <c r="V595" i="5"/>
  <c r="U595" i="5"/>
  <c r="V594" i="5"/>
  <c r="U594" i="5"/>
  <c r="V593" i="5"/>
  <c r="U593" i="5"/>
  <c r="V592" i="5"/>
  <c r="U592" i="5"/>
  <c r="V591" i="5"/>
  <c r="U591" i="5"/>
  <c r="V590" i="5"/>
  <c r="U590" i="5"/>
  <c r="V589" i="5"/>
  <c r="U589" i="5"/>
  <c r="V588" i="5"/>
  <c r="U588" i="5"/>
  <c r="V587" i="5"/>
  <c r="U587" i="5"/>
  <c r="V586" i="5"/>
  <c r="U586" i="5"/>
  <c r="V585" i="5"/>
  <c r="U585" i="5"/>
  <c r="V584" i="5"/>
  <c r="U584" i="5"/>
  <c r="V583" i="5"/>
  <c r="U583" i="5"/>
  <c r="V582" i="5"/>
  <c r="U582" i="5"/>
  <c r="V581" i="5"/>
  <c r="U581" i="5"/>
  <c r="V580" i="5"/>
  <c r="U580" i="5"/>
  <c r="V579" i="5"/>
  <c r="U579" i="5"/>
  <c r="V578" i="5"/>
  <c r="U578" i="5"/>
  <c r="V577" i="5"/>
  <c r="U577" i="5"/>
  <c r="V576" i="5"/>
  <c r="U576" i="5"/>
  <c r="V575" i="5"/>
  <c r="U575" i="5"/>
  <c r="V574" i="5"/>
  <c r="U574" i="5"/>
  <c r="V573" i="5"/>
  <c r="U573" i="5"/>
  <c r="V572" i="5"/>
  <c r="U572" i="5"/>
  <c r="V571" i="5"/>
  <c r="U571" i="5"/>
  <c r="V570" i="5"/>
  <c r="U570" i="5"/>
  <c r="V569" i="5"/>
  <c r="U569" i="5"/>
  <c r="V568" i="5"/>
  <c r="U568" i="5"/>
  <c r="V567" i="5"/>
  <c r="U567" i="5"/>
  <c r="V566" i="5"/>
  <c r="U566" i="5"/>
  <c r="V565" i="5"/>
  <c r="U565" i="5"/>
  <c r="V564" i="5"/>
  <c r="U564" i="5"/>
  <c r="V563" i="5"/>
  <c r="U563" i="5"/>
  <c r="V562" i="5"/>
  <c r="U562" i="5"/>
  <c r="V561" i="5"/>
  <c r="U561" i="5"/>
  <c r="V560" i="5"/>
  <c r="U560" i="5"/>
  <c r="V559" i="5"/>
  <c r="U559" i="5"/>
  <c r="V558" i="5"/>
  <c r="U558" i="5"/>
  <c r="V557" i="5"/>
  <c r="U557" i="5"/>
  <c r="V556" i="5"/>
  <c r="U556" i="5"/>
  <c r="V555" i="5"/>
  <c r="U555" i="5"/>
  <c r="V554" i="5"/>
  <c r="U554" i="5"/>
  <c r="V553" i="5"/>
  <c r="U553" i="5"/>
  <c r="V552" i="5"/>
  <c r="U552" i="5"/>
  <c r="V551" i="5"/>
  <c r="U551" i="5"/>
  <c r="V550" i="5"/>
  <c r="U550" i="5"/>
  <c r="V549" i="5"/>
  <c r="U549" i="5"/>
  <c r="V548" i="5"/>
  <c r="U548" i="5"/>
  <c r="V547" i="5"/>
  <c r="U547" i="5"/>
  <c r="V546" i="5"/>
  <c r="U546" i="5"/>
  <c r="V545" i="5"/>
  <c r="U545" i="5"/>
  <c r="V544" i="5"/>
  <c r="U544" i="5"/>
  <c r="V543" i="5"/>
  <c r="U543" i="5"/>
  <c r="V542" i="5"/>
  <c r="U542" i="5"/>
  <c r="V541" i="5"/>
  <c r="U541" i="5"/>
  <c r="V540" i="5"/>
  <c r="U540" i="5"/>
  <c r="V539" i="5"/>
  <c r="U539" i="5"/>
  <c r="V538" i="5"/>
  <c r="U538" i="5"/>
  <c r="V537" i="5"/>
  <c r="U537" i="5"/>
  <c r="V536" i="5"/>
  <c r="U536" i="5"/>
  <c r="V535" i="5"/>
  <c r="U535" i="5"/>
  <c r="V534" i="5"/>
  <c r="U534" i="5"/>
  <c r="V533" i="5"/>
  <c r="U533" i="5"/>
  <c r="V532" i="5"/>
  <c r="U532" i="5"/>
  <c r="V531" i="5"/>
  <c r="U531" i="5"/>
  <c r="V530" i="5"/>
  <c r="U530" i="5"/>
  <c r="V529" i="5"/>
  <c r="U529" i="5"/>
  <c r="V528" i="5"/>
  <c r="U528" i="5"/>
  <c r="V527" i="5"/>
  <c r="U527" i="5"/>
  <c r="V526" i="5"/>
  <c r="U526" i="5"/>
  <c r="V525" i="5"/>
  <c r="U525" i="5"/>
  <c r="V524" i="5"/>
  <c r="U524" i="5"/>
  <c r="V523" i="5"/>
  <c r="U523" i="5"/>
  <c r="V522" i="5"/>
  <c r="U522" i="5"/>
  <c r="V521" i="5"/>
  <c r="U521" i="5"/>
  <c r="V520" i="5"/>
  <c r="U520" i="5"/>
  <c r="V519" i="5"/>
  <c r="U519" i="5"/>
  <c r="V518" i="5"/>
  <c r="U518" i="5"/>
  <c r="V517" i="5"/>
  <c r="U517" i="5"/>
  <c r="V516" i="5"/>
  <c r="U516" i="5"/>
  <c r="V515" i="5"/>
  <c r="U515" i="5"/>
  <c r="V514" i="5"/>
  <c r="U514" i="5"/>
  <c r="V513" i="5"/>
  <c r="U513" i="5"/>
  <c r="V512" i="5"/>
  <c r="U512" i="5"/>
  <c r="V511" i="5"/>
  <c r="U511" i="5"/>
  <c r="V510" i="5"/>
  <c r="U510" i="5"/>
  <c r="V509" i="5"/>
  <c r="U509" i="5"/>
  <c r="V508" i="5"/>
  <c r="U508" i="5"/>
  <c r="V507" i="5"/>
  <c r="U507" i="5"/>
  <c r="V506" i="5"/>
  <c r="U506" i="5"/>
  <c r="V505" i="5"/>
  <c r="U505" i="5"/>
  <c r="V504" i="5"/>
  <c r="U504" i="5"/>
  <c r="V503" i="5"/>
  <c r="U503" i="5"/>
  <c r="V502" i="5"/>
  <c r="U502" i="5"/>
  <c r="V501" i="5"/>
  <c r="U501" i="5"/>
  <c r="V500" i="5"/>
  <c r="U500" i="5"/>
  <c r="V499" i="5"/>
  <c r="U499" i="5"/>
  <c r="V498" i="5"/>
  <c r="U498" i="5"/>
  <c r="V497" i="5"/>
  <c r="U497" i="5"/>
  <c r="V496" i="5"/>
  <c r="U496" i="5"/>
  <c r="V495" i="5"/>
  <c r="U495" i="5"/>
  <c r="V494" i="5"/>
  <c r="U494" i="5"/>
  <c r="V493" i="5"/>
  <c r="U493" i="5"/>
  <c r="V492" i="5"/>
  <c r="U492" i="5"/>
  <c r="V491" i="5"/>
  <c r="U491" i="5"/>
  <c r="V490" i="5"/>
  <c r="U490" i="5"/>
  <c r="V489" i="5"/>
  <c r="U489" i="5"/>
  <c r="V488" i="5"/>
  <c r="U488" i="5"/>
  <c r="V487" i="5"/>
  <c r="U487" i="5"/>
  <c r="V486" i="5"/>
  <c r="U486" i="5"/>
  <c r="V485" i="5"/>
  <c r="U485" i="5"/>
  <c r="V484" i="5"/>
  <c r="U484" i="5"/>
  <c r="V483" i="5"/>
  <c r="U483" i="5"/>
  <c r="V482" i="5"/>
  <c r="U482" i="5"/>
  <c r="V481" i="5"/>
  <c r="U481" i="5"/>
  <c r="V480" i="5"/>
  <c r="U480" i="5"/>
  <c r="V479" i="5"/>
  <c r="U479" i="5"/>
  <c r="V478" i="5"/>
  <c r="U478" i="5"/>
  <c r="V477" i="5"/>
  <c r="U477" i="5"/>
  <c r="V476" i="5"/>
  <c r="U476" i="5"/>
  <c r="V475" i="5"/>
  <c r="U475" i="5"/>
  <c r="V474" i="5"/>
  <c r="U474" i="5"/>
  <c r="V473" i="5"/>
  <c r="U473" i="5"/>
  <c r="V472" i="5"/>
  <c r="U472" i="5"/>
  <c r="V471" i="5"/>
  <c r="U471" i="5"/>
  <c r="V470" i="5"/>
  <c r="U470" i="5"/>
  <c r="V469" i="5"/>
  <c r="U469" i="5"/>
  <c r="V468" i="5"/>
  <c r="U468" i="5"/>
  <c r="V467" i="5"/>
  <c r="U467" i="5"/>
  <c r="V466" i="5"/>
  <c r="U466" i="5"/>
  <c r="V465" i="5"/>
  <c r="U465" i="5"/>
  <c r="V464" i="5"/>
  <c r="U464" i="5"/>
  <c r="V463" i="5"/>
  <c r="U463" i="5"/>
  <c r="V462" i="5"/>
  <c r="U462" i="5"/>
  <c r="V461" i="5"/>
  <c r="U461" i="5"/>
  <c r="V460" i="5"/>
  <c r="U460" i="5"/>
  <c r="V459" i="5"/>
  <c r="U459" i="5"/>
  <c r="V458" i="5"/>
  <c r="U458" i="5"/>
  <c r="V457" i="5"/>
  <c r="U457" i="5"/>
  <c r="V456" i="5"/>
  <c r="U456" i="5"/>
  <c r="V455" i="5"/>
  <c r="U455" i="5"/>
  <c r="V454" i="5"/>
  <c r="U454" i="5"/>
  <c r="V453" i="5"/>
  <c r="U453" i="5"/>
  <c r="V452" i="5"/>
  <c r="U452" i="5"/>
  <c r="V451" i="5"/>
  <c r="U451" i="5"/>
  <c r="V450" i="5"/>
  <c r="U450" i="5"/>
  <c r="V449" i="5"/>
  <c r="U449" i="5"/>
  <c r="V448" i="5"/>
  <c r="U448" i="5"/>
  <c r="V447" i="5"/>
  <c r="U447" i="5"/>
  <c r="V446" i="5"/>
  <c r="U446" i="5"/>
  <c r="V445" i="5"/>
  <c r="U445" i="5"/>
  <c r="V444" i="5"/>
  <c r="U444" i="5"/>
  <c r="V443" i="5"/>
  <c r="U443" i="5"/>
  <c r="V442" i="5"/>
  <c r="U442" i="5"/>
  <c r="V441" i="5"/>
  <c r="U441" i="5"/>
  <c r="V440" i="5"/>
  <c r="U440" i="5"/>
  <c r="V439" i="5"/>
  <c r="U439" i="5"/>
  <c r="V438" i="5"/>
  <c r="U438" i="5"/>
  <c r="V437" i="5"/>
  <c r="U437" i="5"/>
  <c r="V436" i="5"/>
  <c r="U436" i="5"/>
  <c r="V435" i="5"/>
  <c r="U435" i="5"/>
  <c r="V434" i="5"/>
  <c r="U434" i="5"/>
  <c r="V433" i="5"/>
  <c r="U433" i="5"/>
  <c r="V432" i="5"/>
  <c r="U432" i="5"/>
  <c r="V431" i="5"/>
  <c r="U431" i="5"/>
  <c r="V430" i="5"/>
  <c r="U430" i="5"/>
  <c r="V429" i="5"/>
  <c r="U429" i="5"/>
  <c r="V428" i="5"/>
  <c r="U428" i="5"/>
  <c r="V427" i="5"/>
  <c r="U427" i="5"/>
  <c r="V426" i="5"/>
  <c r="U426" i="5"/>
  <c r="V425" i="5"/>
  <c r="U425" i="5"/>
  <c r="V424" i="5"/>
  <c r="U424" i="5"/>
  <c r="V423" i="5"/>
  <c r="U423" i="5"/>
  <c r="V422" i="5"/>
  <c r="U422" i="5"/>
  <c r="V421" i="5"/>
  <c r="U421" i="5"/>
  <c r="V420" i="5"/>
  <c r="U420" i="5"/>
  <c r="V419" i="5"/>
  <c r="U419" i="5"/>
  <c r="V418" i="5"/>
  <c r="U418" i="5"/>
  <c r="V417" i="5"/>
  <c r="U417" i="5"/>
  <c r="V416" i="5"/>
  <c r="U416" i="5"/>
  <c r="V415" i="5"/>
  <c r="U415" i="5"/>
  <c r="V414" i="5"/>
  <c r="U414" i="5"/>
  <c r="V413" i="5"/>
  <c r="U413" i="5"/>
  <c r="V412" i="5"/>
  <c r="U412" i="5"/>
  <c r="V411" i="5"/>
  <c r="U411" i="5"/>
  <c r="V410" i="5"/>
  <c r="U410" i="5"/>
  <c r="V409" i="5"/>
  <c r="U409" i="5"/>
  <c r="V408" i="5"/>
  <c r="U408" i="5"/>
  <c r="V407" i="5"/>
  <c r="U407" i="5"/>
  <c r="V406" i="5"/>
  <c r="U406" i="5"/>
  <c r="V405" i="5"/>
  <c r="U405" i="5"/>
  <c r="V404" i="5"/>
  <c r="U404" i="5"/>
  <c r="V403" i="5"/>
  <c r="U403" i="5"/>
  <c r="V402" i="5"/>
  <c r="U402" i="5"/>
  <c r="V401" i="5"/>
  <c r="U401" i="5"/>
  <c r="V400" i="5"/>
  <c r="U400" i="5"/>
  <c r="V399" i="5"/>
  <c r="U399" i="5"/>
  <c r="V398" i="5"/>
  <c r="U398" i="5"/>
  <c r="V397" i="5"/>
  <c r="U397" i="5"/>
  <c r="V396" i="5"/>
  <c r="U396" i="5"/>
  <c r="V395" i="5"/>
  <c r="U395" i="5"/>
  <c r="V394" i="5"/>
  <c r="U394" i="5"/>
  <c r="V393" i="5"/>
  <c r="U393" i="5"/>
  <c r="V392" i="5"/>
  <c r="U392" i="5"/>
  <c r="V391" i="5"/>
  <c r="U391" i="5"/>
  <c r="V390" i="5"/>
  <c r="U390" i="5"/>
  <c r="V389" i="5"/>
  <c r="U389" i="5"/>
  <c r="V388" i="5"/>
  <c r="U388" i="5"/>
  <c r="V387" i="5"/>
  <c r="U387" i="5"/>
  <c r="V386" i="5"/>
  <c r="U386" i="5"/>
  <c r="V385" i="5"/>
  <c r="U385" i="5"/>
  <c r="V384" i="5"/>
  <c r="U384" i="5"/>
  <c r="V383" i="5"/>
  <c r="U383" i="5"/>
  <c r="V382" i="5"/>
  <c r="U382" i="5"/>
  <c r="V381" i="5"/>
  <c r="U381" i="5"/>
  <c r="V380" i="5"/>
  <c r="U380" i="5"/>
  <c r="V379" i="5"/>
  <c r="U379" i="5"/>
  <c r="V378" i="5"/>
  <c r="U378" i="5"/>
  <c r="V377" i="5"/>
  <c r="U377" i="5"/>
  <c r="V376" i="5"/>
  <c r="U376" i="5"/>
  <c r="V375" i="5"/>
  <c r="U375" i="5"/>
  <c r="V374" i="5"/>
  <c r="U374" i="5"/>
  <c r="V373" i="5"/>
  <c r="U373" i="5"/>
  <c r="V372" i="5"/>
  <c r="U372" i="5"/>
  <c r="V371" i="5"/>
  <c r="U371" i="5"/>
  <c r="V370" i="5"/>
  <c r="U370" i="5"/>
  <c r="V369" i="5"/>
  <c r="U369" i="5"/>
  <c r="V368" i="5"/>
  <c r="U368" i="5"/>
  <c r="V367" i="5"/>
  <c r="U367" i="5"/>
  <c r="V366" i="5"/>
  <c r="U366" i="5"/>
  <c r="V365" i="5"/>
  <c r="U365" i="5"/>
  <c r="V364" i="5"/>
  <c r="U364" i="5"/>
  <c r="V363" i="5"/>
  <c r="U363" i="5"/>
  <c r="V362" i="5"/>
  <c r="U362" i="5"/>
  <c r="V361" i="5"/>
  <c r="U361" i="5"/>
  <c r="V360" i="5"/>
  <c r="U360" i="5"/>
  <c r="V359" i="5"/>
  <c r="U359" i="5"/>
  <c r="V358" i="5"/>
  <c r="U358" i="5"/>
  <c r="V357" i="5"/>
  <c r="U357" i="5"/>
  <c r="V356" i="5"/>
  <c r="U356" i="5"/>
  <c r="V355" i="5"/>
  <c r="U355" i="5"/>
  <c r="V354" i="5"/>
  <c r="U354" i="5"/>
  <c r="V353" i="5"/>
  <c r="U353" i="5"/>
  <c r="V352" i="5"/>
  <c r="U352" i="5"/>
  <c r="V351" i="5"/>
  <c r="U351" i="5"/>
  <c r="V350" i="5"/>
  <c r="U350" i="5"/>
  <c r="V349" i="5"/>
  <c r="U349" i="5"/>
  <c r="V348" i="5"/>
  <c r="U348" i="5"/>
  <c r="V347" i="5"/>
  <c r="U347" i="5"/>
  <c r="V346" i="5"/>
  <c r="U346" i="5"/>
  <c r="V345" i="5"/>
  <c r="U345" i="5"/>
  <c r="V344" i="5"/>
  <c r="U344" i="5"/>
  <c r="V343" i="5"/>
  <c r="U343" i="5"/>
  <c r="V342" i="5"/>
  <c r="U342" i="5"/>
  <c r="V341" i="5"/>
  <c r="U341" i="5"/>
  <c r="V340" i="5"/>
  <c r="U340" i="5"/>
  <c r="V339" i="5"/>
  <c r="U339" i="5"/>
  <c r="V338" i="5"/>
  <c r="U338" i="5"/>
  <c r="V337" i="5"/>
  <c r="U337" i="5"/>
  <c r="V336" i="5"/>
  <c r="U336" i="5"/>
  <c r="V335" i="5"/>
  <c r="U335" i="5"/>
  <c r="V334" i="5"/>
  <c r="U334" i="5"/>
  <c r="V333" i="5"/>
  <c r="U333" i="5"/>
  <c r="V332" i="5"/>
  <c r="U332" i="5"/>
  <c r="V331" i="5"/>
  <c r="U331" i="5"/>
  <c r="V330" i="5"/>
  <c r="U330" i="5"/>
  <c r="V329" i="5"/>
  <c r="U329" i="5"/>
  <c r="V328" i="5"/>
  <c r="U328" i="5"/>
  <c r="V327" i="5"/>
  <c r="U327" i="5"/>
  <c r="V326" i="5"/>
  <c r="U326" i="5"/>
  <c r="V325" i="5"/>
  <c r="U325" i="5"/>
  <c r="V324" i="5"/>
  <c r="U324" i="5"/>
  <c r="V323" i="5"/>
  <c r="U323" i="5"/>
  <c r="V322" i="5"/>
  <c r="U322" i="5"/>
  <c r="V321" i="5"/>
  <c r="U321" i="5"/>
  <c r="V320" i="5"/>
  <c r="U320" i="5"/>
  <c r="V319" i="5"/>
  <c r="U319" i="5"/>
  <c r="V318" i="5"/>
  <c r="U318" i="5"/>
  <c r="V317" i="5"/>
  <c r="U317" i="5"/>
  <c r="V316" i="5"/>
  <c r="U316" i="5"/>
  <c r="V315" i="5"/>
  <c r="U315" i="5"/>
  <c r="V314" i="5"/>
  <c r="U314" i="5"/>
  <c r="V313" i="5"/>
  <c r="U313" i="5"/>
  <c r="V312" i="5"/>
  <c r="U312" i="5"/>
  <c r="V311" i="5"/>
  <c r="U311" i="5"/>
  <c r="V310" i="5"/>
  <c r="U310" i="5"/>
  <c r="V309" i="5"/>
  <c r="U309" i="5"/>
  <c r="V308" i="5"/>
  <c r="U308" i="5"/>
  <c r="V307" i="5"/>
  <c r="U307" i="5"/>
  <c r="V306" i="5"/>
  <c r="U306" i="5"/>
  <c r="V305" i="5"/>
  <c r="U305" i="5"/>
  <c r="V304" i="5"/>
  <c r="U304" i="5"/>
  <c r="V303" i="5"/>
  <c r="U303" i="5"/>
  <c r="V302" i="5"/>
  <c r="U302" i="5"/>
  <c r="V301" i="5"/>
  <c r="U301" i="5"/>
  <c r="V300" i="5"/>
  <c r="U300" i="5"/>
  <c r="V299" i="5"/>
  <c r="U299" i="5"/>
  <c r="V298" i="5"/>
  <c r="U298" i="5"/>
  <c r="V297" i="5"/>
  <c r="U297" i="5"/>
  <c r="V296" i="5"/>
  <c r="U296" i="5"/>
  <c r="V295" i="5"/>
  <c r="U295" i="5"/>
  <c r="V294" i="5"/>
  <c r="U294" i="5"/>
  <c r="V293" i="5"/>
  <c r="U293" i="5"/>
  <c r="V292" i="5"/>
  <c r="U292" i="5"/>
  <c r="V291" i="5"/>
  <c r="U291" i="5"/>
  <c r="V290" i="5"/>
  <c r="U290" i="5"/>
  <c r="V289" i="5"/>
  <c r="U289" i="5"/>
  <c r="V288" i="5"/>
  <c r="U288" i="5"/>
  <c r="V287" i="5"/>
  <c r="U287" i="5"/>
  <c r="V286" i="5"/>
  <c r="U286" i="5"/>
  <c r="V285" i="5"/>
  <c r="U285" i="5"/>
  <c r="V284" i="5"/>
  <c r="U284" i="5"/>
  <c r="V283" i="5"/>
  <c r="U283" i="5"/>
  <c r="V282" i="5"/>
  <c r="U282" i="5"/>
  <c r="V281" i="5"/>
  <c r="U281" i="5"/>
  <c r="V280" i="5"/>
  <c r="U280" i="5"/>
  <c r="V279" i="5"/>
  <c r="U279" i="5"/>
  <c r="V278" i="5"/>
  <c r="U278" i="5"/>
  <c r="V277" i="5"/>
  <c r="U277" i="5"/>
  <c r="V276" i="5"/>
  <c r="U276" i="5"/>
  <c r="V275" i="5"/>
  <c r="U275" i="5"/>
  <c r="V274" i="5"/>
  <c r="U274" i="5"/>
  <c r="V273" i="5"/>
  <c r="U273" i="5"/>
  <c r="V272" i="5"/>
  <c r="U272" i="5"/>
  <c r="V271" i="5"/>
  <c r="U271" i="5"/>
  <c r="V270" i="5"/>
  <c r="U270" i="5"/>
  <c r="V269" i="5"/>
  <c r="U269" i="5"/>
  <c r="V268" i="5"/>
  <c r="U268" i="5"/>
  <c r="V267" i="5"/>
  <c r="U267" i="5"/>
  <c r="V266" i="5"/>
  <c r="U266" i="5"/>
  <c r="V265" i="5"/>
  <c r="U265" i="5"/>
  <c r="V264" i="5"/>
  <c r="U264" i="5"/>
  <c r="V263" i="5"/>
  <c r="U263" i="5"/>
  <c r="V262" i="5"/>
  <c r="U262" i="5"/>
  <c r="V261" i="5"/>
  <c r="U261" i="5"/>
  <c r="V260" i="5"/>
  <c r="U260" i="5"/>
  <c r="V259" i="5"/>
  <c r="U259" i="5"/>
  <c r="V258" i="5"/>
  <c r="U258" i="5"/>
  <c r="V257" i="5"/>
  <c r="U257" i="5"/>
  <c r="V256" i="5"/>
  <c r="U256" i="5"/>
  <c r="V255" i="5"/>
  <c r="U255" i="5"/>
  <c r="V254" i="5"/>
  <c r="U254" i="5"/>
  <c r="V253" i="5"/>
  <c r="U253" i="5"/>
  <c r="V252" i="5"/>
  <c r="U252" i="5"/>
  <c r="V251" i="5"/>
  <c r="U251" i="5"/>
  <c r="V250" i="5"/>
  <c r="U250" i="5"/>
  <c r="V249" i="5"/>
  <c r="U249" i="5"/>
  <c r="V248" i="5"/>
  <c r="U248" i="5"/>
  <c r="V247" i="5"/>
  <c r="U247" i="5"/>
  <c r="V246" i="5"/>
  <c r="U246" i="5"/>
  <c r="V245" i="5"/>
  <c r="U245" i="5"/>
  <c r="V244" i="5"/>
  <c r="U244" i="5"/>
  <c r="V243" i="5"/>
  <c r="U243" i="5"/>
  <c r="V242" i="5"/>
  <c r="U242" i="5"/>
  <c r="V241" i="5"/>
  <c r="U241" i="5"/>
  <c r="V240" i="5"/>
  <c r="U240" i="5"/>
  <c r="V239" i="5"/>
  <c r="U239" i="5"/>
  <c r="V238" i="5"/>
  <c r="U238" i="5"/>
  <c r="V237" i="5"/>
  <c r="U237" i="5"/>
  <c r="V236" i="5"/>
  <c r="U236" i="5"/>
  <c r="V235" i="5"/>
  <c r="U235" i="5"/>
  <c r="V234" i="5"/>
  <c r="U234" i="5"/>
  <c r="V233" i="5"/>
  <c r="U233" i="5"/>
  <c r="V232" i="5"/>
  <c r="U232" i="5"/>
  <c r="V231" i="5"/>
  <c r="U231" i="5"/>
  <c r="V230" i="5"/>
  <c r="U230" i="5"/>
  <c r="V229" i="5"/>
  <c r="U229" i="5"/>
  <c r="V228" i="5"/>
  <c r="U228" i="5"/>
  <c r="V227" i="5"/>
  <c r="U227" i="5"/>
  <c r="V226" i="5"/>
  <c r="U226" i="5"/>
  <c r="V225" i="5"/>
  <c r="U225" i="5"/>
  <c r="V224" i="5"/>
  <c r="U224" i="5"/>
  <c r="V223" i="5"/>
  <c r="U223" i="5"/>
  <c r="V222" i="5"/>
  <c r="U222" i="5"/>
  <c r="V221" i="5"/>
  <c r="U221" i="5"/>
  <c r="V220" i="5"/>
  <c r="U220" i="5"/>
  <c r="V219" i="5"/>
  <c r="U219" i="5"/>
  <c r="V218" i="5"/>
  <c r="U218" i="5"/>
  <c r="V217" i="5"/>
  <c r="U217" i="5"/>
  <c r="V216" i="5"/>
  <c r="U216" i="5"/>
  <c r="V215" i="5"/>
  <c r="U215" i="5"/>
  <c r="V214" i="5"/>
  <c r="U214" i="5"/>
  <c r="V213" i="5"/>
  <c r="U213" i="5"/>
  <c r="V212" i="5"/>
  <c r="U212" i="5"/>
  <c r="V211" i="5"/>
  <c r="U211" i="5"/>
  <c r="V210" i="5"/>
  <c r="U210" i="5"/>
  <c r="V209" i="5"/>
  <c r="U209" i="5"/>
  <c r="V208" i="5"/>
  <c r="U208" i="5"/>
  <c r="V207" i="5"/>
  <c r="U207" i="5"/>
  <c r="V206" i="5"/>
  <c r="U206" i="5"/>
  <c r="V205" i="5"/>
  <c r="U205" i="5"/>
  <c r="V204" i="5"/>
  <c r="U204" i="5"/>
  <c r="V203" i="5"/>
  <c r="U203" i="5"/>
  <c r="V202" i="5"/>
  <c r="U202" i="5"/>
  <c r="V201" i="5"/>
  <c r="U201" i="5"/>
  <c r="V200" i="5"/>
  <c r="U200" i="5"/>
  <c r="V199" i="5"/>
  <c r="U199" i="5"/>
  <c r="V198" i="5"/>
  <c r="U198" i="5"/>
  <c r="V197" i="5"/>
  <c r="U197" i="5"/>
  <c r="V196" i="5"/>
  <c r="U196" i="5"/>
  <c r="V195" i="5"/>
  <c r="U195" i="5"/>
  <c r="V194" i="5"/>
  <c r="U194" i="5"/>
  <c r="V193" i="5"/>
  <c r="U193" i="5"/>
  <c r="V192" i="5"/>
  <c r="U192" i="5"/>
  <c r="V191" i="5"/>
  <c r="U191" i="5"/>
  <c r="V190" i="5"/>
  <c r="U190" i="5"/>
  <c r="V189" i="5"/>
  <c r="U189" i="5"/>
  <c r="V188" i="5"/>
  <c r="U188" i="5"/>
  <c r="V187" i="5"/>
  <c r="U187" i="5"/>
  <c r="V186" i="5"/>
  <c r="U186" i="5"/>
  <c r="V185" i="5"/>
  <c r="U185" i="5"/>
  <c r="V184" i="5"/>
  <c r="U184" i="5"/>
  <c r="V183" i="5"/>
  <c r="U183" i="5"/>
  <c r="V182" i="5"/>
  <c r="U182" i="5"/>
  <c r="V181" i="5"/>
  <c r="U181" i="5"/>
  <c r="V180" i="5"/>
  <c r="U180" i="5"/>
  <c r="V179" i="5"/>
  <c r="U179" i="5"/>
  <c r="V178" i="5"/>
  <c r="U178" i="5"/>
  <c r="V177" i="5"/>
  <c r="U177" i="5"/>
  <c r="V176" i="5"/>
  <c r="U176" i="5"/>
  <c r="V175" i="5"/>
  <c r="U175" i="5"/>
  <c r="V174" i="5"/>
  <c r="U174" i="5"/>
  <c r="V173" i="5"/>
  <c r="U173" i="5"/>
  <c r="V172" i="5"/>
  <c r="U172" i="5"/>
  <c r="V171" i="5"/>
  <c r="U171" i="5"/>
  <c r="V170" i="5"/>
  <c r="U170" i="5"/>
  <c r="V169" i="5"/>
  <c r="U169" i="5"/>
  <c r="V168" i="5"/>
  <c r="U168" i="5"/>
  <c r="V167" i="5"/>
  <c r="U167" i="5"/>
  <c r="V166" i="5"/>
  <c r="U166" i="5"/>
  <c r="V165" i="5"/>
  <c r="U165" i="5"/>
  <c r="V164" i="5"/>
  <c r="U164" i="5"/>
  <c r="V163" i="5"/>
  <c r="U163" i="5"/>
  <c r="V162" i="5"/>
  <c r="U162" i="5"/>
  <c r="V161" i="5"/>
  <c r="U161" i="5"/>
  <c r="V160" i="5"/>
  <c r="U160" i="5"/>
  <c r="V159" i="5"/>
  <c r="U159" i="5"/>
  <c r="V158" i="5"/>
  <c r="U158" i="5"/>
  <c r="V157" i="5"/>
  <c r="U157" i="5"/>
  <c r="V156" i="5"/>
  <c r="U156" i="5"/>
  <c r="V155" i="5"/>
  <c r="U155" i="5"/>
  <c r="V154" i="5"/>
  <c r="U154" i="5"/>
  <c r="V153" i="5"/>
  <c r="U153" i="5"/>
  <c r="V152" i="5"/>
  <c r="U152" i="5"/>
  <c r="V151" i="5"/>
  <c r="U151" i="5"/>
  <c r="V150" i="5"/>
  <c r="U150" i="5"/>
  <c r="V149" i="5"/>
  <c r="U149" i="5"/>
  <c r="V148" i="5"/>
  <c r="U148" i="5"/>
  <c r="V147" i="5"/>
  <c r="U147" i="5"/>
  <c r="V146" i="5"/>
  <c r="U146" i="5"/>
  <c r="V145" i="5"/>
  <c r="U145" i="5"/>
  <c r="V144" i="5"/>
  <c r="U144" i="5"/>
  <c r="V143" i="5"/>
  <c r="U143" i="5"/>
  <c r="V142" i="5"/>
  <c r="U142" i="5"/>
  <c r="V141" i="5"/>
  <c r="U141" i="5"/>
  <c r="V140" i="5"/>
  <c r="U140" i="5"/>
  <c r="V139" i="5"/>
  <c r="U139" i="5"/>
  <c r="V138" i="5"/>
  <c r="U138" i="5"/>
  <c r="V137" i="5"/>
  <c r="U137" i="5"/>
  <c r="V136" i="5"/>
  <c r="U136" i="5"/>
  <c r="V135" i="5"/>
  <c r="U135" i="5"/>
  <c r="V134" i="5"/>
  <c r="U134" i="5"/>
  <c r="V133" i="5"/>
  <c r="U133" i="5"/>
  <c r="V132" i="5"/>
  <c r="U132" i="5"/>
  <c r="V131" i="5"/>
  <c r="U131" i="5"/>
  <c r="V130" i="5"/>
  <c r="U130" i="5"/>
  <c r="V129" i="5"/>
  <c r="U129" i="5"/>
  <c r="V128" i="5"/>
  <c r="U128" i="5"/>
  <c r="V127" i="5"/>
  <c r="U127" i="5"/>
  <c r="V126" i="5"/>
  <c r="U126" i="5"/>
  <c r="V125" i="5"/>
  <c r="U125" i="5"/>
  <c r="V124" i="5"/>
  <c r="U124" i="5"/>
  <c r="V123" i="5"/>
  <c r="U123" i="5"/>
  <c r="V122" i="5"/>
  <c r="U122" i="5"/>
  <c r="V121" i="5"/>
  <c r="U121" i="5"/>
  <c r="V120" i="5"/>
  <c r="U120" i="5"/>
  <c r="V119" i="5"/>
  <c r="U119" i="5"/>
  <c r="V118" i="5"/>
  <c r="U118" i="5"/>
  <c r="V117" i="5"/>
  <c r="U117" i="5"/>
  <c r="V116" i="5"/>
  <c r="U116" i="5"/>
  <c r="V115" i="5"/>
  <c r="U115" i="5"/>
  <c r="V114" i="5"/>
  <c r="U114" i="5"/>
  <c r="V113" i="5"/>
  <c r="U113" i="5"/>
  <c r="V112" i="5"/>
  <c r="U112" i="5"/>
  <c r="V111" i="5"/>
  <c r="U111" i="5"/>
  <c r="V110" i="5"/>
  <c r="U110" i="5"/>
  <c r="V109" i="5"/>
  <c r="U109" i="5"/>
  <c r="V108" i="5"/>
  <c r="U108" i="5"/>
  <c r="V107" i="5"/>
  <c r="U107" i="5"/>
  <c r="V106" i="5"/>
  <c r="U106" i="5"/>
  <c r="V105" i="5"/>
  <c r="U105" i="5"/>
  <c r="V104" i="5"/>
  <c r="U104" i="5"/>
  <c r="V103" i="5"/>
  <c r="U103" i="5"/>
  <c r="V102" i="5"/>
  <c r="U102" i="5"/>
  <c r="V101" i="5"/>
  <c r="U101" i="5"/>
  <c r="V100" i="5"/>
  <c r="U100" i="5"/>
  <c r="V99" i="5"/>
  <c r="U99" i="5"/>
  <c r="V98" i="5"/>
  <c r="U98" i="5"/>
  <c r="V97" i="5"/>
  <c r="U97" i="5"/>
  <c r="V96" i="5"/>
  <c r="U96" i="5"/>
  <c r="V95" i="5"/>
  <c r="U95" i="5"/>
  <c r="V94" i="5"/>
  <c r="U94" i="5"/>
  <c r="V93" i="5"/>
  <c r="U93" i="5"/>
  <c r="V92" i="5"/>
  <c r="U92" i="5"/>
  <c r="V91" i="5"/>
  <c r="U91" i="5"/>
  <c r="V90" i="5"/>
  <c r="U90" i="5"/>
  <c r="V89" i="5"/>
  <c r="U89" i="5"/>
  <c r="V88" i="5"/>
  <c r="U88" i="5"/>
  <c r="V87" i="5"/>
  <c r="U87" i="5"/>
  <c r="V86" i="5"/>
  <c r="U86" i="5"/>
  <c r="V85" i="5"/>
  <c r="U85" i="5"/>
  <c r="V84" i="5"/>
  <c r="U84" i="5"/>
  <c r="V83" i="5"/>
  <c r="U83" i="5"/>
  <c r="V82" i="5"/>
  <c r="U82" i="5"/>
  <c r="V81" i="5"/>
  <c r="U81" i="5"/>
  <c r="V80" i="5"/>
  <c r="U80" i="5"/>
  <c r="V79" i="5"/>
  <c r="U79" i="5"/>
  <c r="V78" i="5"/>
  <c r="U78" i="5"/>
  <c r="V77" i="5"/>
  <c r="U77" i="5"/>
  <c r="V76" i="5"/>
  <c r="U76" i="5"/>
  <c r="V75" i="5"/>
  <c r="U75" i="5"/>
  <c r="V74" i="5"/>
  <c r="U74" i="5"/>
  <c r="V73" i="5"/>
  <c r="U73" i="5"/>
  <c r="V72" i="5"/>
  <c r="U72" i="5"/>
  <c r="V71" i="5"/>
  <c r="U71" i="5"/>
  <c r="V70" i="5"/>
  <c r="U70" i="5"/>
  <c r="V69" i="5"/>
  <c r="U69" i="5"/>
  <c r="V68" i="5"/>
  <c r="U68" i="5"/>
  <c r="V67" i="5"/>
  <c r="U67" i="5"/>
  <c r="V66" i="5"/>
  <c r="U66" i="5"/>
  <c r="V65" i="5"/>
  <c r="U65" i="5"/>
  <c r="V64" i="5"/>
  <c r="U64" i="5"/>
  <c r="V63" i="5"/>
  <c r="U63" i="5"/>
  <c r="V62" i="5"/>
  <c r="U62" i="5"/>
  <c r="V61" i="5"/>
  <c r="U61" i="5"/>
  <c r="V60" i="5"/>
  <c r="U60" i="5"/>
  <c r="V59" i="5"/>
  <c r="U59" i="5"/>
  <c r="V58" i="5"/>
  <c r="U58" i="5"/>
  <c r="V57" i="5"/>
  <c r="U57" i="5"/>
  <c r="V56" i="5"/>
  <c r="U56" i="5"/>
  <c r="V55" i="5"/>
  <c r="U55" i="5"/>
  <c r="V54" i="5"/>
  <c r="U54" i="5"/>
  <c r="V53" i="5"/>
  <c r="U53" i="5"/>
  <c r="V52" i="5"/>
  <c r="U52" i="5"/>
  <c r="V51" i="5"/>
  <c r="U51" i="5"/>
  <c r="V50" i="5"/>
  <c r="U50" i="5"/>
  <c r="V49" i="5"/>
  <c r="U49" i="5"/>
  <c r="V48" i="5"/>
  <c r="U48" i="5"/>
  <c r="V47" i="5"/>
  <c r="U47" i="5"/>
  <c r="V46" i="5"/>
  <c r="U46" i="5"/>
  <c r="V45" i="5"/>
  <c r="U45" i="5"/>
  <c r="V44" i="5"/>
  <c r="U44" i="5"/>
  <c r="V43" i="5"/>
  <c r="U43" i="5"/>
  <c r="V42" i="5"/>
  <c r="U42" i="5"/>
  <c r="V41" i="5"/>
  <c r="U41" i="5"/>
  <c r="V40" i="5"/>
  <c r="U40" i="5"/>
  <c r="V39" i="5"/>
  <c r="U39" i="5"/>
  <c r="V38" i="5"/>
  <c r="U38" i="5"/>
  <c r="V37" i="5"/>
  <c r="U37" i="5"/>
  <c r="V36" i="5"/>
  <c r="U36" i="5"/>
  <c r="V35" i="5"/>
  <c r="U35" i="5"/>
  <c r="V34" i="5"/>
  <c r="U34" i="5"/>
  <c r="V33" i="5"/>
  <c r="U33" i="5"/>
  <c r="V32" i="5"/>
  <c r="U32" i="5"/>
  <c r="V31" i="5"/>
  <c r="U31" i="5"/>
  <c r="V30" i="5"/>
  <c r="U30" i="5"/>
  <c r="V29" i="5"/>
  <c r="U29" i="5"/>
  <c r="V28" i="5"/>
  <c r="U28" i="5"/>
  <c r="V27" i="5"/>
  <c r="U27" i="5"/>
  <c r="V26" i="5"/>
  <c r="U26" i="5"/>
  <c r="V25" i="5"/>
  <c r="U25" i="5"/>
  <c r="V24" i="5"/>
  <c r="U24" i="5"/>
  <c r="V23" i="5"/>
  <c r="U23" i="5"/>
  <c r="V22" i="5"/>
  <c r="U22" i="5"/>
  <c r="V21" i="5"/>
  <c r="U21" i="5"/>
  <c r="V20" i="5"/>
  <c r="U20" i="5"/>
  <c r="V19" i="5"/>
  <c r="U19" i="5"/>
  <c r="V18" i="5"/>
  <c r="U18" i="5"/>
  <c r="V17" i="5"/>
  <c r="U17" i="5"/>
  <c r="V16" i="5"/>
  <c r="U16" i="5"/>
  <c r="V15" i="5"/>
  <c r="U15" i="5"/>
  <c r="V14" i="5"/>
  <c r="U14" i="5"/>
  <c r="V13" i="5"/>
  <c r="U13" i="5"/>
  <c r="V12" i="5"/>
  <c r="U12" i="5"/>
  <c r="V11" i="5"/>
  <c r="U11" i="5"/>
  <c r="V10" i="5"/>
  <c r="U10" i="5"/>
  <c r="V9" i="5"/>
  <c r="U9" i="5"/>
  <c r="V8" i="5"/>
  <c r="U8" i="5"/>
  <c r="V7" i="5"/>
  <c r="U7" i="5"/>
  <c r="V6" i="5"/>
  <c r="U6" i="5"/>
  <c r="V5" i="5"/>
  <c r="U5" i="5"/>
  <c r="V4" i="5"/>
  <c r="U4" i="5"/>
  <c r="V3" i="5"/>
  <c r="U3" i="5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Q1444" i="5"/>
  <c r="Q1445" i="5"/>
  <c r="Q1446" i="5"/>
  <c r="Q1447" i="5"/>
  <c r="Q1448" i="5"/>
  <c r="Q1449" i="5"/>
  <c r="Q1450" i="5"/>
  <c r="Q1451" i="5"/>
  <c r="Q1452" i="5"/>
  <c r="Q1453" i="5"/>
  <c r="Q1454" i="5"/>
  <c r="Q1455" i="5"/>
  <c r="Q1456" i="5"/>
  <c r="Q1457" i="5"/>
  <c r="Q1458" i="5"/>
  <c r="Q1459" i="5"/>
  <c r="Q1460" i="5"/>
  <c r="Q1461" i="5"/>
  <c r="Q1462" i="5"/>
  <c r="Q1463" i="5"/>
  <c r="Q1464" i="5"/>
  <c r="Q1465" i="5"/>
  <c r="Q1466" i="5"/>
  <c r="Q1467" i="5"/>
  <c r="Q1468" i="5"/>
  <c r="Q1469" i="5"/>
  <c r="Q1470" i="5"/>
  <c r="Q1471" i="5"/>
  <c r="Q1472" i="5"/>
  <c r="Q1473" i="5"/>
  <c r="Q1474" i="5"/>
  <c r="Q1475" i="5"/>
  <c r="Q1476" i="5"/>
  <c r="Q1477" i="5"/>
  <c r="Q1478" i="5"/>
  <c r="Q1479" i="5"/>
  <c r="Q1480" i="5"/>
  <c r="Q1481" i="5"/>
  <c r="Q1482" i="5"/>
  <c r="Q1483" i="5"/>
  <c r="Q1484" i="5"/>
  <c r="Q1485" i="5"/>
  <c r="Q1486" i="5"/>
  <c r="Q1487" i="5"/>
  <c r="Q1488" i="5"/>
  <c r="Q1489" i="5"/>
  <c r="Q1490" i="5"/>
  <c r="Q1491" i="5"/>
  <c r="Q1492" i="5"/>
  <c r="Q1493" i="5"/>
  <c r="Q1494" i="5"/>
  <c r="Q1495" i="5"/>
  <c r="Q1496" i="5"/>
  <c r="Q1497" i="5"/>
  <c r="Q1498" i="5"/>
  <c r="Q1499" i="5"/>
  <c r="Q1500" i="5"/>
  <c r="Q1501" i="5"/>
  <c r="Q1502" i="5"/>
  <c r="Q1503" i="5"/>
  <c r="Q1504" i="5"/>
  <c r="Q1505" i="5"/>
  <c r="Q1506" i="5"/>
  <c r="Q1507" i="5"/>
  <c r="Q1508" i="5"/>
  <c r="Q1509" i="5"/>
  <c r="Q1510" i="5"/>
  <c r="Q1511" i="5"/>
  <c r="Q1512" i="5"/>
  <c r="Q1513" i="5"/>
  <c r="Q1514" i="5"/>
  <c r="Q1515" i="5"/>
  <c r="Q1516" i="5"/>
  <c r="Q1517" i="5"/>
  <c r="Q1518" i="5"/>
  <c r="Q1519" i="5"/>
  <c r="Q1520" i="5"/>
  <c r="Q1521" i="5"/>
  <c r="Q1522" i="5"/>
  <c r="Q1523" i="5"/>
  <c r="Q1524" i="5"/>
  <c r="Q1525" i="5"/>
  <c r="Q1526" i="5"/>
  <c r="Q1527" i="5"/>
  <c r="Q1528" i="5"/>
  <c r="Q1529" i="5"/>
  <c r="Q1530" i="5"/>
  <c r="Q1531" i="5"/>
  <c r="Q1532" i="5"/>
  <c r="Q1533" i="5"/>
  <c r="Q1534" i="5"/>
  <c r="Q1535" i="5"/>
  <c r="Q1536" i="5"/>
  <c r="Q1537" i="5"/>
  <c r="Q1538" i="5"/>
  <c r="Q1539" i="5"/>
  <c r="Q1540" i="5"/>
  <c r="Q1541" i="5"/>
  <c r="Q1542" i="5"/>
  <c r="Q1543" i="5"/>
  <c r="Q1544" i="5"/>
  <c r="Q1545" i="5"/>
  <c r="Q1546" i="5"/>
  <c r="Q1547" i="5"/>
  <c r="Q1548" i="5"/>
  <c r="Q1549" i="5"/>
  <c r="Q1550" i="5"/>
  <c r="Q1551" i="5"/>
  <c r="Q1552" i="5"/>
  <c r="Q1553" i="5"/>
  <c r="Q1554" i="5"/>
  <c r="Q1555" i="5"/>
  <c r="Q1556" i="5"/>
  <c r="Q1557" i="5"/>
  <c r="Q1558" i="5"/>
  <c r="Q1559" i="5"/>
  <c r="Q1560" i="5"/>
  <c r="Q1561" i="5"/>
  <c r="Q1562" i="5"/>
  <c r="Q1563" i="5"/>
  <c r="Q1564" i="5"/>
  <c r="Q1565" i="5"/>
  <c r="Q1566" i="5"/>
  <c r="Q1567" i="5"/>
  <c r="Q1568" i="5"/>
  <c r="Q1569" i="5"/>
  <c r="Q1570" i="5"/>
  <c r="Q1571" i="5"/>
  <c r="Q1572" i="5"/>
  <c r="Q1573" i="5"/>
  <c r="Q1574" i="5"/>
  <c r="Q1575" i="5"/>
  <c r="Q1576" i="5"/>
  <c r="Q1577" i="5"/>
  <c r="Q1578" i="5"/>
  <c r="Q1579" i="5"/>
  <c r="Q1580" i="5"/>
  <c r="Q1581" i="5"/>
  <c r="Q1582" i="5"/>
  <c r="Q1583" i="5"/>
  <c r="Q1584" i="5"/>
  <c r="Q1585" i="5"/>
  <c r="Q1586" i="5"/>
  <c r="Q1587" i="5"/>
  <c r="Q1588" i="5"/>
  <c r="Q1589" i="5"/>
  <c r="Q1590" i="5"/>
  <c r="Q1591" i="5"/>
  <c r="Q1592" i="5"/>
  <c r="Q1593" i="5"/>
  <c r="Q1594" i="5"/>
  <c r="Q1595" i="5"/>
  <c r="Q1596" i="5"/>
  <c r="Q1597" i="5"/>
  <c r="Q1598" i="5"/>
  <c r="Q1599" i="5"/>
  <c r="Q1600" i="5"/>
  <c r="Q1601" i="5"/>
  <c r="Q1602" i="5"/>
  <c r="Q1603" i="5"/>
  <c r="Q1604" i="5"/>
  <c r="Q1605" i="5"/>
  <c r="Q1606" i="5"/>
  <c r="Q1607" i="5"/>
  <c r="Q1608" i="5"/>
  <c r="Q1609" i="5"/>
  <c r="Q1610" i="5"/>
  <c r="Q1611" i="5"/>
  <c r="Q1612" i="5"/>
  <c r="Q1613" i="5"/>
  <c r="Q1614" i="5"/>
  <c r="Q1615" i="5"/>
  <c r="Q1616" i="5"/>
  <c r="Q1617" i="5"/>
  <c r="Q1618" i="5"/>
  <c r="Q1619" i="5"/>
  <c r="Q1620" i="5"/>
  <c r="Q1621" i="5"/>
  <c r="Q1622" i="5"/>
  <c r="Q1623" i="5"/>
  <c r="Q1624" i="5"/>
  <c r="Q1625" i="5"/>
  <c r="Q1626" i="5"/>
  <c r="Q1627" i="5"/>
  <c r="Q1628" i="5"/>
  <c r="Q1629" i="5"/>
  <c r="Q1630" i="5"/>
  <c r="Q1631" i="5"/>
  <c r="Q1632" i="5"/>
  <c r="Q1633" i="5"/>
  <c r="Q1634" i="5"/>
  <c r="Q1635" i="5"/>
  <c r="Q1636" i="5"/>
  <c r="Q1637" i="5"/>
  <c r="Q1638" i="5"/>
  <c r="Q1639" i="5"/>
  <c r="Q1640" i="5"/>
  <c r="Q1641" i="5"/>
  <c r="Q1642" i="5"/>
  <c r="Q1643" i="5"/>
  <c r="Q1644" i="5"/>
  <c r="Q1645" i="5"/>
  <c r="Q1646" i="5"/>
  <c r="Q1647" i="5"/>
  <c r="Q1648" i="5"/>
  <c r="Q1649" i="5"/>
  <c r="Q1650" i="5"/>
  <c r="Q1651" i="5"/>
  <c r="Q1652" i="5"/>
  <c r="Q1653" i="5"/>
  <c r="Q1654" i="5"/>
  <c r="Q1655" i="5"/>
  <c r="Q1656" i="5"/>
  <c r="Q1657" i="5"/>
  <c r="Q1658" i="5"/>
  <c r="Q1659" i="5"/>
  <c r="Q1660" i="5"/>
  <c r="Q1661" i="5"/>
  <c r="Q1662" i="5"/>
  <c r="Q1663" i="5"/>
  <c r="Q1664" i="5"/>
  <c r="Q1665" i="5"/>
  <c r="Q1666" i="5"/>
  <c r="Q1667" i="5"/>
  <c r="Q1668" i="5"/>
  <c r="Q1669" i="5"/>
  <c r="Q1670" i="5"/>
  <c r="Q1671" i="5"/>
  <c r="Q1672" i="5"/>
  <c r="Q1673" i="5"/>
  <c r="Q1674" i="5"/>
  <c r="Q1675" i="5"/>
  <c r="Q1676" i="5"/>
  <c r="Q1677" i="5"/>
  <c r="Q1678" i="5"/>
  <c r="Q1679" i="5"/>
  <c r="Q1680" i="5"/>
  <c r="Q1681" i="5"/>
  <c r="Q1682" i="5"/>
  <c r="Q1683" i="5"/>
  <c r="Q1684" i="5"/>
  <c r="Q1685" i="5"/>
  <c r="Q1686" i="5"/>
  <c r="Q1687" i="5"/>
  <c r="Q1688" i="5"/>
  <c r="Q1689" i="5"/>
  <c r="Q1690" i="5"/>
  <c r="Q1691" i="5"/>
  <c r="Q1692" i="5"/>
  <c r="Q1693" i="5"/>
  <c r="Q1694" i="5"/>
  <c r="Q1695" i="5"/>
  <c r="Q1696" i="5"/>
  <c r="Q1697" i="5"/>
  <c r="Q1698" i="5"/>
  <c r="Q1699" i="5"/>
  <c r="Q1700" i="5"/>
  <c r="Q1701" i="5"/>
  <c r="Q1702" i="5"/>
  <c r="Q1703" i="5"/>
  <c r="Q1704" i="5"/>
  <c r="Q1705" i="5"/>
  <c r="Q1706" i="5"/>
  <c r="Q1707" i="5"/>
  <c r="Q1708" i="5"/>
  <c r="Q1709" i="5"/>
  <c r="Q1710" i="5"/>
  <c r="Q1711" i="5"/>
  <c r="Q1712" i="5"/>
  <c r="Q1713" i="5"/>
  <c r="Q1714" i="5"/>
  <c r="Q1715" i="5"/>
  <c r="Q1716" i="5"/>
  <c r="Q1717" i="5"/>
  <c r="Q1718" i="5"/>
  <c r="Q1719" i="5"/>
  <c r="Q1720" i="5"/>
  <c r="Q1721" i="5"/>
  <c r="Q1722" i="5"/>
  <c r="Q1723" i="5"/>
  <c r="Q1724" i="5"/>
  <c r="Q1725" i="5"/>
  <c r="Q1726" i="5"/>
  <c r="Q1727" i="5"/>
  <c r="Q1728" i="5"/>
  <c r="Q1729" i="5"/>
  <c r="Q1730" i="5"/>
  <c r="Q1731" i="5"/>
  <c r="Q1732" i="5"/>
  <c r="Q1733" i="5"/>
  <c r="Q1734" i="5"/>
  <c r="Q1735" i="5"/>
  <c r="Q1736" i="5"/>
  <c r="Q1737" i="5"/>
  <c r="Q1738" i="5"/>
  <c r="Q1739" i="5"/>
  <c r="Q1740" i="5"/>
  <c r="Q1741" i="5"/>
  <c r="Q1742" i="5"/>
  <c r="Q1743" i="5"/>
  <c r="Q1744" i="5"/>
  <c r="Q1745" i="5"/>
  <c r="Q1746" i="5"/>
  <c r="Q1747" i="5"/>
  <c r="Q1748" i="5"/>
  <c r="Q1749" i="5"/>
  <c r="Q1750" i="5"/>
  <c r="Q1751" i="5"/>
  <c r="Q1752" i="5"/>
  <c r="Q1753" i="5"/>
  <c r="Q1754" i="5"/>
  <c r="Q1755" i="5"/>
  <c r="Q1756" i="5"/>
  <c r="Q1757" i="5"/>
  <c r="Q1758" i="5"/>
  <c r="Q1759" i="5"/>
  <c r="Q1760" i="5"/>
  <c r="Q1761" i="5"/>
  <c r="Q1762" i="5"/>
  <c r="Q1763" i="5"/>
  <c r="Q1764" i="5"/>
  <c r="Q1765" i="5"/>
  <c r="Q1766" i="5"/>
  <c r="Q1767" i="5"/>
  <c r="Q1768" i="5"/>
  <c r="Q1769" i="5"/>
  <c r="Q1770" i="5"/>
  <c r="Q1771" i="5"/>
  <c r="Q1772" i="5"/>
  <c r="Q1773" i="5"/>
  <c r="Q1774" i="5"/>
  <c r="Q1775" i="5"/>
  <c r="Q1776" i="5"/>
  <c r="Q1777" i="5"/>
  <c r="Q1778" i="5"/>
  <c r="Q1779" i="5"/>
  <c r="Q1780" i="5"/>
  <c r="Q1781" i="5"/>
  <c r="Q1782" i="5"/>
  <c r="Q1783" i="5"/>
  <c r="Q1784" i="5"/>
  <c r="Q1785" i="5"/>
  <c r="Q1786" i="5"/>
  <c r="Q1787" i="5"/>
  <c r="Q1788" i="5"/>
  <c r="Q1789" i="5"/>
  <c r="Q1790" i="5"/>
  <c r="Q1791" i="5"/>
  <c r="Q1792" i="5"/>
  <c r="Q1793" i="5"/>
  <c r="Q1794" i="5"/>
  <c r="Q1795" i="5"/>
  <c r="Q1796" i="5"/>
  <c r="Q1797" i="5"/>
  <c r="Q1798" i="5"/>
  <c r="Q1799" i="5"/>
  <c r="Q1800" i="5"/>
  <c r="Q1801" i="5"/>
  <c r="Q1802" i="5"/>
  <c r="Q1803" i="5"/>
  <c r="Q1804" i="5"/>
  <c r="Q1805" i="5"/>
  <c r="Q1806" i="5"/>
  <c r="Q1807" i="5"/>
  <c r="Q1808" i="5"/>
  <c r="Q1809" i="5"/>
  <c r="Q1810" i="5"/>
  <c r="Q1811" i="5"/>
  <c r="Q1812" i="5"/>
  <c r="Q1813" i="5"/>
  <c r="Q1814" i="5"/>
  <c r="Q1815" i="5"/>
  <c r="Q1816" i="5"/>
  <c r="Q1817" i="5"/>
  <c r="Q1818" i="5"/>
  <c r="Q1819" i="5"/>
  <c r="Q1820" i="5"/>
  <c r="Q1821" i="5"/>
  <c r="Q1822" i="5"/>
  <c r="Q1823" i="5"/>
  <c r="Q1824" i="5"/>
  <c r="Q1825" i="5"/>
  <c r="Q1826" i="5"/>
  <c r="Q1827" i="5"/>
  <c r="Q1828" i="5"/>
  <c r="Q1829" i="5"/>
  <c r="Q1830" i="5"/>
  <c r="Q1831" i="5"/>
  <c r="Q1832" i="5"/>
  <c r="Q1833" i="5"/>
  <c r="Q1834" i="5"/>
  <c r="Q1835" i="5"/>
  <c r="Q1836" i="5"/>
  <c r="Q1837" i="5"/>
  <c r="Q1838" i="5"/>
  <c r="Q1839" i="5"/>
  <c r="Q1840" i="5"/>
  <c r="Q1841" i="5"/>
  <c r="Q1842" i="5"/>
  <c r="Q1843" i="5"/>
  <c r="Q1844" i="5"/>
  <c r="Q1845" i="5"/>
  <c r="Q1846" i="5"/>
  <c r="Q1847" i="5"/>
  <c r="Q1848" i="5"/>
  <c r="Q1849" i="5"/>
  <c r="Q1850" i="5"/>
  <c r="Q1851" i="5"/>
  <c r="Q1852" i="5"/>
  <c r="Q1853" i="5"/>
  <c r="Q1854" i="5"/>
  <c r="Q1855" i="5"/>
  <c r="Q1856" i="5"/>
  <c r="Q1857" i="5"/>
  <c r="Q1858" i="5"/>
  <c r="Q1859" i="5"/>
  <c r="Q1860" i="5"/>
  <c r="Q1861" i="5"/>
  <c r="Q1862" i="5"/>
  <c r="Q1863" i="5"/>
  <c r="Q1864" i="5"/>
  <c r="Q1865" i="5"/>
  <c r="Q1866" i="5"/>
  <c r="Q1867" i="5"/>
  <c r="Q1868" i="5"/>
  <c r="Q1869" i="5"/>
  <c r="Q1870" i="5"/>
  <c r="Q1871" i="5"/>
  <c r="Q1872" i="5"/>
  <c r="Q1873" i="5"/>
  <c r="Q1874" i="5"/>
  <c r="Q1875" i="5"/>
  <c r="Q1876" i="5"/>
  <c r="Q1877" i="5"/>
  <c r="Q1878" i="5"/>
  <c r="Q1879" i="5"/>
  <c r="Q1880" i="5"/>
  <c r="Q1881" i="5"/>
  <c r="Q1882" i="5"/>
  <c r="Q1883" i="5"/>
  <c r="Q1884" i="5"/>
  <c r="Q1885" i="5"/>
  <c r="Q1886" i="5"/>
  <c r="Q1887" i="5"/>
  <c r="Q1888" i="5"/>
  <c r="Q1889" i="5"/>
  <c r="Q1890" i="5"/>
  <c r="Q1891" i="5"/>
  <c r="Q1892" i="5"/>
  <c r="Q1893" i="5"/>
  <c r="Q1894" i="5"/>
  <c r="Q1895" i="5"/>
  <c r="Q1896" i="5"/>
  <c r="Q1897" i="5"/>
  <c r="Q1898" i="5"/>
  <c r="Q1899" i="5"/>
  <c r="Q1900" i="5"/>
  <c r="Q1901" i="5"/>
  <c r="Q1902" i="5"/>
  <c r="Q1903" i="5"/>
  <c r="Q1904" i="5"/>
  <c r="Q1905" i="5"/>
  <c r="Q1906" i="5"/>
  <c r="Q1907" i="5"/>
  <c r="Q1908" i="5"/>
  <c r="Q1909" i="5"/>
  <c r="Q1910" i="5"/>
  <c r="Q1911" i="5"/>
  <c r="Q1912" i="5"/>
  <c r="Q1913" i="5"/>
  <c r="Q1914" i="5"/>
  <c r="Q1915" i="5"/>
  <c r="Q1916" i="5"/>
  <c r="Q1917" i="5"/>
  <c r="Q1918" i="5"/>
  <c r="Q1919" i="5"/>
  <c r="Q1920" i="5"/>
  <c r="Q1921" i="5"/>
  <c r="Q1922" i="5"/>
  <c r="Q1923" i="5"/>
  <c r="Q1924" i="5"/>
  <c r="Q1925" i="5"/>
  <c r="Q1926" i="5"/>
  <c r="Q1927" i="5"/>
  <c r="Q1928" i="5"/>
  <c r="Q1929" i="5"/>
  <c r="Q1930" i="5"/>
  <c r="Q1931" i="5"/>
  <c r="Q1932" i="5"/>
  <c r="Q1933" i="5"/>
  <c r="Q1934" i="5"/>
  <c r="Q1935" i="5"/>
  <c r="Q1936" i="5"/>
  <c r="Q1937" i="5"/>
  <c r="Q1938" i="5"/>
  <c r="Q1939" i="5"/>
  <c r="Q1940" i="5"/>
  <c r="Q1941" i="5"/>
  <c r="Q1942" i="5"/>
  <c r="Q1943" i="5"/>
  <c r="Q1944" i="5"/>
  <c r="Q1945" i="5"/>
  <c r="Q1946" i="5"/>
  <c r="Q1947" i="5"/>
  <c r="Q1948" i="5"/>
  <c r="Q1949" i="5"/>
  <c r="Q1950" i="5"/>
  <c r="Q1951" i="5"/>
  <c r="Q1952" i="5"/>
  <c r="Q1953" i="5"/>
  <c r="Q1954" i="5"/>
  <c r="Q1955" i="5"/>
  <c r="Q1956" i="5"/>
  <c r="Q1957" i="5"/>
  <c r="Q1958" i="5"/>
  <c r="Q1959" i="5"/>
  <c r="Q1960" i="5"/>
  <c r="Q1961" i="5"/>
  <c r="Q1962" i="5"/>
  <c r="Q1963" i="5"/>
  <c r="Q1964" i="5"/>
  <c r="Q1965" i="5"/>
  <c r="Q1966" i="5"/>
  <c r="Q1967" i="5"/>
  <c r="Q1968" i="5"/>
  <c r="Q1969" i="5"/>
  <c r="Q1970" i="5"/>
  <c r="Q1971" i="5"/>
  <c r="Q1972" i="5"/>
  <c r="Q1973" i="5"/>
  <c r="Q1974" i="5"/>
  <c r="Q1975" i="5"/>
  <c r="Q1976" i="5"/>
  <c r="Q1977" i="5"/>
  <c r="Q1978" i="5"/>
  <c r="Q1979" i="5"/>
  <c r="Q1980" i="5"/>
  <c r="Q1981" i="5"/>
  <c r="Q1982" i="5"/>
  <c r="Q1983" i="5"/>
  <c r="Q1984" i="5"/>
  <c r="Q1985" i="5"/>
  <c r="Q1986" i="5"/>
  <c r="Q1987" i="5"/>
  <c r="Q1988" i="5"/>
  <c r="Q1989" i="5"/>
  <c r="Q1990" i="5"/>
  <c r="Q1991" i="5"/>
  <c r="Q1992" i="5"/>
  <c r="Q1993" i="5"/>
  <c r="Q1994" i="5"/>
  <c r="Q1995" i="5"/>
  <c r="Q1996" i="5"/>
  <c r="Q1997" i="5"/>
  <c r="Q1998" i="5"/>
  <c r="Q1999" i="5"/>
  <c r="Q2000" i="5"/>
  <c r="Q2001" i="5"/>
  <c r="Q2002" i="5"/>
  <c r="Q2003" i="5"/>
  <c r="Q2004" i="5"/>
  <c r="Q2005" i="5"/>
  <c r="Q2006" i="5"/>
  <c r="Q2007" i="5"/>
  <c r="Q2008" i="5"/>
  <c r="Q2009" i="5"/>
  <c r="Q2010" i="5"/>
  <c r="Q2011" i="5"/>
  <c r="Q2012" i="5"/>
  <c r="Q2013" i="5"/>
  <c r="Q2014" i="5"/>
  <c r="Q2015" i="5"/>
  <c r="Q2016" i="5"/>
  <c r="Q2017" i="5"/>
  <c r="Q2018" i="5"/>
  <c r="Q2019" i="5"/>
  <c r="Q2020" i="5"/>
  <c r="Q2021" i="5"/>
  <c r="Q2022" i="5"/>
  <c r="Q2023" i="5"/>
  <c r="Q2024" i="5"/>
  <c r="Q2025" i="5"/>
  <c r="Q2026" i="5"/>
  <c r="Q2027" i="5"/>
  <c r="Q2028" i="5"/>
  <c r="Q2029" i="5"/>
  <c r="Q2030" i="5"/>
  <c r="Q2031" i="5"/>
  <c r="Q2032" i="5"/>
  <c r="Q2033" i="5"/>
  <c r="Q2034" i="5"/>
  <c r="Q2035" i="5"/>
  <c r="Q2036" i="5"/>
  <c r="Q2037" i="5"/>
  <c r="Q2038" i="5"/>
  <c r="Q2039" i="5"/>
  <c r="Q2040" i="5"/>
  <c r="Q2041" i="5"/>
  <c r="Q2042" i="5"/>
  <c r="Q2043" i="5"/>
  <c r="Q2044" i="5"/>
  <c r="Q2045" i="5"/>
  <c r="Q2046" i="5"/>
  <c r="Q2047" i="5"/>
  <c r="Q2048" i="5"/>
  <c r="Q2049" i="5"/>
  <c r="Q2050" i="5"/>
  <c r="Q2051" i="5"/>
  <c r="Q2052" i="5"/>
  <c r="Q2053" i="5"/>
  <c r="Q2054" i="5"/>
  <c r="Q2055" i="5"/>
  <c r="Q2056" i="5"/>
  <c r="V2079" i="5"/>
  <c r="U2079" i="5"/>
  <c r="V2078" i="5"/>
  <c r="U2078" i="5"/>
  <c r="V2077" i="5"/>
  <c r="U2077" i="5"/>
  <c r="V2076" i="5"/>
  <c r="U2076" i="5"/>
  <c r="V2075" i="5"/>
  <c r="U2075" i="5"/>
  <c r="V2074" i="5"/>
  <c r="U2074" i="5"/>
  <c r="V2073" i="5"/>
  <c r="U2073" i="5"/>
  <c r="V2072" i="5"/>
  <c r="U2072" i="5"/>
  <c r="V2071" i="5"/>
  <c r="U2071" i="5"/>
  <c r="V2070" i="5"/>
  <c r="U2070" i="5"/>
  <c r="V2069" i="5"/>
  <c r="U2069" i="5"/>
  <c r="V2068" i="5"/>
  <c r="U2068" i="5"/>
  <c r="V2067" i="5"/>
  <c r="U2067" i="5"/>
  <c r="V2066" i="5"/>
  <c r="U2066" i="5"/>
  <c r="V2065" i="5"/>
  <c r="U2065" i="5"/>
  <c r="V2064" i="5"/>
  <c r="U2064" i="5"/>
  <c r="V2063" i="5"/>
  <c r="U2063" i="5"/>
  <c r="V2062" i="5"/>
  <c r="U2062" i="5"/>
  <c r="V2061" i="5"/>
  <c r="U2061" i="5"/>
  <c r="V2060" i="5"/>
  <c r="U2060" i="5"/>
  <c r="V2059" i="5"/>
  <c r="U2059" i="5"/>
  <c r="V2058" i="5"/>
  <c r="U2058" i="5"/>
  <c r="V2057" i="5"/>
  <c r="U2057" i="5"/>
  <c r="V2" i="5"/>
  <c r="U2" i="5" l="1"/>
</calcChain>
</file>

<file path=xl/sharedStrings.xml><?xml version="1.0" encoding="utf-8"?>
<sst xmlns="http://schemas.openxmlformats.org/spreadsheetml/2006/main" count="18251" uniqueCount="3614">
  <si>
    <t>Parmaters: -</t>
  </si>
  <si>
    <t>Report Info: -</t>
  </si>
  <si>
    <t>SalesOrderNo</t>
  </si>
  <si>
    <t>BillToName</t>
  </si>
  <si>
    <t>CustomerPONo</t>
  </si>
  <si>
    <t>ItemCode</t>
  </si>
  <si>
    <t>ItemCodeDesc</t>
  </si>
  <si>
    <t>PromiseDate</t>
  </si>
  <si>
    <t>QtyRemaining</t>
  </si>
  <si>
    <t>OrderDate</t>
  </si>
  <si>
    <t>EstMfgMin</t>
  </si>
  <si>
    <t>Total Mfg Hrs</t>
  </si>
  <si>
    <t>QV Notes</t>
  </si>
  <si>
    <t>Item Status</t>
  </si>
  <si>
    <t>Week</t>
  </si>
  <si>
    <t>Department</t>
  </si>
  <si>
    <t>WeekNum</t>
  </si>
  <si>
    <t>SalespersonNo</t>
  </si>
  <si>
    <t>QuantityOrdered</t>
  </si>
  <si>
    <t>Prod Status</t>
  </si>
  <si>
    <t>ARDivisionNo</t>
  </si>
  <si>
    <t>QuantityShipped</t>
  </si>
  <si>
    <t>Year_Mo</t>
  </si>
  <si>
    <t>UDF_REV</t>
  </si>
  <si>
    <t xml:space="preserve">Run On </t>
  </si>
  <si>
    <t xml:space="preserve">Date </t>
  </si>
  <si>
    <t>Data Catalog</t>
  </si>
  <si>
    <t>001 &amp; IEC &amp; JBC</t>
  </si>
  <si>
    <t>Report ID</t>
  </si>
  <si>
    <t>Report Name</t>
  </si>
  <si>
    <t>Open Order All Qty Only</t>
  </si>
  <si>
    <t>Instance Name</t>
  </si>
  <si>
    <t>Open Order All Qty Only_20260130_10_02_14_022.xls</t>
  </si>
  <si>
    <t>Instance ID</t>
  </si>
  <si>
    <t>EXE Path</t>
  </si>
  <si>
    <t>C:\Sage\Sage 100 Workstation\MAS90\Home\Intelligence\BICORE.EXE</t>
  </si>
  <si>
    <t>System Code</t>
  </si>
  <si>
    <t>System Module</t>
  </si>
  <si>
    <t>Report Code</t>
  </si>
  <si>
    <t>Row Mask Filter</t>
  </si>
  <si>
    <t>MTHS</t>
  </si>
  <si>
    <t>0002208</t>
  </si>
  <si>
    <t>04</t>
  </si>
  <si>
    <t>DFAS-CO / JAQBAC</t>
  </si>
  <si>
    <t>HC102817D0002_HC108419F0149</t>
  </si>
  <si>
    <t>552 Government - Distribution</t>
  </si>
  <si>
    <t>ASM-FREIGHT</t>
  </si>
  <si>
    <t>ESTIMATED FREIGHT</t>
  </si>
  <si>
    <t>LG</t>
  </si>
  <si>
    <t>Labor - General</t>
  </si>
  <si>
    <t>MISC</t>
  </si>
  <si>
    <t>MISC EXPENSES OY 3</t>
  </si>
  <si>
    <t>OC</t>
  </si>
  <si>
    <t>OPERATING COST OY 3</t>
  </si>
  <si>
    <t>OM</t>
  </si>
  <si>
    <t>Operations Manager</t>
  </si>
  <si>
    <t>0002220</t>
  </si>
  <si>
    <t>HC108420D0005_HC108421F0185</t>
  </si>
  <si>
    <t>903528-1</t>
  </si>
  <si>
    <t>CABLE ASSY, DISPLAY, W2, WITH</t>
  </si>
  <si>
    <t>903528-2</t>
  </si>
  <si>
    <t>ASM-SPECIAL</t>
  </si>
  <si>
    <t>BOARD REVERSE ENGINEERING</t>
  </si>
  <si>
    <t>L2</t>
  </si>
  <si>
    <t>LOGISTICS - 2</t>
  </si>
  <si>
    <t>ME2</t>
  </si>
  <si>
    <t>MECHANICAL ENGINEER 2</t>
  </si>
  <si>
    <t>ME3</t>
  </si>
  <si>
    <t>MECHANICAL ENGINEER 3</t>
  </si>
  <si>
    <t>QA3</t>
  </si>
  <si>
    <t>QUALITY ASSURANCE - 3</t>
  </si>
  <si>
    <t>0002242</t>
  </si>
  <si>
    <t>DFAS-CO / HQ0810</t>
  </si>
  <si>
    <t>HC108420D0005_HC108424F0111</t>
  </si>
  <si>
    <t>AEDS640017-1P</t>
  </si>
  <si>
    <t>1 Type N Female Connector: VHF</t>
  </si>
  <si>
    <t>X</t>
  </si>
  <si>
    <t>E3</t>
  </si>
  <si>
    <t>ENGINEER - 3</t>
  </si>
  <si>
    <t>NRE</t>
  </si>
  <si>
    <t>NON RECURRING CHARGES</t>
  </si>
  <si>
    <t>0002237</t>
  </si>
  <si>
    <t>HC108420D0005_HC108425F0080</t>
  </si>
  <si>
    <t>555 Government - NJ build</t>
  </si>
  <si>
    <t>620800-1</t>
  </si>
  <si>
    <t>LOG ADAPTER CABLE</t>
  </si>
  <si>
    <t>B</t>
  </si>
  <si>
    <t>0002247</t>
  </si>
  <si>
    <t>HC108420D0005_HC108425F0409</t>
  </si>
  <si>
    <t>170456-2</t>
  </si>
  <si>
    <t>CABLE ASSEMBLY, DATA, RED, NOC</t>
  </si>
  <si>
    <t>H</t>
  </si>
  <si>
    <t>0002244</t>
  </si>
  <si>
    <t>HC108420D0005_ HC108425F00322</t>
  </si>
  <si>
    <t>C</t>
  </si>
  <si>
    <t>0002246</t>
  </si>
  <si>
    <t>HC108420D0005_HC108425F0404</t>
  </si>
  <si>
    <t>A3339398-2</t>
  </si>
  <si>
    <t>TOC, ASSEMBLY, TOC KIT - TABLE</t>
  </si>
  <si>
    <t>I005153</t>
  </si>
  <si>
    <t>05</t>
  </si>
  <si>
    <t>SPRBL120D0010_SPRBL123F0171</t>
  </si>
  <si>
    <t>725851-801</t>
  </si>
  <si>
    <t>5998015679556, POWER SUPPLY AS</t>
  </si>
  <si>
    <t>BAE is delayed as of 3/27 due to higher rated gov orders. Monthly calls scheduled. Par submitted 5/9 with tentative recovery schedule</t>
  </si>
  <si>
    <t>726023-802</t>
  </si>
  <si>
    <t>5998015676943, COMSEC MODULE</t>
  </si>
  <si>
    <t>726317-2</t>
  </si>
  <si>
    <t>5998015678174, CIRUCIT CARD AS</t>
  </si>
  <si>
    <t>726374-801</t>
  </si>
  <si>
    <t>5998015674855, CCA Red 1553</t>
  </si>
  <si>
    <t>I005217</t>
  </si>
  <si>
    <t>SPRBL120D0010_SPRBL124F0168</t>
  </si>
  <si>
    <t>A3206017-5</t>
  </si>
  <si>
    <t>CABLE ASSEMBLY,POWE</t>
  </si>
  <si>
    <t>FAT waiver approved. PMO to get a mod. DLA also wants to do a site visit</t>
  </si>
  <si>
    <t>A3206317-25</t>
  </si>
  <si>
    <t>CABLE ASSEMBLY,SPECIAL PURPOSE</t>
  </si>
  <si>
    <t>-</t>
  </si>
  <si>
    <t>PMO to submit a FAT waiver citing similar cables</t>
  </si>
  <si>
    <t>I005230</t>
  </si>
  <si>
    <t>SPRBL120D0010_SPRBL125F0086</t>
  </si>
  <si>
    <t>557 Military - Labor Only</t>
  </si>
  <si>
    <t>A3206021-19</t>
  </si>
  <si>
    <t>CABLE ASSEMBLY,SPEC</t>
  </si>
  <si>
    <t>1/7/26: Complete Estimated to ship week of 1/12</t>
  </si>
  <si>
    <t>A3354979-4-10</t>
  </si>
  <si>
    <t>I005225</t>
  </si>
  <si>
    <t>SPRBL120D0010_SPRBL125F0007</t>
  </si>
  <si>
    <t>A3206019-9</t>
  </si>
  <si>
    <t>A3206023-13-16</t>
  </si>
  <si>
    <t>CABLE ASSY, SPEC</t>
  </si>
  <si>
    <t>I005227</t>
  </si>
  <si>
    <t>SPRBL120D0010_SPRBL125F0057</t>
  </si>
  <si>
    <t>A3014065-1</t>
  </si>
  <si>
    <t>LOUDSPEAKER-CONTROL</t>
  </si>
  <si>
    <t>I005102</t>
  </si>
  <si>
    <t>SPRBL120D0010_SPRMM122FQV01</t>
  </si>
  <si>
    <t>A-57480-21</t>
  </si>
  <si>
    <t>POWER MODULE ASSEMBLY</t>
  </si>
  <si>
    <t>1/8/28: Per Richard Lanzfa, delivery date holding at end of February  2026</t>
  </si>
  <si>
    <t>A3206020</t>
  </si>
  <si>
    <t>I005232</t>
  </si>
  <si>
    <t>SPRBL120D0010_SPRBL125F0110</t>
  </si>
  <si>
    <t>A3339392-0002</t>
  </si>
  <si>
    <t>INSTALLATION AND EQ, MFOCS LOG</t>
  </si>
  <si>
    <t>F</t>
  </si>
  <si>
    <t>I005238</t>
  </si>
  <si>
    <t>SPRBL120D0010_SPRBL126F0038</t>
  </si>
  <si>
    <t>A3302584-3</t>
  </si>
  <si>
    <t>CABLE ASSY, FIBER OPTIC</t>
  </si>
  <si>
    <t>J</t>
  </si>
  <si>
    <t>7 Jan: OCC scheduling SI last week of January 2026. Estimated ship date is 2 Februarry.</t>
  </si>
  <si>
    <t>I005233</t>
  </si>
  <si>
    <t>SPRBL120D0010_SPRBL125F0119</t>
  </si>
  <si>
    <t>556 Government - 401 MI build</t>
  </si>
  <si>
    <t>A3339390</t>
  </si>
  <si>
    <t>MFOCS HEMTT/HET UIK</t>
  </si>
  <si>
    <t>NOT KITTED YET</t>
  </si>
  <si>
    <t>A3339392-001-0</t>
  </si>
  <si>
    <t>MFOCS LOG DELTA VEHICULAR IK</t>
  </si>
  <si>
    <t>A3381218-0</t>
  </si>
  <si>
    <t>FMTV UNIVERSAL IK</t>
  </si>
  <si>
    <t>I005229</t>
  </si>
  <si>
    <t>SPRBL120D0010_SPRBL125F0080</t>
  </si>
  <si>
    <t>A3205748</t>
  </si>
  <si>
    <t>CONTROL,INTERCOMMUN</t>
  </si>
  <si>
    <t>I005234</t>
  </si>
  <si>
    <t>SPRBL120D0010_SPRBL126F0018</t>
  </si>
  <si>
    <t>PPL-10132</t>
  </si>
  <si>
    <t>INSTALLATION KIT</t>
  </si>
  <si>
    <t>AE</t>
  </si>
  <si>
    <t>PPL-10580</t>
  </si>
  <si>
    <t>INSTALLATION KIT, ELECTRONIC E</t>
  </si>
  <si>
    <t>PPL10607</t>
  </si>
  <si>
    <t>INSTALLION KIT,EL</t>
  </si>
  <si>
    <t>A</t>
  </si>
  <si>
    <t>I005236</t>
  </si>
  <si>
    <t>SPRBL120D0010_SPRBL126F0020</t>
  </si>
  <si>
    <t>A3206019-12</t>
  </si>
  <si>
    <t>CABLE ASSEMBLY SPECIAL PURPOSE</t>
  </si>
  <si>
    <t>PARTIALLY KITTED-VERIFIED ALL MATERIAL ON ORDER</t>
  </si>
  <si>
    <t>I005235</t>
  </si>
  <si>
    <t>SPRBL120D0010_SPRBL126F0016</t>
  </si>
  <si>
    <t>A3206018-21</t>
  </si>
  <si>
    <t>PARTIALLY KITTED-VERIFIED ALL MATERIAL IS ON ORDER POWELL5403 MARMON 5398</t>
  </si>
  <si>
    <t>I005237</t>
  </si>
  <si>
    <t>SPRBL120D0010_SPRBL126F0034</t>
  </si>
  <si>
    <t>A3206080</t>
  </si>
  <si>
    <t>LOUDSPEAKER, PERMANENT</t>
  </si>
  <si>
    <t>A3206120-3-3</t>
  </si>
  <si>
    <t>CABLE ASSEMBLY, SPEC</t>
  </si>
  <si>
    <t>A-57480-1</t>
  </si>
  <si>
    <t>MAIN CONTROL ASSEMBLY</t>
  </si>
  <si>
    <t>Windows program issue. Looking to change from Windows to another source. Working on milestone plan. ETA is qtr 1 2027 based of Navy direction</t>
  </si>
  <si>
    <t>I005174</t>
  </si>
  <si>
    <t>SPRBL120D0010_SPRBL123F0193</t>
  </si>
  <si>
    <t>I005239</t>
  </si>
  <si>
    <t>SPRBL120D0010_SPRBL126F0045</t>
  </si>
  <si>
    <t>I005216</t>
  </si>
  <si>
    <t>SPRBL120D0010_SPRBL124F0164</t>
  </si>
  <si>
    <t>A3206249-25</t>
  </si>
  <si>
    <t>Delayed due to A3206252. MFR no longer makes connector &amp; wants to cancel as of 30 June. Ace looking for potential replacement DLA informed on 30 June</t>
  </si>
  <si>
    <t>A3210695</t>
  </si>
  <si>
    <t>3 open RFVs/ECP's. Gov wants Ace to resubmit ECP1 w/ cost impact. ECP2, 3 to be resubmitted as an RFV. Working thru design flaws with DLA. Lex to Mar</t>
  </si>
  <si>
    <t>ASM-FAT</t>
  </si>
  <si>
    <t>FAT TESTING FOR P/N: A3210695</t>
  </si>
  <si>
    <t>FAT TESTING FOR P/N: A3206249-</t>
  </si>
  <si>
    <t>LINE 9 DC AA 8/26/26</t>
  </si>
  <si>
    <t>0006</t>
  </si>
  <si>
    <t>0125214</t>
  </si>
  <si>
    <t>00</t>
  </si>
  <si>
    <t>TNT ELECTRIC SUPPLY, INC.</t>
  </si>
  <si>
    <t>24280</t>
  </si>
  <si>
    <t>000 Copper Assembly</t>
  </si>
  <si>
    <t>RESTOCK FEE</t>
  </si>
  <si>
    <t>3A64904H01</t>
  </si>
  <si>
    <t>0129181</t>
  </si>
  <si>
    <t>RCM TECHNOLOGIES, INC.</t>
  </si>
  <si>
    <t>INSTALL</t>
  </si>
  <si>
    <t>Verizon Wireless Warren Consol</t>
  </si>
  <si>
    <t>0023</t>
  </si>
  <si>
    <t>0143148</t>
  </si>
  <si>
    <t>ACE ELECTRONICS MI (401 MINN)</t>
  </si>
  <si>
    <t>333 Robotic - NJ build</t>
  </si>
  <si>
    <t>EE-7412-616-001</t>
  </si>
  <si>
    <t>0055</t>
  </si>
  <si>
    <t>0135321</t>
  </si>
  <si>
    <t>TEL - INSTRUMENT ELECTRONICS</t>
  </si>
  <si>
    <t>79500367</t>
  </si>
  <si>
    <t>75010541</t>
  </si>
  <si>
    <t>CABLE ASSY, DC USB</t>
  </si>
  <si>
    <t>0052</t>
  </si>
  <si>
    <t>0135601</t>
  </si>
  <si>
    <t>EPICARE ACQUISITION, LLC</t>
  </si>
  <si>
    <t>78</t>
  </si>
  <si>
    <t>501-1832</t>
  </si>
  <si>
    <t>P211 CABLE ASSY</t>
  </si>
  <si>
    <t>0136096</t>
  </si>
  <si>
    <t>79500379</t>
  </si>
  <si>
    <t>75010540</t>
  </si>
  <si>
    <t>CABLE ASSY, PANEL ATTENTUATOR</t>
  </si>
  <si>
    <t>75010542</t>
  </si>
  <si>
    <t>CABLE ASSY, BATTERY</t>
  </si>
  <si>
    <t>0136711</t>
  </si>
  <si>
    <t>79500322</t>
  </si>
  <si>
    <t>0136749</t>
  </si>
  <si>
    <t>CABLES UNLIMITED, INC.</t>
  </si>
  <si>
    <t>121821</t>
  </si>
  <si>
    <t>FGA.1B.308.CLAD62Z</t>
  </si>
  <si>
    <t>LEMO 6 MM CONN</t>
  </si>
  <si>
    <t>FGB.1B.306.CLAD62</t>
  </si>
  <si>
    <t>CONN, CIR, MALE, 6 PIN</t>
  </si>
  <si>
    <t>0140442</t>
  </si>
  <si>
    <t>SIEMENS HEALTHCARE DIAGNOSTICS</t>
  </si>
  <si>
    <t>2900002078</t>
  </si>
  <si>
    <t>004 Siemens Prod</t>
  </si>
  <si>
    <t>10389736</t>
  </si>
  <si>
    <t>(400805) CABLE ASSY 24V AC (AT</t>
  </si>
  <si>
    <t>MT48</t>
  </si>
  <si>
    <t>0141506</t>
  </si>
  <si>
    <t>03</t>
  </si>
  <si>
    <t>DFAS COLUMBUS CENTER</t>
  </si>
  <si>
    <t>N0038322PF168</t>
  </si>
  <si>
    <t>327525-9</t>
  </si>
  <si>
    <t>5995016914053, CABLE ASSY</t>
  </si>
  <si>
    <t>E</t>
  </si>
  <si>
    <t>ON HOLD FOR LABEL 10/19/23; RFV SUBMITTED BY JAMES 2/1/24; ASHLEY FOLLOWED UP 9/24/24</t>
  </si>
  <si>
    <t>ENGINEERING HOLD</t>
  </si>
  <si>
    <t>0143529</t>
  </si>
  <si>
    <t>HORIBA INSTRUMENTS INC.</t>
  </si>
  <si>
    <t>4511667220</t>
  </si>
  <si>
    <t>ASM-REWORK</t>
  </si>
  <si>
    <t>CONVERT 5500980287 TO 55009803</t>
  </si>
  <si>
    <t>MT22</t>
  </si>
  <si>
    <t>0143136</t>
  </si>
  <si>
    <t>ACE ELECTRONICS DEFENSE (JBC)</t>
  </si>
  <si>
    <t>0007606</t>
  </si>
  <si>
    <t>903528-1-LBR</t>
  </si>
  <si>
    <t>(LABOR ONLY) CABLE ASSY, DISPL</t>
  </si>
  <si>
    <t>IN PRODUCTION</t>
  </si>
  <si>
    <t>903528-2-LBR</t>
  </si>
  <si>
    <t>0143183</t>
  </si>
  <si>
    <t>02</t>
  </si>
  <si>
    <t>ACE ELECTRONICS NJ</t>
  </si>
  <si>
    <t>13033861-PREP</t>
  </si>
  <si>
    <t>8W1 HARNESS PREP</t>
  </si>
  <si>
    <t>0008</t>
  </si>
  <si>
    <t>0141174</t>
  </si>
  <si>
    <t>NOVANTA CORPORATION</t>
  </si>
  <si>
    <t>6020290</t>
  </si>
  <si>
    <t>222 Distribution Product</t>
  </si>
  <si>
    <t>21J23-3</t>
  </si>
  <si>
    <t>8/C 26AWG 19/38 .025" PVC BLAC</t>
  </si>
  <si>
    <t>0143601</t>
  </si>
  <si>
    <t>0155985</t>
  </si>
  <si>
    <t>WE-6751-212-LBR</t>
  </si>
  <si>
    <t>LABOR ONLY-CRT28 JUMPER</t>
  </si>
  <si>
    <t>0144228</t>
  </si>
  <si>
    <t>ACE ELECTRONICS MI</t>
  </si>
  <si>
    <t>031623FAC</t>
  </si>
  <si>
    <t>0915-000-6123</t>
  </si>
  <si>
    <t>HARTING</t>
  </si>
  <si>
    <t>0916-024-3001</t>
  </si>
  <si>
    <t>24 p crimp insert</t>
  </si>
  <si>
    <t>0933-000-9908</t>
  </si>
  <si>
    <t>GUIDE PINS</t>
  </si>
  <si>
    <t>0933-000-9909</t>
  </si>
  <si>
    <t>1-1318114-6</t>
  </si>
  <si>
    <t>TAB HSG 12P P/M</t>
  </si>
  <si>
    <t>1-1318117-3</t>
  </si>
  <si>
    <t>3POS CONN HOUSING</t>
  </si>
  <si>
    <t>1-1318118-6</t>
  </si>
  <si>
    <t>12POS HOUSING</t>
  </si>
  <si>
    <t>1-1318118-9</t>
  </si>
  <si>
    <t>AMP CONNECTOR</t>
  </si>
  <si>
    <t>1-1318119-3</t>
  </si>
  <si>
    <t>6POS DUAL RCPT KEY X</t>
  </si>
  <si>
    <t>1-1318119-4</t>
  </si>
  <si>
    <t>8POS HOUSING</t>
  </si>
  <si>
    <t>1-1318120-3</t>
  </si>
  <si>
    <t>3POS HOUSING</t>
  </si>
  <si>
    <t>1-175217-5</t>
  </si>
  <si>
    <t>DYNAMIC REC CONTACT M L/P</t>
  </si>
  <si>
    <t>1-175218-2</t>
  </si>
  <si>
    <t>BLANK</t>
  </si>
  <si>
    <t>1-175218-5</t>
  </si>
  <si>
    <t>TIN 16AWG SOCKETS</t>
  </si>
  <si>
    <t>1-177648-5</t>
  </si>
  <si>
    <t>CONNECTOR</t>
  </si>
  <si>
    <t>1-178128-2</t>
  </si>
  <si>
    <t>AMP 2POS REC</t>
  </si>
  <si>
    <t>1-178128-3</t>
  </si>
  <si>
    <t>3 POSITION RECEPTACLE HOUSING</t>
  </si>
  <si>
    <t>1-178288-5</t>
  </si>
  <si>
    <t>5P CONN</t>
  </si>
  <si>
    <t>1-178288-7</t>
  </si>
  <si>
    <t>8POS FEM CONNECTOR</t>
  </si>
  <si>
    <t>1-179552-3</t>
  </si>
  <si>
    <t>AMP 3POS CRIMP HOUSING</t>
  </si>
  <si>
    <t>1-179555-6</t>
  </si>
  <si>
    <t>1-353717-2</t>
  </si>
  <si>
    <t>16-14 SOCKET CONTACT</t>
  </si>
  <si>
    <t>1-917511-5</t>
  </si>
  <si>
    <t>16-14AWG AMP SOCKET</t>
  </si>
  <si>
    <t>1318107-1</t>
  </si>
  <si>
    <t>AMP CONNECTORS</t>
  </si>
  <si>
    <t>1318108-1</t>
  </si>
  <si>
    <t>AMP 28-24 AWG SOCKET CONTACT</t>
  </si>
  <si>
    <t>1318111-1</t>
  </si>
  <si>
    <t>CONTACT PIN 22-18AWG</t>
  </si>
  <si>
    <t>175289-2</t>
  </si>
  <si>
    <t>AMP 3 TAB CONN</t>
  </si>
  <si>
    <t>175289-5</t>
  </si>
  <si>
    <t>AMP PIN</t>
  </si>
  <si>
    <t>178289-6</t>
  </si>
  <si>
    <t>12POS FEM CONN</t>
  </si>
  <si>
    <t>178964-5</t>
  </si>
  <si>
    <t>1892130000</t>
  </si>
  <si>
    <t>WEID</t>
  </si>
  <si>
    <t>1900-000-5082</t>
  </si>
  <si>
    <t>CABLE CLAMP</t>
  </si>
  <si>
    <t>1930-006-1540</t>
  </si>
  <si>
    <t>HARTING HAN 6B</t>
  </si>
  <si>
    <t>196360000</t>
  </si>
  <si>
    <t>WEIDMULLER RJ45 CONNECTOR</t>
  </si>
  <si>
    <t>2-1318114-4</t>
  </si>
  <si>
    <t>8 PIN MALE BLACK CONNECTOR</t>
  </si>
  <si>
    <t>2-1318114-6</t>
  </si>
  <si>
    <t>12P CONN</t>
  </si>
  <si>
    <t>2-1318118-6</t>
  </si>
  <si>
    <t>2-1318120-3</t>
  </si>
  <si>
    <t>AMP D2100 3P CONNECTOR</t>
  </si>
  <si>
    <t>2-178128-2</t>
  </si>
  <si>
    <t>AMP 2POS HOUSING RECEPT</t>
  </si>
  <si>
    <t>2-178128-4</t>
  </si>
  <si>
    <t>2-178129-6</t>
  </si>
  <si>
    <t>TE CNTY-AMP 6-P DYNAMIC PLUG-H</t>
  </si>
  <si>
    <t>2-179552-4</t>
  </si>
  <si>
    <t>4POS HOUSING</t>
  </si>
  <si>
    <t>2-179555-6</t>
  </si>
  <si>
    <t>3-179555-6</t>
  </si>
  <si>
    <t>55765-0001</t>
  </si>
  <si>
    <t>MOLEX CONNECTOR</t>
  </si>
  <si>
    <t>55766-0001</t>
  </si>
  <si>
    <t>56052-8100</t>
  </si>
  <si>
    <t>MOLEX CONTACT</t>
  </si>
  <si>
    <t>641994-1</t>
  </si>
  <si>
    <t>KEY PLUG</t>
  </si>
  <si>
    <t>83007-009</t>
  </si>
  <si>
    <t>BELDEN TEFLON 20 AWG WHT</t>
  </si>
  <si>
    <t>83007-010</t>
  </si>
  <si>
    <t>BELDEN TEFLON 20 AEG BLK</t>
  </si>
  <si>
    <t>917512-2</t>
  </si>
  <si>
    <t>PINS</t>
  </si>
  <si>
    <t>97-3057-1004</t>
  </si>
  <si>
    <t>BUSHING</t>
  </si>
  <si>
    <t>AH164-J2D22A</t>
  </si>
  <si>
    <t>FUJI KEYSWITCH</t>
  </si>
  <si>
    <t>AH164-TFW11</t>
  </si>
  <si>
    <t>FUJI PB 1NO, 1NC</t>
  </si>
  <si>
    <t>AHX669</t>
  </si>
  <si>
    <t>FUJI RECTANGULAR COVER</t>
  </si>
  <si>
    <t>ALPHA6213C</t>
  </si>
  <si>
    <t>22AWG 3PR CABLE</t>
  </si>
  <si>
    <t>ALPHA669356</t>
  </si>
  <si>
    <t>CABLE</t>
  </si>
  <si>
    <t>ALPHA74005</t>
  </si>
  <si>
    <t>22AWG CAT5/PROFINET GREEN</t>
  </si>
  <si>
    <t>ALPHA882212</t>
  </si>
  <si>
    <t>22AWG UNSHIELED WIRE</t>
  </si>
  <si>
    <t>CFUS722178-44N</t>
  </si>
  <si>
    <t>25PAIR CABLE</t>
  </si>
  <si>
    <t>CFUS722178-4F</t>
  </si>
  <si>
    <t>D-355</t>
  </si>
  <si>
    <t>8AWG RING TERMINAL</t>
  </si>
  <si>
    <t>DZ5-CE010</t>
  </si>
  <si>
    <t>20AWG CABLE END MARKER</t>
  </si>
  <si>
    <t>DZ5CE-005</t>
  </si>
  <si>
    <t>WHT CABLE END</t>
  </si>
  <si>
    <t>E-20HP</t>
  </si>
  <si>
    <t>LOCTITE EPOXY</t>
  </si>
  <si>
    <t>E/MS3106A10SL-3S</t>
  </si>
  <si>
    <t>E/MS3106A18-10S</t>
  </si>
  <si>
    <t>E/MS3106A22S-22S</t>
  </si>
  <si>
    <t>E/MS3108F10SL-3S</t>
  </si>
  <si>
    <t>3 PIN ANGLE PLUG</t>
  </si>
  <si>
    <t>LOCTITE 222MS</t>
  </si>
  <si>
    <t>THREADLOCKER 50ML</t>
  </si>
  <si>
    <t>LOCTITE21348</t>
  </si>
  <si>
    <t>PRIMER/CLEANER</t>
  </si>
  <si>
    <t>MTW-16G-02</t>
  </si>
  <si>
    <t>MTW WHITE</t>
  </si>
  <si>
    <t>MTW-16G-03</t>
  </si>
  <si>
    <t>MTW RED</t>
  </si>
  <si>
    <t>MTW-18G-01</t>
  </si>
  <si>
    <t>MTW BLK</t>
  </si>
  <si>
    <t>MTW-18G-07</t>
  </si>
  <si>
    <t>#18 AWG BLUE MTW</t>
  </si>
  <si>
    <t>PCR-E20FS</t>
  </si>
  <si>
    <t>HONDA CONNECTOR</t>
  </si>
  <si>
    <t>PCS-E20LA</t>
  </si>
  <si>
    <t>PTN0.75BLK</t>
  </si>
  <si>
    <t>3/4" BLACK EXPANDO NON-FLAME R</t>
  </si>
  <si>
    <t>RA18-8F</t>
  </si>
  <si>
    <t>TSC-221-1/2-BU</t>
  </si>
  <si>
    <t>1/2" BLUE SHRINK</t>
  </si>
  <si>
    <t>TSC-221-3/4-BU</t>
  </si>
  <si>
    <t>3/4" BLUE SHRINK</t>
  </si>
  <si>
    <t>UL1007-20G-01</t>
  </si>
  <si>
    <t>BLACK 20 AWG 300V WIRE</t>
  </si>
  <si>
    <t>175286-2</t>
  </si>
  <si>
    <t>CONTACT</t>
  </si>
  <si>
    <t>0145349</t>
  </si>
  <si>
    <t>072023KS</t>
  </si>
  <si>
    <t>EE-7412-109-070</t>
  </si>
  <si>
    <t>IB+ENET CNT-BTH CBL 7.0M</t>
  </si>
  <si>
    <t>D</t>
  </si>
  <si>
    <t>0145733</t>
  </si>
  <si>
    <t>XACT</t>
  </si>
  <si>
    <t>E/MS3057-4A</t>
  </si>
  <si>
    <t>SIZE 10SL CLAMP</t>
  </si>
  <si>
    <t>E/MS3106A22-22S</t>
  </si>
  <si>
    <t>16.87SLDR CONTACT CONN</t>
  </si>
  <si>
    <t>PTN0.75BK</t>
  </si>
  <si>
    <t>ATM</t>
  </si>
  <si>
    <t>0145898</t>
  </si>
  <si>
    <t>VEECO PROCESS EQUIPMENT, INC.</t>
  </si>
  <si>
    <t>034032003</t>
  </si>
  <si>
    <t>OPTICAL SENSOR ASSY, 2 LEAD, K</t>
  </si>
  <si>
    <t>0146122</t>
  </si>
  <si>
    <t>ASM-LABELS</t>
  </si>
  <si>
    <t>LABELS</t>
  </si>
  <si>
    <t>ASM-TEST</t>
  </si>
  <si>
    <t>0146351</t>
  </si>
  <si>
    <t>945610</t>
  </si>
  <si>
    <t>041130924</t>
  </si>
  <si>
    <t>CABLE ASSY, 50FT, FILAMENT, BO</t>
  </si>
  <si>
    <t>MT43</t>
  </si>
  <si>
    <t>0146200</t>
  </si>
  <si>
    <t>N0038324PF005</t>
  </si>
  <si>
    <t>327525-5</t>
  </si>
  <si>
    <t>COAX CABLE ASSY</t>
  </si>
  <si>
    <t>KARINA 2/13/24</t>
  </si>
  <si>
    <t>READY FOR QC</t>
  </si>
  <si>
    <t>0005</t>
  </si>
  <si>
    <t>0145465</t>
  </si>
  <si>
    <t>MAROTTA CONTROLS, INC.</t>
  </si>
  <si>
    <t>IS0077</t>
  </si>
  <si>
    <t>238859-0002</t>
  </si>
  <si>
    <t>FRONT PANEL ASSY</t>
  </si>
  <si>
    <t>0147259</t>
  </si>
  <si>
    <t>GENERAL DYNAMICS MISSION  SYSTEMS, INC</t>
  </si>
  <si>
    <t>02P167881</t>
  </si>
  <si>
    <t>ASM-NRE</t>
  </si>
  <si>
    <t>NRE for QAP (2W83)</t>
  </si>
  <si>
    <t>13056392</t>
  </si>
  <si>
    <t>CABLE ASSEMBLY (2W83)</t>
  </si>
  <si>
    <t>PO# 161992 DUE 6/2/25</t>
  </si>
  <si>
    <t>MATERIAL ORDERED</t>
  </si>
  <si>
    <t>0151764</t>
  </si>
  <si>
    <t>INDUSTRIAL DEGAUSS</t>
  </si>
  <si>
    <t>21231</t>
  </si>
  <si>
    <t>75FT CABLES</t>
  </si>
  <si>
    <t>0151540</t>
  </si>
  <si>
    <t>WC0525</t>
  </si>
  <si>
    <t>4837081-3012</t>
  </si>
  <si>
    <t>HARNESS, PRIMARY</t>
  </si>
  <si>
    <t>6</t>
  </si>
  <si>
    <t>0149726</t>
  </si>
  <si>
    <t>LOCKHEED MARTIN CORP</t>
  </si>
  <si>
    <t>4500000634</t>
  </si>
  <si>
    <t>12295196-1</t>
  </si>
  <si>
    <t>WIRING HARNESS, BRANCHED (3W1)</t>
  </si>
  <si>
    <t>AA</t>
  </si>
  <si>
    <t>0149750</t>
  </si>
  <si>
    <t>WC0267</t>
  </si>
  <si>
    <t>NRE 1 TIME CHRAGE FOR BLACK DU</t>
  </si>
  <si>
    <t>0149182</t>
  </si>
  <si>
    <t>ACE DEFENSE (NON JBC)</t>
  </si>
  <si>
    <t>164358</t>
  </si>
  <si>
    <t>8749559</t>
  </si>
  <si>
    <t>RACK MOUNTED ASSEMBLY RT</t>
  </si>
  <si>
    <t>PHA</t>
  </si>
  <si>
    <t>0149656</t>
  </si>
  <si>
    <t>DESIGN WEST TECHNOLOGIES</t>
  </si>
  <si>
    <t>0055557</t>
  </si>
  <si>
    <t>POTTING TOOL</t>
  </si>
  <si>
    <t>0147240</t>
  </si>
  <si>
    <t>ADS, INC.</t>
  </si>
  <si>
    <t>1361907</t>
  </si>
  <si>
    <t>13027959</t>
  </si>
  <si>
    <t>CABLE ASSEMBLY, 27W8</t>
  </si>
  <si>
    <t>PO# 161509</t>
  </si>
  <si>
    <t>0150046</t>
  </si>
  <si>
    <t>LIBRA INDUSTRIES, LLC.</t>
  </si>
  <si>
    <t>119817-00</t>
  </si>
  <si>
    <t>1029-71-106175</t>
  </si>
  <si>
    <t>ASSY, HARNESS, THERMISTOR</t>
  </si>
  <si>
    <t>0146716</t>
  </si>
  <si>
    <t>ELBIT AMERICA, INC.</t>
  </si>
  <si>
    <t>5L0008910</t>
  </si>
  <si>
    <t>Y53973A-01</t>
  </si>
  <si>
    <t>CABLE ASSY, WC1</t>
  </si>
  <si>
    <t>01</t>
  </si>
  <si>
    <t>3 PCS 9/12 TO SIP; BAL. TBD PO# 166705 DUE 9/12</t>
  </si>
  <si>
    <t>0149638</t>
  </si>
  <si>
    <t>2610467032</t>
  </si>
  <si>
    <t>10284102</t>
  </si>
  <si>
    <t>(400798) CABLE ASSY,TUBE IN PL</t>
  </si>
  <si>
    <t>G2S</t>
  </si>
  <si>
    <t>0149957</t>
  </si>
  <si>
    <t>AR1</t>
  </si>
  <si>
    <t>0000002095</t>
  </si>
  <si>
    <t>33ACOM1001C</t>
  </si>
  <si>
    <t>ROTORY COMPRESSOR</t>
  </si>
  <si>
    <t>0022</t>
  </si>
  <si>
    <t>0150470</t>
  </si>
  <si>
    <t>SPECTRUM INDUSTRIES</t>
  </si>
  <si>
    <t>39875</t>
  </si>
  <si>
    <t>48049</t>
  </si>
  <si>
    <t>TERMINAL HAND TOOL</t>
  </si>
  <si>
    <t>0150483</t>
  </si>
  <si>
    <t>V2X</t>
  </si>
  <si>
    <t>501471</t>
  </si>
  <si>
    <t>HMI INTERFACE CABLE</t>
  </si>
  <si>
    <t>501472</t>
  </si>
  <si>
    <t>MAIN INTERFACE CABLE</t>
  </si>
  <si>
    <t>501473</t>
  </si>
  <si>
    <t>PCU INTERFACE CABLE</t>
  </si>
  <si>
    <t>MT46</t>
  </si>
  <si>
    <t>0149453</t>
  </si>
  <si>
    <t>N6339420D0002_N6339425F0004</t>
  </si>
  <si>
    <t>8749460-02</t>
  </si>
  <si>
    <t>AUXILIARY ASSY</t>
  </si>
  <si>
    <t>0150050</t>
  </si>
  <si>
    <t>0165534</t>
  </si>
  <si>
    <t>8749393-01-LBR</t>
  </si>
  <si>
    <t>CBL ASSY, INPUT POWER (W1) - L</t>
  </si>
  <si>
    <t>8749408-07-LBR</t>
  </si>
  <si>
    <t>CBL ASSY , USB - LBR</t>
  </si>
  <si>
    <t>8749544-02-LBR</t>
  </si>
  <si>
    <t>CBL ASSY, RMP DRIVE POWER - LB</t>
  </si>
  <si>
    <t>8749545-01-LBR</t>
  </si>
  <si>
    <t>CBL ASSY, PWR SUPPLY FAN - LBR</t>
  </si>
  <si>
    <t>8749546-01-LBR</t>
  </si>
  <si>
    <t>CBL ASSY, RMP FAN - LBR</t>
  </si>
  <si>
    <t>8749547-01-LBR</t>
  </si>
  <si>
    <t>CBL ASSY, RMP RESET</t>
  </si>
  <si>
    <t>8749548-05-LBR</t>
  </si>
  <si>
    <t>CBL ASSY , SATA - LBR</t>
  </si>
  <si>
    <t>8749556-01-LBR</t>
  </si>
  <si>
    <t>CBL ASSY, SAS TO SATA (W25) -</t>
  </si>
  <si>
    <t>8749562-01-LBR</t>
  </si>
  <si>
    <t>CBL ASSY RMP DRIVE POWER ADAPT</t>
  </si>
  <si>
    <t>8749563-01-LBR</t>
  </si>
  <si>
    <t>CBL ASSY, POWER SAFE (W10) - L</t>
  </si>
  <si>
    <t>0149235</t>
  </si>
  <si>
    <t>4106448042</t>
  </si>
  <si>
    <t>13763423-1</t>
  </si>
  <si>
    <t>CABLE ASSY - CAT5E, OA SHLD, L</t>
  </si>
  <si>
    <t>0150055</t>
  </si>
  <si>
    <t>0165531</t>
  </si>
  <si>
    <t>8749433-01-LBR</t>
  </si>
  <si>
    <t>CBL ASSY, INDICATOR - LBR</t>
  </si>
  <si>
    <t>8749433-02-LBR</t>
  </si>
  <si>
    <t>0001</t>
  </si>
  <si>
    <t>0150954</t>
  </si>
  <si>
    <t>MADISON ELECTRIC</t>
  </si>
  <si>
    <t>821359</t>
  </si>
  <si>
    <t>13763423-10</t>
  </si>
  <si>
    <t>13763423-100</t>
  </si>
  <si>
    <t>CABLE ASSY - RF,COAX,50 OHM,0.</t>
  </si>
  <si>
    <t>13763423-101</t>
  </si>
  <si>
    <t>0149789</t>
  </si>
  <si>
    <t>0000002144</t>
  </si>
  <si>
    <t>13230E6308</t>
  </si>
  <si>
    <t>WIRING HARNESS</t>
  </si>
  <si>
    <t>PER AR1-STOP ORDER</t>
  </si>
  <si>
    <t>8749405-03-LBR</t>
  </si>
  <si>
    <t>CBL ASSY, DC POWER (A3W2)</t>
  </si>
  <si>
    <t>8749405-04-LBR</t>
  </si>
  <si>
    <t>CBL ASSY, DC POWER (A3W1)</t>
  </si>
  <si>
    <t>8749407-13-LBR</t>
  </si>
  <si>
    <t>CABLE ASSY, ETHERNET- LBR</t>
  </si>
  <si>
    <t>0149709</t>
  </si>
  <si>
    <t>0008702</t>
  </si>
  <si>
    <t>620800-LBR</t>
  </si>
  <si>
    <t>(LABOR AND MOLD) LOG ADAPTER C</t>
  </si>
  <si>
    <t>0150150</t>
  </si>
  <si>
    <t>4500000694</t>
  </si>
  <si>
    <t>12469901</t>
  </si>
  <si>
    <t>WIRING HARNESS, BRANCHED (3W10</t>
  </si>
  <si>
    <t>MT32</t>
  </si>
  <si>
    <t>0149961</t>
  </si>
  <si>
    <t>SPE4A621D5AS3_SPE4A725F4580</t>
  </si>
  <si>
    <t>861880-1</t>
  </si>
  <si>
    <t>WIRE HARNESS BRANCHED</t>
  </si>
  <si>
    <t>Y</t>
  </si>
  <si>
    <t>0150602</t>
  </si>
  <si>
    <t>0008855</t>
  </si>
  <si>
    <t>8900-52087-0003-LBR</t>
  </si>
  <si>
    <t>(LABOR ONLY) CABLE ASSY- RFID,</t>
  </si>
  <si>
    <t>G</t>
  </si>
  <si>
    <t>A3354745-001-0-LBR</t>
  </si>
  <si>
    <t>(LABOR AND MOLD ONLY) CABLE. J</t>
  </si>
  <si>
    <t>0150015</t>
  </si>
  <si>
    <t>SPE4A625D0043_SPE4A625F005H</t>
  </si>
  <si>
    <t>176628-1</t>
  </si>
  <si>
    <t>CABLE ASSY, POWER, KGV-72, W1Y</t>
  </si>
  <si>
    <t>0015</t>
  </si>
  <si>
    <t>0150903</t>
  </si>
  <si>
    <t>FANUC ROBOTICS AMERICA, INC.</t>
  </si>
  <si>
    <t>1001378051</t>
  </si>
  <si>
    <t>EE-8721-600-001</t>
  </si>
  <si>
    <t>GNM300+ESTAT POWER CRM27</t>
  </si>
  <si>
    <t>0D</t>
  </si>
  <si>
    <t>0150904</t>
  </si>
  <si>
    <t>0150178</t>
  </si>
  <si>
    <t>1442557</t>
  </si>
  <si>
    <t>0150907</t>
  </si>
  <si>
    <t>1001392671</t>
  </si>
  <si>
    <t>EE-8763-603-001</t>
  </si>
  <si>
    <t>SCO OPERATOR PANEL  I/O CABLE</t>
  </si>
  <si>
    <t>0B</t>
  </si>
  <si>
    <t>0151185</t>
  </si>
  <si>
    <t>170306-1-LBR</t>
  </si>
  <si>
    <t>(LABOR ONLY) POWER MODULE ASSE</t>
  </si>
  <si>
    <t>P</t>
  </si>
  <si>
    <t>0150962</t>
  </si>
  <si>
    <t>SAIC</t>
  </si>
  <si>
    <t>P010291267</t>
  </si>
  <si>
    <t>18002N1929-3</t>
  </si>
  <si>
    <t>CABLE ASSEMBLY, POWER, W710-3</t>
  </si>
  <si>
    <t>0150632</t>
  </si>
  <si>
    <t>GED INTEGRATED SOLUTIONS</t>
  </si>
  <si>
    <t>327961-HOLD FOR STOCK</t>
  </si>
  <si>
    <t>1939-006-0527</t>
  </si>
  <si>
    <t>HARTING HOOD SIDE ENTRY</t>
  </si>
  <si>
    <t>1962-806-0557</t>
  </si>
  <si>
    <t>HOOD</t>
  </si>
  <si>
    <t>0151047</t>
  </si>
  <si>
    <t>4512439159</t>
  </si>
  <si>
    <t>5700052059</t>
  </si>
  <si>
    <t>CABLE, 25 D PLUG TO 3 PIN FEM</t>
  </si>
  <si>
    <t>MT23</t>
  </si>
  <si>
    <t>0150802</t>
  </si>
  <si>
    <t>0008891</t>
  </si>
  <si>
    <t>170369-6-LBR</t>
  </si>
  <si>
    <t>(LABOR ONLY) CABLE ASSEMBLY, P</t>
  </si>
  <si>
    <t>K</t>
  </si>
  <si>
    <t>QC FOR 150533</t>
  </si>
  <si>
    <t>170376-3-LBR</t>
  </si>
  <si>
    <t>(LABOR ONLY) CABLE ASSY, PMA P</t>
  </si>
  <si>
    <t>170381-2-LBR</t>
  </si>
  <si>
    <t>(LABOR ONLY) CABLE ASSY, DAGR,</t>
  </si>
  <si>
    <t>170382-1-LBR</t>
  </si>
  <si>
    <t>(LABOR ONLY) CABLE ASSEMBLY, D</t>
  </si>
  <si>
    <t>179181-3-LBR</t>
  </si>
  <si>
    <t>(LABOR ONLY) CABLE ASSY, KGV-7</t>
  </si>
  <si>
    <t>881289-2-LBR</t>
  </si>
  <si>
    <t>(LABOR ONLY) CABLE ASSY, DATA,</t>
  </si>
  <si>
    <t>N</t>
  </si>
  <si>
    <t>0150549</t>
  </si>
  <si>
    <t>0008841</t>
  </si>
  <si>
    <t>170414-3-LBR</t>
  </si>
  <si>
    <t>(LABOR ONLY) CABLE ASSY, GPS,</t>
  </si>
  <si>
    <t>176639-1-LBR</t>
  </si>
  <si>
    <t>(LABOR ONLY)  POWER CABLE W/ G</t>
  </si>
  <si>
    <t>620718-1-LBR</t>
  </si>
  <si>
    <t>(LABOR ONLY) CABLE ASSY, PU PO</t>
  </si>
  <si>
    <t>A3382277-LBR-KIT</t>
  </si>
  <si>
    <t>(LABOR AND MATERIAL TO KIT) MF</t>
  </si>
  <si>
    <t>H1</t>
  </si>
  <si>
    <t>A3381312-001-0-LBR</t>
  </si>
  <si>
    <t>(LABOR AND MOLD ONLY) CABLE, T</t>
  </si>
  <si>
    <t>0151868</t>
  </si>
  <si>
    <t>0000002520</t>
  </si>
  <si>
    <t>LOG DELTA KIT</t>
  </si>
  <si>
    <t>0150560</t>
  </si>
  <si>
    <t>ENVISION INNOVATIVE SOLUTIONS, INC.</t>
  </si>
  <si>
    <t>50270</t>
  </si>
  <si>
    <t>501559</t>
  </si>
  <si>
    <t>CONFORMAL WEARABLE BATTERY , U</t>
  </si>
  <si>
    <t>ASM-ESTFRT</t>
  </si>
  <si>
    <t>ESTIMATED OUTGOING FREIGHT</t>
  </si>
  <si>
    <t>PROGRAMMING NRE</t>
  </si>
  <si>
    <t>DESIGN NRE</t>
  </si>
  <si>
    <t>0048</t>
  </si>
  <si>
    <t>0151405</t>
  </si>
  <si>
    <t>DIVERSIFIED HEAT TRANSFER, INC.</t>
  </si>
  <si>
    <t>00029434</t>
  </si>
  <si>
    <t>99524-60</t>
  </si>
  <si>
    <t>WIRE #6 SPECS-CSA SEW-2 UL3231</t>
  </si>
  <si>
    <t>8749420-01</t>
  </si>
  <si>
    <t>POWER CONTROL PANEL ASSEMBLY</t>
  </si>
  <si>
    <t>0150054</t>
  </si>
  <si>
    <t>0165530</t>
  </si>
  <si>
    <t>8749420-01-LBR</t>
  </si>
  <si>
    <t>PCP ASSEMBLY-LBR</t>
  </si>
  <si>
    <t>0150484</t>
  </si>
  <si>
    <t>ATAP INC.</t>
  </si>
  <si>
    <t>258095</t>
  </si>
  <si>
    <t>4158AS0783-1</t>
  </si>
  <si>
    <t>CABLE, AWTS ITA COLLECTIVE GRI</t>
  </si>
  <si>
    <t>4158AS0784-1</t>
  </si>
  <si>
    <t>CABLE, AWTS ITA CYCLIC GRIP</t>
  </si>
  <si>
    <t>4158AS1252-1</t>
  </si>
  <si>
    <t>FUEL TANK CABLE ASSY TEST LEAD</t>
  </si>
  <si>
    <t>4158AS1253-1</t>
  </si>
  <si>
    <t>FORWARD TANKS BREAKOUT BOX</t>
  </si>
  <si>
    <t>4158AS1254-1</t>
  </si>
  <si>
    <t>POWER LEAD CABLE ASSEMBLY</t>
  </si>
  <si>
    <t>4158AS1255-1</t>
  </si>
  <si>
    <t>CABLE ASSEMBLY, FORWARD FUEL T</t>
  </si>
  <si>
    <t>4158AS1255-2</t>
  </si>
  <si>
    <t>CABLE ASSY TEST LEAD FUEL TANK</t>
  </si>
  <si>
    <t>4158AS1255-3</t>
  </si>
  <si>
    <t>4158AS1331-1</t>
  </si>
  <si>
    <t>1553 CABLE ITA 1</t>
  </si>
  <si>
    <t>0150988</t>
  </si>
  <si>
    <t>VISION RESEARCH</t>
  </si>
  <si>
    <t>PO92564</t>
  </si>
  <si>
    <t>AD-CBL-RDIO-0R8</t>
  </si>
  <si>
    <t>CABLE ASSY, RDIO</t>
  </si>
  <si>
    <t>T1</t>
  </si>
  <si>
    <t>0151467</t>
  </si>
  <si>
    <t>0049548-00</t>
  </si>
  <si>
    <t>104.2806</t>
  </si>
  <si>
    <t>PLUG, SEALING CAP</t>
  </si>
  <si>
    <t>139811</t>
  </si>
  <si>
    <t>A10-000-4827, CABLE ASSY, 6FT</t>
  </si>
  <si>
    <t>WAITING ON MATERIAL</t>
  </si>
  <si>
    <t>139812</t>
  </si>
  <si>
    <t>A10-000-4828, CABLE ASSY, 6FT</t>
  </si>
  <si>
    <t>0151296</t>
  </si>
  <si>
    <t>4512463305</t>
  </si>
  <si>
    <t>5500980354</t>
  </si>
  <si>
    <t>CABLE, RPR, INTERNAL AC POWER</t>
  </si>
  <si>
    <t>UNIVERSAL HEMTT KIT</t>
  </si>
  <si>
    <t>L1</t>
  </si>
  <si>
    <t>A3381218</t>
  </si>
  <si>
    <t>UNIVERSAL FMTV KIT</t>
  </si>
  <si>
    <t>A3382261</t>
  </si>
  <si>
    <t>M915A3, M915A5, M916A3 KIT</t>
  </si>
  <si>
    <t>0150247</t>
  </si>
  <si>
    <t>SPE4A624D0105_SPE4A625F063F</t>
  </si>
  <si>
    <t>176643-2</t>
  </si>
  <si>
    <t>CABLE ASSY , SPEC</t>
  </si>
  <si>
    <t>0150503</t>
  </si>
  <si>
    <t>0000002269</t>
  </si>
  <si>
    <t>A3339392-004-0</t>
  </si>
  <si>
    <t>INSTALLATION AND EQ, LOG DELTA</t>
  </si>
  <si>
    <t>A3417340-0</t>
  </si>
  <si>
    <t>INSTALLATION AND EQ,  U2IK HMM</t>
  </si>
  <si>
    <t>0151466</t>
  </si>
  <si>
    <t>RE:BUILD MANUFACTURING</t>
  </si>
  <si>
    <t>PO00000974</t>
  </si>
  <si>
    <t>152310</t>
  </si>
  <si>
    <t>CABLE ASSY, T3 WIRING HARNESS,</t>
  </si>
  <si>
    <t>0151532</t>
  </si>
  <si>
    <t>PINE ENVIRONMENTAL SVS LLC</t>
  </si>
  <si>
    <t>6110418</t>
  </si>
  <si>
    <t>17053</t>
  </si>
  <si>
    <t>ADAPTER, DUSTTRAK 2 POWER (203</t>
  </si>
  <si>
    <t>0150533</t>
  </si>
  <si>
    <t>SPE8EN25V0773</t>
  </si>
  <si>
    <t>170401-5</t>
  </si>
  <si>
    <t>INSTALLATION AND EQ</t>
  </si>
  <si>
    <t>MISSING THE 903528-1 CABLE</t>
  </si>
  <si>
    <t>0151443</t>
  </si>
  <si>
    <t>SESCO INC.</t>
  </si>
  <si>
    <t>T0028-25-002</t>
  </si>
  <si>
    <t>7111117</t>
  </si>
  <si>
    <t>CABLE ASSEMBLY, POWER</t>
  </si>
  <si>
    <t>8714768-01</t>
  </si>
  <si>
    <t>CABLE ASSEMBLY, TWP POWER, PRI</t>
  </si>
  <si>
    <t>8749405-01</t>
  </si>
  <si>
    <t>CABLE ASSEMBLY, DC POWER (W130</t>
  </si>
  <si>
    <t>8749405-03</t>
  </si>
  <si>
    <t>CABLE ASSEMBLY, DC POWER (A3W2</t>
  </si>
  <si>
    <t>8749405-04</t>
  </si>
  <si>
    <t>CABLE ASSEMBLY, DC POWER (A3W4</t>
  </si>
  <si>
    <t>8749406-02</t>
  </si>
  <si>
    <t>CABLE ASSEMBLY, GROUND (E1)</t>
  </si>
  <si>
    <t>8749406-03</t>
  </si>
  <si>
    <t>CABLE ASSEMBLY, GROUND (W151 E</t>
  </si>
  <si>
    <t>8749406-04</t>
  </si>
  <si>
    <t>CABLE ASSEMBLY, GROUND (W153 E</t>
  </si>
  <si>
    <t>8749406-05</t>
  </si>
  <si>
    <t>CABLE ASSEMBLY, GROUND (W154 E</t>
  </si>
  <si>
    <t>8749406-06</t>
  </si>
  <si>
    <t>CABLE ASSEMBLY, GROUND (W155 E</t>
  </si>
  <si>
    <t>8749409-01</t>
  </si>
  <si>
    <t>CABLE ASSEMBLY, VGA (W302)</t>
  </si>
  <si>
    <t>8749409-03</t>
  </si>
  <si>
    <t>CABLE ASSEMBLY, VGA (W306)</t>
  </si>
  <si>
    <t>8749411-01</t>
  </si>
  <si>
    <t>CABLE ASSEMBLY, RS422/MIL188 S</t>
  </si>
  <si>
    <t>8749417-01</t>
  </si>
  <si>
    <t>CABLE ASSEMBLY, EKMS (W402)</t>
  </si>
  <si>
    <t>8749419-01</t>
  </si>
  <si>
    <t>CABLE ASSEMBLY, FAN ASSEMBLY G</t>
  </si>
  <si>
    <t>8749433-02</t>
  </si>
  <si>
    <t>CABLE ASSEMBLY, INDICATOR</t>
  </si>
  <si>
    <t>8749604-01</t>
  </si>
  <si>
    <t>CABLE ASSEMBLY, FILTERED POWER</t>
  </si>
  <si>
    <t>8749605-01</t>
  </si>
  <si>
    <t>CABLE ASSEMBLY, AC BUS INPUT</t>
  </si>
  <si>
    <t>8749608-01</t>
  </si>
  <si>
    <t>CABLE ASSEMBLY, FAN POWER</t>
  </si>
  <si>
    <t>8749609-01</t>
  </si>
  <si>
    <t>CABLE ASSEMBLY, DC BUS INPUT</t>
  </si>
  <si>
    <t>8749611-01</t>
  </si>
  <si>
    <t>CABLE ASSEMBLY, THIN CLIENT PO</t>
  </si>
  <si>
    <t>8749619-01</t>
  </si>
  <si>
    <t>CABLE ASSEMBLY, GROUND, 20AWG</t>
  </si>
  <si>
    <t>8749626-01</t>
  </si>
  <si>
    <t>CABLE ASSEMBLY, USB OUT</t>
  </si>
  <si>
    <t>8749633-01</t>
  </si>
  <si>
    <t>CABLE ASSEMBLY, LS-653 HEADSET</t>
  </si>
  <si>
    <t>8749638-01</t>
  </si>
  <si>
    <t>CABLE ASSEMBLY, FOOTSWITCH ADA</t>
  </si>
  <si>
    <t>0151511</t>
  </si>
  <si>
    <t>KLA CORP.</t>
  </si>
  <si>
    <t>22287854</t>
  </si>
  <si>
    <t>TQPR15237</t>
  </si>
  <si>
    <t>ASSY, CABLE, DOOR INTERLCK, DI</t>
  </si>
  <si>
    <t>BA</t>
  </si>
  <si>
    <t>TQPR15250</t>
  </si>
  <si>
    <t>ASSY, TOP PLATE &amp; HARNESS , PR</t>
  </si>
  <si>
    <t>BB</t>
  </si>
  <si>
    <t>0151554</t>
  </si>
  <si>
    <t>998738</t>
  </si>
  <si>
    <t>900 Quality Doc Charges</t>
  </si>
  <si>
    <t>ASM-FAI</t>
  </si>
  <si>
    <t>FAI FEE FOR LINE 20</t>
  </si>
  <si>
    <t>0151291</t>
  </si>
  <si>
    <t>995313</t>
  </si>
  <si>
    <t>038634500</t>
  </si>
  <si>
    <t>CABLE ASSY,PANEL INTERLK, P140</t>
  </si>
  <si>
    <t>0151285</t>
  </si>
  <si>
    <t>SAIC   CREDIT CARD PAYMENT TERMS</t>
  </si>
  <si>
    <t>AMC-25-270</t>
  </si>
  <si>
    <t>CCSERVICECHARGE</t>
  </si>
  <si>
    <t>3% CREDIT CARD SERVICE CHARGE</t>
  </si>
  <si>
    <t>8749406-01</t>
  </si>
  <si>
    <t>8749412-01</t>
  </si>
  <si>
    <t>CABLE ASSEMBLY, TCIP SERIAL DA</t>
  </si>
  <si>
    <t>8749414-01</t>
  </si>
  <si>
    <t>CABLE ASSEMBLY, NTDS E (W601)</t>
  </si>
  <si>
    <t>8749414-02</t>
  </si>
  <si>
    <t>CABLE ASSEMBLY, NTDS E (W602)</t>
  </si>
  <si>
    <t>8749433-01</t>
  </si>
  <si>
    <t>8749475-01</t>
  </si>
  <si>
    <t>CABLE ASSEMBLY, POWER SENSOR (</t>
  </si>
  <si>
    <t>8749544-02</t>
  </si>
  <si>
    <t>CABLE ASSEMBLY, RMP DRIVE POWE</t>
  </si>
  <si>
    <t>8749545-01</t>
  </si>
  <si>
    <t>CABLE ASSEMBLY, RMP POWER SUPP</t>
  </si>
  <si>
    <t>8749546-01</t>
  </si>
  <si>
    <t>CABLE ASSEMBLY, RMP FAN (W7)</t>
  </si>
  <si>
    <t>8749547-01</t>
  </si>
  <si>
    <t>CABLE ASSEMBLY, RMP RESET (W8)</t>
  </si>
  <si>
    <t>8749562-01</t>
  </si>
  <si>
    <t>8749610-01</t>
  </si>
  <si>
    <t>CABLE ASSEMBLY, SENSOR AND CON</t>
  </si>
  <si>
    <t>8749615-01</t>
  </si>
  <si>
    <t>CABLE ASSEMBLY, TIME METER</t>
  </si>
  <si>
    <t>8749622-02</t>
  </si>
  <si>
    <t>CABLE ASSEMBLY, DP++ OUT</t>
  </si>
  <si>
    <t>0151571</t>
  </si>
  <si>
    <t>4FRONT SOLUTIONS, LLC</t>
  </si>
  <si>
    <t>TM00009977</t>
  </si>
  <si>
    <t>239073-0001</t>
  </si>
  <si>
    <t>MAR-A-01003, HARNESS INPUT</t>
  </si>
  <si>
    <t>239074-0001</t>
  </si>
  <si>
    <t>MAR-A-01002, HARNESS OUTPUT RI</t>
  </si>
  <si>
    <t>239075-0001</t>
  </si>
  <si>
    <t>MAR-A-01001, HARNESS OUTPUT LE</t>
  </si>
  <si>
    <t>MT04</t>
  </si>
  <si>
    <t>0151408</t>
  </si>
  <si>
    <t>4106730920</t>
  </si>
  <si>
    <t>AS9102 FAI</t>
  </si>
  <si>
    <t>N154324-2</t>
  </si>
  <si>
    <t>CABLE ASSY, FIBER, RADAR, W051</t>
  </si>
  <si>
    <t>0151658</t>
  </si>
  <si>
    <t>Q200118558</t>
  </si>
  <si>
    <t>041830329</t>
  </si>
  <si>
    <t>CABLE ASSY, TGT TILT/ROT SENSR</t>
  </si>
  <si>
    <t>0147698</t>
  </si>
  <si>
    <t>DO7 LABOR POS</t>
  </si>
  <si>
    <t>ASM-KIT 12</t>
  </si>
  <si>
    <t>KIT 12 - ATDC COMMON PARTS</t>
  </si>
  <si>
    <t>7111116-LBR</t>
  </si>
  <si>
    <t>POWER INDICATOR ASSEMBLY - LBR</t>
  </si>
  <si>
    <t>8501857-01-LBR</t>
  </si>
  <si>
    <t>CABLE ASSEMBLY, GROUND, 16 AWG</t>
  </si>
  <si>
    <t>8501857-02-LBR</t>
  </si>
  <si>
    <t>8501874-01-LBR</t>
  </si>
  <si>
    <t>CABLE ASSEMBLY, GROUND, 12 AWG</t>
  </si>
  <si>
    <t>8501875-02-LBR</t>
  </si>
  <si>
    <t>CABLE ASSEMBLY, POWER INPUT, W</t>
  </si>
  <si>
    <t>8501876-02-LBR</t>
  </si>
  <si>
    <t>CABLE ASSEMBLY, AC POWER, FILT</t>
  </si>
  <si>
    <t>8501878-01-LBR</t>
  </si>
  <si>
    <t>CABLE, FIBER OPTIC (W11) - LBR</t>
  </si>
  <si>
    <t>8501878-02-LBR</t>
  </si>
  <si>
    <t>CABLE, FIBER OPTIC (W12) - LBR</t>
  </si>
  <si>
    <t>8714766-01-LBR</t>
  </si>
  <si>
    <t>CABLE ASSEMBLY, SERIAL DATA SW</t>
  </si>
  <si>
    <t>8714767-01-LBR</t>
  </si>
  <si>
    <t>CABLE ASSEMBLY, FOI POWER, W3</t>
  </si>
  <si>
    <t>0150605</t>
  </si>
  <si>
    <t>0008856</t>
  </si>
  <si>
    <t>8900-52087-0002-LBR</t>
  </si>
  <si>
    <t>A3381319-002-0-LBR</t>
  </si>
  <si>
    <t>(LABOR ONLY) CABLE ASSEMBLY, G</t>
  </si>
  <si>
    <t>A3381319-004-0-LBR</t>
  </si>
  <si>
    <t>A3381319-005-0-LBR</t>
  </si>
  <si>
    <t>A3381320-002-0-LBR</t>
  </si>
  <si>
    <t>A3417301-001-0-LBR</t>
  </si>
  <si>
    <t>(LABOR ONLY) CABLE ASSY, GROUN</t>
  </si>
  <si>
    <t>0150803</t>
  </si>
  <si>
    <t>0008910</t>
  </si>
  <si>
    <t>881270-1-LBR</t>
  </si>
  <si>
    <t>(LABOR ONLY) HARNESS,WIRING, A</t>
  </si>
  <si>
    <t>QC</t>
  </si>
  <si>
    <t>881336-1-LBR</t>
  </si>
  <si>
    <t>(LABOR ONLY) HARNESS,WIRING,SE</t>
  </si>
  <si>
    <t>889579-1-LBR</t>
  </si>
  <si>
    <t>(LABOR ONLY) HARNESS, WIRING,</t>
  </si>
  <si>
    <t>0150201</t>
  </si>
  <si>
    <t>SPRDL125P0058</t>
  </si>
  <si>
    <t>12292358</t>
  </si>
  <si>
    <t>CABLE ASSY, SPEC, XMSN/PJS PER</t>
  </si>
  <si>
    <t>8749404-01</t>
  </si>
  <si>
    <t>CABLE ASSEMBLY, AC POWER (W113</t>
  </si>
  <si>
    <t>8749404-02</t>
  </si>
  <si>
    <t>CABLE ASSEMBLY, AC POWER (W116</t>
  </si>
  <si>
    <t>8749404-03</t>
  </si>
  <si>
    <t>CABLE ASSEMBLY, AC POWER (W114</t>
  </si>
  <si>
    <t>8749404-04</t>
  </si>
  <si>
    <t>CABLE ASSEMBLY, AC POWER (W115</t>
  </si>
  <si>
    <t>8749404-05</t>
  </si>
  <si>
    <t>CABLE ASSEMBLY, AC POWER (W117</t>
  </si>
  <si>
    <t>8749404-06</t>
  </si>
  <si>
    <t>CABLE ASSEMBLY, AC POWER (W118</t>
  </si>
  <si>
    <t>8749404-07</t>
  </si>
  <si>
    <t>CABLE ASSEMBLY, AC POWER (W119</t>
  </si>
  <si>
    <t>8749418-01</t>
  </si>
  <si>
    <t>CABLE ASSEMBLY, FAN POWER (A9W</t>
  </si>
  <si>
    <t>8749634-01</t>
  </si>
  <si>
    <t>CABLE ASSEMBLY, LS-653 SVS CKT</t>
  </si>
  <si>
    <t>A1.5</t>
  </si>
  <si>
    <t>LUGS-EJ ORDER</t>
  </si>
  <si>
    <t>8749407-13</t>
  </si>
  <si>
    <t>CABLE ASSEMBLY, ETHERNET (A3W3</t>
  </si>
  <si>
    <t>8749407-16</t>
  </si>
  <si>
    <t>CABLE ASSEMBLY, ETHERNET (W1)</t>
  </si>
  <si>
    <t>8749410-01</t>
  </si>
  <si>
    <t>CABLE ASSEMBLY, RS232 (W401)</t>
  </si>
  <si>
    <t>8749639-01</t>
  </si>
  <si>
    <t>CABLE ASSEMBLY, REICOMMS HEADS</t>
  </si>
  <si>
    <t>0151706</t>
  </si>
  <si>
    <t>0058976</t>
  </si>
  <si>
    <t>501052-15-R</t>
  </si>
  <si>
    <t>80-475-D38999/52K15R, DUST CAP</t>
  </si>
  <si>
    <t>0151792</t>
  </si>
  <si>
    <t>CARESTREAM HEALTH, INC.</t>
  </si>
  <si>
    <t>6502853887</t>
  </si>
  <si>
    <t>AY51-278</t>
  </si>
  <si>
    <t>TETHER EXTENSION ASSY</t>
  </si>
  <si>
    <t>0151228</t>
  </si>
  <si>
    <t>W912CH25D0081_W912CH25F0482</t>
  </si>
  <si>
    <t>FIRST ARTICLE TEST REPORT, NTS</t>
  </si>
  <si>
    <t>17016N1144-01</t>
  </si>
  <si>
    <t>CABLE ASSEMBLY, DC CHARGER WOR</t>
  </si>
  <si>
    <t>RL/A</t>
  </si>
  <si>
    <t>17016N1144-02</t>
  </si>
  <si>
    <t>0147647</t>
  </si>
  <si>
    <t>NORTHROP GRUMMAN</t>
  </si>
  <si>
    <t>MP00436269</t>
  </si>
  <si>
    <t>13110311</t>
  </si>
  <si>
    <t>WIRING HARNESS, 4 PORTS</t>
  </si>
  <si>
    <t>X01</t>
  </si>
  <si>
    <t>MATERIAL KITTED</t>
  </si>
  <si>
    <t>0151444</t>
  </si>
  <si>
    <t>P010292727</t>
  </si>
  <si>
    <t>12606320</t>
  </si>
  <si>
    <t>WIRE HARNESS, P124 - EMUBC GP</t>
  </si>
  <si>
    <t>12696406</t>
  </si>
  <si>
    <t>WIRE HARNESS, P124 EMUBC UTL</t>
  </si>
  <si>
    <t>12696755</t>
  </si>
  <si>
    <t>WIRE HARNESS, P02 P2 EMUBC UTL</t>
  </si>
  <si>
    <t>0150759</t>
  </si>
  <si>
    <t>SPE4A621D5AS3_SPE4A725F7593</t>
  </si>
  <si>
    <t>0150643</t>
  </si>
  <si>
    <t>SPE4A625D5575_SPE4A625F140M</t>
  </si>
  <si>
    <t>179181-1</t>
  </si>
  <si>
    <t>CABLE ASSY, SPECIAL PURPOSE EL</t>
  </si>
  <si>
    <t>8749393-01</t>
  </si>
  <si>
    <t>CABLE ASSEMBLY, RMP INPUT POWE</t>
  </si>
  <si>
    <t>8749416-01</t>
  </si>
  <si>
    <t>CABLE ASSEMBLY, ROUTER POWER A</t>
  </si>
  <si>
    <t>8749614-01</t>
  </si>
  <si>
    <t>CABLE ASSEMBLY, LAMP AND RESET</t>
  </si>
  <si>
    <t>0151590</t>
  </si>
  <si>
    <t>5000653279</t>
  </si>
  <si>
    <t>FAI FEE</t>
  </si>
  <si>
    <t>NRE TOLLING AND MOQ FOR LABEL</t>
  </si>
  <si>
    <t>E1319516</t>
  </si>
  <si>
    <t>WG13,OUFS LED DRIVE HARNESS,SH</t>
  </si>
  <si>
    <t>0149665</t>
  </si>
  <si>
    <t>4100013981</t>
  </si>
  <si>
    <t>12384999</t>
  </si>
  <si>
    <t>WIRING HARNESS (1W50)</t>
  </si>
  <si>
    <t>A/-</t>
  </si>
  <si>
    <t>0150830</t>
  </si>
  <si>
    <t>0008913</t>
  </si>
  <si>
    <t>A3381301-002-0-LBR</t>
  </si>
  <si>
    <t>(LABOR ONLY)CABLE ASM, POWER W</t>
  </si>
  <si>
    <t>RTS</t>
  </si>
  <si>
    <t>A3381302-001-0-LBR</t>
  </si>
  <si>
    <t>(LABOR ONLY) CABLE ASM, POWER</t>
  </si>
  <si>
    <t>0150512</t>
  </si>
  <si>
    <t>EMERGING POWER, INC.</t>
  </si>
  <si>
    <t>30492</t>
  </si>
  <si>
    <t>82I4112-028019</t>
  </si>
  <si>
    <t>INTERCELL EVENS CABLE ASSY, PN</t>
  </si>
  <si>
    <t>0150513</t>
  </si>
  <si>
    <t>30493</t>
  </si>
  <si>
    <t>82I4112-028020</t>
  </si>
  <si>
    <t>INTERCELL ODDS CABLE ASSY, PN:</t>
  </si>
  <si>
    <t>0150514</t>
  </si>
  <si>
    <t>30494</t>
  </si>
  <si>
    <t>82I4112-028021</t>
  </si>
  <si>
    <t>BATTERY PACK MONITOR CABLE, P/</t>
  </si>
  <si>
    <t>0151541</t>
  </si>
  <si>
    <t>PO92693</t>
  </si>
  <si>
    <t>AD-FAN-30MM</t>
  </si>
  <si>
    <t>FAN ASSY, 30MM X 6.9MM</t>
  </si>
  <si>
    <t>T</t>
  </si>
  <si>
    <t>AD-VEO4K-FAN</t>
  </si>
  <si>
    <t>ASSY, FAN INTERNAL 80M X 15MM</t>
  </si>
  <si>
    <t>0150793</t>
  </si>
  <si>
    <t>100145773</t>
  </si>
  <si>
    <t>334 Robotic - MI build</t>
  </si>
  <si>
    <t>EE-7412-629-999</t>
  </si>
  <si>
    <t>R-30IB PLUS MBR SELSW HARNESS</t>
  </si>
  <si>
    <t>0A</t>
  </si>
  <si>
    <t>ON ENGINEERING HOLD PER FANUC-SWITCH ISSUE</t>
  </si>
  <si>
    <t>0151333</t>
  </si>
  <si>
    <t>0009016</t>
  </si>
  <si>
    <t>0151334</t>
  </si>
  <si>
    <t>0009017</t>
  </si>
  <si>
    <t>170414-20-LBR</t>
  </si>
  <si>
    <t>(LABOR ONLY) CABLE ASSY, GPS</t>
  </si>
  <si>
    <t>8900-52089-0002-LBR</t>
  </si>
  <si>
    <t>(LABOR ONLY) CABLE ASSY- GPS,</t>
  </si>
  <si>
    <t>9850-53925-3005-LBR</t>
  </si>
  <si>
    <t>(LABOR ONLY) GROUND STRAP</t>
  </si>
  <si>
    <t>A3381319-001-0-LBR</t>
  </si>
  <si>
    <t>A3381319-003-0-LBR</t>
  </si>
  <si>
    <t>A3381320-001-0-LBR</t>
  </si>
  <si>
    <t>0151108</t>
  </si>
  <si>
    <t>P010291384</t>
  </si>
  <si>
    <t>17008E0009</t>
  </si>
  <si>
    <t>CABLE ASSEMBLY, RADIO FREQUENC</t>
  </si>
  <si>
    <t>038634600</t>
  </si>
  <si>
    <t>CABLE ASY,VACUUM INT,P141 ,KPS</t>
  </si>
  <si>
    <t>0151588</t>
  </si>
  <si>
    <t>5300173761</t>
  </si>
  <si>
    <t>ALH-217036-0030</t>
  </si>
  <si>
    <t>CABLE ASSEMBLY, NETWORK SWITCH</t>
  </si>
  <si>
    <t>AS9102 FAI FEE</t>
  </si>
  <si>
    <t>AS9120 FAI FEE</t>
  </si>
  <si>
    <t>0151734</t>
  </si>
  <si>
    <t>1002074</t>
  </si>
  <si>
    <t>1413066</t>
  </si>
  <si>
    <t>CABLE ASSY, CB7 TO RA-IN-FPS,</t>
  </si>
  <si>
    <t>1413067</t>
  </si>
  <si>
    <t>CABLE ASSY, CB8 TO RA-MID-FPS,</t>
  </si>
  <si>
    <t>1413068</t>
  </si>
  <si>
    <t>CABLE ASSY, CB9 TO RA-OUT-FPS,</t>
  </si>
  <si>
    <t>1413069</t>
  </si>
  <si>
    <t>CABLE ASSY, CB12 TO RB-IN-FPS,</t>
  </si>
  <si>
    <t>1413674</t>
  </si>
  <si>
    <t>CABLE ASSY, AOT1-(1/2) TO RB-I</t>
  </si>
  <si>
    <t>1413675</t>
  </si>
  <si>
    <t>CABLE ASSY, AOT1-(3/4) TO RB-M</t>
  </si>
  <si>
    <t>1413676</t>
  </si>
  <si>
    <t>CABLE ASSY, AOT1-(5/6) TO RB-O</t>
  </si>
  <si>
    <t>1413677</t>
  </si>
  <si>
    <t>CABLE ASSY,ANALOG ,RB-INNER E-</t>
  </si>
  <si>
    <t>1413679</t>
  </si>
  <si>
    <t>CABLE ASSY,ANALOG ,RB-OUTER E-</t>
  </si>
  <si>
    <t>0149206</t>
  </si>
  <si>
    <t>4100017208</t>
  </si>
  <si>
    <t>AA/-</t>
  </si>
  <si>
    <t>80-535-6387317-19</t>
  </si>
  <si>
    <t>CABLE ASSY, ETHERNET</t>
  </si>
  <si>
    <t>80-535-6387317-39</t>
  </si>
  <si>
    <t>80-535-6387317-49</t>
  </si>
  <si>
    <t>80-535-6387317-59</t>
  </si>
  <si>
    <t>80-535-6387317-9</t>
  </si>
  <si>
    <t>0151782</t>
  </si>
  <si>
    <t>TRANSISTOR DEVICES INC.</t>
  </si>
  <si>
    <t>50446</t>
  </si>
  <si>
    <t>500-133</t>
  </si>
  <si>
    <t>CBL ASSY AC PWR DUAL Z HEATER</t>
  </si>
  <si>
    <t>500-138</t>
  </si>
  <si>
    <t>500-400</t>
  </si>
  <si>
    <t>CABLE ASSEMBLY FAN</t>
  </si>
  <si>
    <t>0151717</t>
  </si>
  <si>
    <t>1001529</t>
  </si>
  <si>
    <t>041830532</t>
  </si>
  <si>
    <t>CBL ASSY, HALL/ENCDR, TGT ROT,</t>
  </si>
  <si>
    <t>0151738</t>
  </si>
  <si>
    <t>CORETEX USA INC.</t>
  </si>
  <si>
    <t>5809</t>
  </si>
  <si>
    <t>ITC-INC-1939-D150U10</t>
  </si>
  <si>
    <t>ITC-INC-1939-D150U10-1.1 / 01</t>
  </si>
  <si>
    <t>1.1</t>
  </si>
  <si>
    <t>0151772</t>
  </si>
  <si>
    <t>30913</t>
  </si>
  <si>
    <t>8232128-001001</t>
  </si>
  <si>
    <t>CABLE ASSY, TADIRAN BATTERY, 2</t>
  </si>
  <si>
    <t>0019</t>
  </si>
  <si>
    <t>0151826</t>
  </si>
  <si>
    <t>LINCOLN ELECTRIC CO. (ARIBA)</t>
  </si>
  <si>
    <t>0013016302</t>
  </si>
  <si>
    <t>001 Patch Cord Assembly</t>
  </si>
  <si>
    <t>K4907-10</t>
  </si>
  <si>
    <t>ETHERNET CABLE W/ BAYONET 10FT</t>
  </si>
  <si>
    <t>8501879-01</t>
  </si>
  <si>
    <t>0150053</t>
  </si>
  <si>
    <t>0165552</t>
  </si>
  <si>
    <t>8501879-01-LBR</t>
  </si>
  <si>
    <t>0150386</t>
  </si>
  <si>
    <t>4512371313</t>
  </si>
  <si>
    <t>ISA 400710</t>
  </si>
  <si>
    <t>(5500400710) LABOR ONLY, MIRRO</t>
  </si>
  <si>
    <t>0150926</t>
  </si>
  <si>
    <t>BREEZE EASTERN</t>
  </si>
  <si>
    <t>256664</t>
  </si>
  <si>
    <t>BL-11585-20</t>
  </si>
  <si>
    <t>CABLE ASSY, CUTTER</t>
  </si>
  <si>
    <t>AB</t>
  </si>
  <si>
    <t>0151022</t>
  </si>
  <si>
    <t>256828</t>
  </si>
  <si>
    <t>0032</t>
  </si>
  <si>
    <t>0151364</t>
  </si>
  <si>
    <t>EMS DEVELOPMENT CORP.</t>
  </si>
  <si>
    <t>103898</t>
  </si>
  <si>
    <t>221SE200-350</t>
  </si>
  <si>
    <t>CABLE ASSY, MAGNETOMETER</t>
  </si>
  <si>
    <t>FAI  REPORT AS9102</t>
  </si>
  <si>
    <t>0151553</t>
  </si>
  <si>
    <t>999047</t>
  </si>
  <si>
    <t>05-21-03663-04</t>
  </si>
  <si>
    <t>CBL,CHASSIS GND, HOT CHUCK-ER</t>
  </si>
  <si>
    <t>0151586</t>
  </si>
  <si>
    <t>5300172640</t>
  </si>
  <si>
    <t>13786064-0780</t>
  </si>
  <si>
    <t>CABLE ASSEMBLY, IFCN GROUND</t>
  </si>
  <si>
    <t>0151727</t>
  </si>
  <si>
    <t>4512508663</t>
  </si>
  <si>
    <t>ISA 401490</t>
  </si>
  <si>
    <t>(5500401490) CABLE, DIN TO MIN</t>
  </si>
  <si>
    <t>0151784</t>
  </si>
  <si>
    <t>VISLINK LLC</t>
  </si>
  <si>
    <t>PM00001395</t>
  </si>
  <si>
    <t>L0030</t>
  </si>
  <si>
    <t>INDOOR USE ONLY - AC/DC IEC PS</t>
  </si>
  <si>
    <t>01A</t>
  </si>
  <si>
    <t>0151786</t>
  </si>
  <si>
    <t>HUBBELL POWER SYSTEMS, INC.</t>
  </si>
  <si>
    <t>4507253974</t>
  </si>
  <si>
    <t>RFL 109031-0500</t>
  </si>
  <si>
    <t>CABLE INTFC DATA 5"" F-M SPCL</t>
  </si>
  <si>
    <t>0150586</t>
  </si>
  <si>
    <t>5L0020134</t>
  </si>
  <si>
    <t>Y53998A-00</t>
  </si>
  <si>
    <t>CABLE ASSY, WA6</t>
  </si>
  <si>
    <t>Y54008A-00</t>
  </si>
  <si>
    <t>CABLE ASSY, ODOMETER</t>
  </si>
  <si>
    <t>0150275</t>
  </si>
  <si>
    <t>GENERAL DYNAMICS LAND SYSTEMS</t>
  </si>
  <si>
    <t>40467664</t>
  </si>
  <si>
    <t>12546485</t>
  </si>
  <si>
    <t>CABLE ASSEMBLY 2W216-20</t>
  </si>
  <si>
    <t>0151766</t>
  </si>
  <si>
    <t>AR0210</t>
  </si>
  <si>
    <t>4837203-3200</t>
  </si>
  <si>
    <t>ECU TO EMA HARNESS</t>
  </si>
  <si>
    <t>2</t>
  </si>
  <si>
    <t>0149326</t>
  </si>
  <si>
    <t>5300128070</t>
  </si>
  <si>
    <t>12617807</t>
  </si>
  <si>
    <t>CABLE ASSY, 3PH POWER SUPPLY,</t>
  </si>
  <si>
    <t>0150669</t>
  </si>
  <si>
    <t>TOTAL TECHNOLOGY INC.</t>
  </si>
  <si>
    <t>25-010</t>
  </si>
  <si>
    <t>13056415</t>
  </si>
  <si>
    <t>CABLE ASSY, CAB ETHERENT (2W39</t>
  </si>
  <si>
    <t>NRE FOR FN 23, P/N: CBS-22CN21</t>
  </si>
  <si>
    <t>041830101</t>
  </si>
  <si>
    <t>CABLE ASSY, ROT MTR, PWR/ENCOD</t>
  </si>
  <si>
    <t>0151874</t>
  </si>
  <si>
    <t>1004082</t>
  </si>
  <si>
    <t>033669702</t>
  </si>
  <si>
    <t>CABLE ASSY, TGT, ENCDER / AMPL</t>
  </si>
  <si>
    <t>0151186</t>
  </si>
  <si>
    <t>992160</t>
  </si>
  <si>
    <t>431575</t>
  </si>
  <si>
    <t>CABLE ASSY, PWR, INTERFACE BX</t>
  </si>
  <si>
    <t>0151765</t>
  </si>
  <si>
    <t>PM00001361</t>
  </si>
  <si>
    <t>CRIU-ASSY-2012</t>
  </si>
  <si>
    <t>CABLE ASSY, 15 WAY HD DSKT TO</t>
  </si>
  <si>
    <t>B1</t>
  </si>
  <si>
    <t>CRIU-ASSY-2013</t>
  </si>
  <si>
    <t>CABLE ASSY, 7 WAY LEMO RETURN</t>
  </si>
  <si>
    <t>CRIU-ASSY-2014</t>
  </si>
  <si>
    <t>CABLE ASSY, 25 WAY D SKT TO 26</t>
  </si>
  <si>
    <t>CRIU-ASSY-2015</t>
  </si>
  <si>
    <t>CABLE ASSY, ETH/USB 8 WAY DOUB</t>
  </si>
  <si>
    <t>1</t>
  </si>
  <si>
    <t>CRIU-ASSY-2016</t>
  </si>
  <si>
    <t>CABLE ASSY, DATA OUT 3 WAY LCR</t>
  </si>
  <si>
    <t>1A</t>
  </si>
  <si>
    <t>CRIU-ASSY-2019</t>
  </si>
  <si>
    <t>CABLE ASSY, MAINS EARTH</t>
  </si>
  <si>
    <t>CRIU-ASSY-2020</t>
  </si>
  <si>
    <t>CABLE ASSY, 26 WAY ICD SKT</t>
  </si>
  <si>
    <t>CRIU-ASSY-2021</t>
  </si>
  <si>
    <t>CABLE ASSY, 2 WAY MINI MOLEX T</t>
  </si>
  <si>
    <t>CRIU-ASSY-2022</t>
  </si>
  <si>
    <t>CABLE ASSY, 2 WAY MOLEX TO MOX</t>
  </si>
  <si>
    <t>CRIU-ASSY-2023</t>
  </si>
  <si>
    <t>CABLE ASSY, FRONT PANEL TO CHA</t>
  </si>
  <si>
    <t>CRIU-ASSY-2024</t>
  </si>
  <si>
    <t>CABLE ASSY, REAR PANEL TO CHAS</t>
  </si>
  <si>
    <t>CRIU-ASSY-2026</t>
  </si>
  <si>
    <t>CABLE ASSY, EXPANSION PORT , 6</t>
  </si>
  <si>
    <t>A1</t>
  </si>
  <si>
    <t>CRIU-ASSY-2033</t>
  </si>
  <si>
    <t>CABLE ASSY CRIU, 3WAY MINI MOL</t>
  </si>
  <si>
    <t>CRIU-ASSY-2034</t>
  </si>
  <si>
    <t>CABLE ASSY CRIU, 5WAY MOLEX TO</t>
  </si>
  <si>
    <t>CRIU-ASSY-2055</t>
  </si>
  <si>
    <t>CABLE ASSY, SONY IP UPGRADE DA</t>
  </si>
  <si>
    <t>CRIU-ASSY-2056</t>
  </si>
  <si>
    <t>CABLE ASSY, SONY IP UPGRADE ET</t>
  </si>
  <si>
    <t>CRIU-ASSY-2057</t>
  </si>
  <si>
    <t>CABLE ASSY, SONY IP UPGRADE PO</t>
  </si>
  <si>
    <t>1.01</t>
  </si>
  <si>
    <t>CRIU-ASSY-2060</t>
  </si>
  <si>
    <t>CABLE ASSY, NEW CRIU POWER SUP</t>
  </si>
  <si>
    <t>CRIU-ASSY-2061</t>
  </si>
  <si>
    <t>CABLE ASSY, NEW CRIU MAINS SOC</t>
  </si>
  <si>
    <t>CRIU-ASSY-2062</t>
  </si>
  <si>
    <t>CABLE ASSY, CRIU NEW POWER SUP</t>
  </si>
  <si>
    <t>FCDT-ASSY-2007</t>
  </si>
  <si>
    <t>CABLE ASSY, FCDT 4 PIN MALE XL</t>
  </si>
  <si>
    <t>FCDT-ASSY-2010</t>
  </si>
  <si>
    <t>CABLE ASSY, FCDT CIRCUIT BREAK</t>
  </si>
  <si>
    <t>FCDT-ASSY-2011</t>
  </si>
  <si>
    <t>SONY IP UPGRADE POWR CABLE ASS</t>
  </si>
  <si>
    <t>FCDT-ASSY-2014</t>
  </si>
  <si>
    <t>FCDT 4 PIN MALE XLR 12-28VDC +</t>
  </si>
  <si>
    <t>FCDT-ASSY-2017</t>
  </si>
  <si>
    <t>CABLE ASSY, FCDT STATUS LED</t>
  </si>
  <si>
    <t>FCDT-ASSY-2020</t>
  </si>
  <si>
    <t>CABLE ASSY, FCDT RADIO MODULE</t>
  </si>
  <si>
    <t>HHT3-ASSY-2011</t>
  </si>
  <si>
    <t>HHT3 6WAY MINI MOLEX TO 6WAY M</t>
  </si>
  <si>
    <t>MRVU-ASSY-2001</t>
  </si>
  <si>
    <t>RF CABLE ASSY, SMA TO SMP</t>
  </si>
  <si>
    <t>MRVU-ASSY-2002</t>
  </si>
  <si>
    <t>SDI CABLE ASSY, HBNC TO MMCX</t>
  </si>
  <si>
    <t>MRVU-ASSY-2005</t>
  </si>
  <si>
    <t>VIEW BACK PROGRAMMING ADAPTER</t>
  </si>
  <si>
    <t>0151308</t>
  </si>
  <si>
    <t>SURMOTECH, LLC</t>
  </si>
  <si>
    <t>65568</t>
  </si>
  <si>
    <t>QANT-ASSY-2016</t>
  </si>
  <si>
    <t>CABLE ASSY MAINS I/P MODULE</t>
  </si>
  <si>
    <t>QANT-ASSY-2023</t>
  </si>
  <si>
    <t>CABLE ASSY, QUANTUM 3.5MM FRON</t>
  </si>
  <si>
    <t>0151498</t>
  </si>
  <si>
    <t>JDS INTERNATIONAL, INC.</t>
  </si>
  <si>
    <t>P19532</t>
  </si>
  <si>
    <t>12023A3010-02</t>
  </si>
  <si>
    <t>CABLE ASSEMBLY, SPECIAL PURPOS</t>
  </si>
  <si>
    <t>12023A3011-02</t>
  </si>
  <si>
    <t>0151776</t>
  </si>
  <si>
    <t>TRIAD RF SYSTEMS, INC.</t>
  </si>
  <si>
    <t>PO-10165</t>
  </si>
  <si>
    <t>AD_C2500010</t>
  </si>
  <si>
    <t>ASSY DWG, C2500010</t>
  </si>
  <si>
    <t>0</t>
  </si>
  <si>
    <t>0151804</t>
  </si>
  <si>
    <t>0009111</t>
  </si>
  <si>
    <t>A3339390-LBR-HDWKIT</t>
  </si>
  <si>
    <t>(LABOR AND MATERIAL TO KIT HAR</t>
  </si>
  <si>
    <t>A3381218-LBR-HDWKIT</t>
  </si>
  <si>
    <t>A3382261-LBR-HDWKIT</t>
  </si>
  <si>
    <t>0151652</t>
  </si>
  <si>
    <t>1000320</t>
  </si>
  <si>
    <t>005-0600-00009</t>
  </si>
  <si>
    <t>CABLE ASSY, WATER INTERLOCK AD</t>
  </si>
  <si>
    <t>0151790</t>
  </si>
  <si>
    <t>PO93184</t>
  </si>
  <si>
    <t>AD-CBL-VSERIES-BATT-PACK-2</t>
  </si>
  <si>
    <t>0148509</t>
  </si>
  <si>
    <t>4100015734</t>
  </si>
  <si>
    <t>12297980</t>
  </si>
  <si>
    <t>CABLE ASSY, SPECIAL PURPOSE, E</t>
  </si>
  <si>
    <t>J/-</t>
  </si>
  <si>
    <t>0149712</t>
  </si>
  <si>
    <t>4100011993</t>
  </si>
  <si>
    <t>12369468</t>
  </si>
  <si>
    <t>WIRING HARNESS (4W13)</t>
  </si>
  <si>
    <t>B/-</t>
  </si>
  <si>
    <t>0150072</t>
  </si>
  <si>
    <t>4100012082</t>
  </si>
  <si>
    <t>12385015</t>
  </si>
  <si>
    <t>WIRING HARNESS, BRANCHED (1W14</t>
  </si>
  <si>
    <t>C/-</t>
  </si>
  <si>
    <t>0150999</t>
  </si>
  <si>
    <t>SPE4A622D0090_SPE4A625F363V</t>
  </si>
  <si>
    <t>13033866</t>
  </si>
  <si>
    <t>CABLE ASSSY, SPEC 8W6</t>
  </si>
  <si>
    <t>SENT TO ACE NJ 1/12</t>
  </si>
  <si>
    <t>0151017</t>
  </si>
  <si>
    <t>BY LIGHT PROFESSIONAL IT SVCS</t>
  </si>
  <si>
    <t>PMJ2522601</t>
  </si>
  <si>
    <t>5001708</t>
  </si>
  <si>
    <t>CABLE, M240 HWTS</t>
  </si>
  <si>
    <t>0151019</t>
  </si>
  <si>
    <t>PMJ2522603</t>
  </si>
  <si>
    <t>5001719</t>
  </si>
  <si>
    <t>0151512</t>
  </si>
  <si>
    <t>997936</t>
  </si>
  <si>
    <t>0150263</t>
  </si>
  <si>
    <t>254497</t>
  </si>
  <si>
    <t>0150330</t>
  </si>
  <si>
    <t>22184165</t>
  </si>
  <si>
    <t>TQPR15256</t>
  </si>
  <si>
    <t>DISTRIBUTION PLATE HARNESS, VA</t>
  </si>
  <si>
    <t>0151346</t>
  </si>
  <si>
    <t>996365</t>
  </si>
  <si>
    <t>037532800</t>
  </si>
  <si>
    <t>CABLE ASSY, RFPP P222 TO J152A</t>
  </si>
  <si>
    <t>037533200</t>
  </si>
  <si>
    <t>CABLE ASSY,OUTLET STRP AC PWR,</t>
  </si>
  <si>
    <t>037533301</t>
  </si>
  <si>
    <t>CABLE ASSY,DISCHARGE,WT AC PWR</t>
  </si>
  <si>
    <t>0151696</t>
  </si>
  <si>
    <t>4507232132</t>
  </si>
  <si>
    <t>RFL 500496</t>
  </si>
  <si>
    <t>RESET CABLE, GARD TSD</t>
  </si>
  <si>
    <t>0151787</t>
  </si>
  <si>
    <t>PO-10172</t>
  </si>
  <si>
    <t>AD_TC_CBL173</t>
  </si>
  <si>
    <t>LAB TESTED CABLE ASSY 173 THPR</t>
  </si>
  <si>
    <t>0151789</t>
  </si>
  <si>
    <t>PM00001398</t>
  </si>
  <si>
    <t>LMR4-ASSY-2001</t>
  </si>
  <si>
    <t>Cable RF N-Type (m) to TNC (M)</t>
  </si>
  <si>
    <t>0151791</t>
  </si>
  <si>
    <t>PO93162</t>
  </si>
  <si>
    <t>AD-CBL-MINIXLR-BATT</t>
  </si>
  <si>
    <t>Power, Cable 2 Meter Battery 3</t>
  </si>
  <si>
    <t>TQ9053040</t>
  </si>
  <si>
    <t>CABLE ASSY, ADVANDCED HEATER B</t>
  </si>
  <si>
    <t>0151025</t>
  </si>
  <si>
    <t>4512433699</t>
  </si>
  <si>
    <t>ISA 33979</t>
  </si>
  <si>
    <t>(5500033979) EXT CABLE ASSEMBL</t>
  </si>
  <si>
    <t>0151365</t>
  </si>
  <si>
    <t>SPE7L126P0250</t>
  </si>
  <si>
    <t>176621-21</t>
  </si>
  <si>
    <t>WELDMENT,BOTTOM PLA</t>
  </si>
  <si>
    <t>0151728</t>
  </si>
  <si>
    <t>22315072</t>
  </si>
  <si>
    <t>1217658-000</t>
  </si>
  <si>
    <t>CABLE ASSY, AC ENCLOSURE FAN</t>
  </si>
  <si>
    <t>0151729</t>
  </si>
  <si>
    <t>22315069</t>
  </si>
  <si>
    <t>1210893-001</t>
  </si>
  <si>
    <t>ASSY, CABLE, READY LIGHT, 16IN</t>
  </si>
  <si>
    <t>1210894-000</t>
  </si>
  <si>
    <t>ASSY, CBL, EMO SWITCH</t>
  </si>
  <si>
    <t>1210895-000</t>
  </si>
  <si>
    <t>ASSY, CBL, ON-OFF SWITCH</t>
  </si>
  <si>
    <t>1214446-001</t>
  </si>
  <si>
    <t>ASSY, CBL, CKT BREAKER TO AC B</t>
  </si>
  <si>
    <t>1214448-001</t>
  </si>
  <si>
    <t>ASSY, CBL, AC/DC OUTPUT, 5INCH</t>
  </si>
  <si>
    <t>0150855</t>
  </si>
  <si>
    <t>SPE4A625D5702_SPE4A625F312W</t>
  </si>
  <si>
    <t>170383-3</t>
  </si>
  <si>
    <t>QC 12/19</t>
  </si>
  <si>
    <t>038308035</t>
  </si>
  <si>
    <t>CABLE ASY,ISTM INTLK GAUGE TO</t>
  </si>
  <si>
    <t>038336101</t>
  </si>
  <si>
    <t>CABLE ASSY,P143TO J163 ,KPSE,I</t>
  </si>
  <si>
    <t>0151367</t>
  </si>
  <si>
    <t>997000</t>
  </si>
  <si>
    <t>034055504</t>
  </si>
  <si>
    <t>CABLE ASSY, GROUND, IGNITION</t>
  </si>
  <si>
    <t>0151647</t>
  </si>
  <si>
    <t>NSWC (PORT HUENEME, CA)</t>
  </si>
  <si>
    <t>4522928498</t>
  </si>
  <si>
    <t>8749378</t>
  </si>
  <si>
    <t>CABLE ASSY, UPS CHARGING</t>
  </si>
  <si>
    <t>0151708</t>
  </si>
  <si>
    <t>4512504805</t>
  </si>
  <si>
    <t>ISA 400217</t>
  </si>
  <si>
    <t>(5500400217) CABLE, 25D PLUG T</t>
  </si>
  <si>
    <t>0151785</t>
  </si>
  <si>
    <t>PM00001390</t>
  </si>
  <si>
    <t>922-B1278-01A-R</t>
  </si>
  <si>
    <t>CABLE, DC POWER PLUG to VEHICL</t>
  </si>
  <si>
    <t>922-B912-01A-R</t>
  </si>
  <si>
    <t>+12V BLOWER CABLE ASSEMBLY</t>
  </si>
  <si>
    <t>922-B913-01A-R</t>
  </si>
  <si>
    <t>SPEAKER CABLE ASSEMBLY</t>
  </si>
  <si>
    <t>A3</t>
  </si>
  <si>
    <t>922-B917-01A-R</t>
  </si>
  <si>
    <t>CABLE, DC POWER ASSEMBLY</t>
  </si>
  <si>
    <t>922-B980-01A-R</t>
  </si>
  <si>
    <t>CABLE, BATTERY PLATE, MCR AB</t>
  </si>
  <si>
    <t>922-B981-01A-R</t>
  </si>
  <si>
    <t>CABLE, MCR D082 AB BATTERY I/F</t>
  </si>
  <si>
    <t>922-P011-01A-R</t>
  </si>
  <si>
    <t>MCR POWEER SUPPLY CABLE ASSY</t>
  </si>
  <si>
    <t>0151911</t>
  </si>
  <si>
    <t>Q200119144</t>
  </si>
  <si>
    <t>0150752</t>
  </si>
  <si>
    <t>SPE4A624D0105_SPE4A625F244L</t>
  </si>
  <si>
    <t>0150753</t>
  </si>
  <si>
    <t>SPE8EN25P7125</t>
  </si>
  <si>
    <t>9800-32303-0000</t>
  </si>
  <si>
    <t>RAY VERIFYING COMPLETED KIT</t>
  </si>
  <si>
    <t>0151297</t>
  </si>
  <si>
    <t>40477233</t>
  </si>
  <si>
    <t>16102678-001</t>
  </si>
  <si>
    <t>CABLE ASSEMBLY, W3N</t>
  </si>
  <si>
    <t>FAI FEE &amp; SOURCE</t>
  </si>
  <si>
    <t>0151371</t>
  </si>
  <si>
    <t>996604</t>
  </si>
  <si>
    <t>038334500</t>
  </si>
  <si>
    <t>CABLE ASSY, PANEL INTLK, P140,</t>
  </si>
  <si>
    <t>038334600</t>
  </si>
  <si>
    <t>CABLE ASSY, VACINT, P161, KPSE</t>
  </si>
  <si>
    <t>0151432</t>
  </si>
  <si>
    <t>22283207</t>
  </si>
  <si>
    <t>1210893-000</t>
  </si>
  <si>
    <t>ASSY, CBL, READY LIGHT</t>
  </si>
  <si>
    <t>8714767-01</t>
  </si>
  <si>
    <t>0151758</t>
  </si>
  <si>
    <t>1002616</t>
  </si>
  <si>
    <t>0151844</t>
  </si>
  <si>
    <t>1002083</t>
  </si>
  <si>
    <t>041830328</t>
  </si>
  <si>
    <t>CABLE ASSY, OVERTEMP SWITCHES,</t>
  </si>
  <si>
    <t>0151922</t>
  </si>
  <si>
    <t>VERIZON WIRELESS</t>
  </si>
  <si>
    <t>3002451748</t>
  </si>
  <si>
    <t>444 Ace install</t>
  </si>
  <si>
    <t>INSTALL -  FIBER CABLING MTSO</t>
  </si>
  <si>
    <t>INSTALL - FIBER CABLING MTSO</t>
  </si>
  <si>
    <t>INSTALL-  FIBER CABLING MTSO</t>
  </si>
  <si>
    <t>0151923</t>
  </si>
  <si>
    <t>WAITING FOR PO</t>
  </si>
  <si>
    <t>0151926</t>
  </si>
  <si>
    <t>HIGH POINT SOLUTIONS, INC.</t>
  </si>
  <si>
    <t>89714</t>
  </si>
  <si>
    <t>1U24PLCDVP-PNL</t>
  </si>
  <si>
    <t>24 PORT LC FIBER PATCH PANEL M</t>
  </si>
  <si>
    <t>PMLCLC10GMM-03M</t>
  </si>
  <si>
    <t>3 METER 10 GIG AQUA MM LC/LC</t>
  </si>
  <si>
    <t>PMLCLC10GMM-05M</t>
  </si>
  <si>
    <t>5 METER 10 GIG AQUA MM LC/LC</t>
  </si>
  <si>
    <t>PMLCLC10GMM-07M</t>
  </si>
  <si>
    <t>7 METER 10 GIG AQUA MM LC/LC</t>
  </si>
  <si>
    <t>PMLCLC10GMM-10M</t>
  </si>
  <si>
    <t>10 METER 10 GIG AQUA MM LC/LC</t>
  </si>
  <si>
    <t>PMLCLC10GMM-15M</t>
  </si>
  <si>
    <t>15 METER 10 GIG AQUA MM LC/LC</t>
  </si>
  <si>
    <t>PMMTP(F)4XLC10GM-03M</t>
  </si>
  <si>
    <t>3 METER METP TO 10GIG X 4 LC B</t>
  </si>
  <si>
    <t>PMMTP(F)4XLC10GM-07M</t>
  </si>
  <si>
    <t>7 METER METP TO 10GIG X 4 LC B</t>
  </si>
  <si>
    <t>PMMTP(F)4XLC10GM-5M</t>
  </si>
  <si>
    <t>5 METER MTP TO 10GIG X 4 LC BR</t>
  </si>
  <si>
    <t>PMMTP(F)MTP(F)10GM-02M</t>
  </si>
  <si>
    <t>2 METER MTP TO MTP MM</t>
  </si>
  <si>
    <t>PMMTP(F)MTP(F)10GM-03M</t>
  </si>
  <si>
    <t>3 METERS MTP TO MTP MM JUMPERS</t>
  </si>
  <si>
    <t>PMMTP(F)MTP(F)10GM-05M</t>
  </si>
  <si>
    <t>5 METERS MTP TO MTP MM JUMPERS</t>
  </si>
  <si>
    <t>PMMTP(F)MTP(F)10GM-07M</t>
  </si>
  <si>
    <t>7 METERS MTP TO MTP MM JUMPERS</t>
  </si>
  <si>
    <t>PMMTP(F)MTP(F)10GM-10M</t>
  </si>
  <si>
    <t>10 METERS MTP TO MTP MM JUMPER</t>
  </si>
  <si>
    <t>PMMTP(F)MTP(F)10GM-15M</t>
  </si>
  <si>
    <t>15 METERS MTP TO MTP MM JUMPER</t>
  </si>
  <si>
    <t>0151206</t>
  </si>
  <si>
    <t>BAE SYSTEMS</t>
  </si>
  <si>
    <t>1258159</t>
  </si>
  <si>
    <t>8593902-1</t>
  </si>
  <si>
    <t>CABLE ASSEMBLY, PROGRAMMING</t>
  </si>
  <si>
    <t>-/-</t>
  </si>
  <si>
    <t>0151378</t>
  </si>
  <si>
    <t>0012952263</t>
  </si>
  <si>
    <t>L13338-1</t>
  </si>
  <si>
    <t>CABLE ASSY</t>
  </si>
  <si>
    <t>0151437</t>
  </si>
  <si>
    <t>258134</t>
  </si>
  <si>
    <t>EC-14170-2</t>
  </si>
  <si>
    <t>CABLE ASSY, PENDANT</t>
  </si>
  <si>
    <t>W</t>
  </si>
  <si>
    <t>0151479</t>
  </si>
  <si>
    <t>0012963708</t>
  </si>
  <si>
    <t>K1785-50</t>
  </si>
  <si>
    <t>CONTROL CABLE, 14 PIN PER M196</t>
  </si>
  <si>
    <t>11-25-01939-01</t>
  </si>
  <si>
    <t>ASSY, FAN, 60MMX30MM, AC</t>
  </si>
  <si>
    <t>0151752</t>
  </si>
  <si>
    <t>5300175742</t>
  </si>
  <si>
    <t>13797335-0072</t>
  </si>
  <si>
    <t>CABLE ASSEMBLY, SM FIBER, ST-L</t>
  </si>
  <si>
    <t>FAI FEE LINE 2  13797335-0072</t>
  </si>
  <si>
    <t>430046</t>
  </si>
  <si>
    <t>CABLE, HSF MOTOR</t>
  </si>
  <si>
    <t>0147477</t>
  </si>
  <si>
    <t>N6339420D0002_N6339424F0010</t>
  </si>
  <si>
    <t>0148577</t>
  </si>
  <si>
    <t>NOBLE SUPPLY AND LOGISTICS</t>
  </si>
  <si>
    <t>POBM037872</t>
  </si>
  <si>
    <t>9900-53925-9202</t>
  </si>
  <si>
    <t>HARDWARE KIT, ELECTRICAL</t>
  </si>
  <si>
    <t>0149657</t>
  </si>
  <si>
    <t>4100017126</t>
  </si>
  <si>
    <t>12420894</t>
  </si>
  <si>
    <t>CABLE ASSY, BATTERY INTERCONNE</t>
  </si>
  <si>
    <t>0150229</t>
  </si>
  <si>
    <t>WS2</t>
  </si>
  <si>
    <t>239099-0001</t>
  </si>
  <si>
    <t>HARNESS, LEFT</t>
  </si>
  <si>
    <t>239099-0002</t>
  </si>
  <si>
    <t>HARNESS, RIGHT</t>
  </si>
  <si>
    <t>0151114</t>
  </si>
  <si>
    <t>100150750</t>
  </si>
  <si>
    <t>DE-5738-981-015</t>
  </si>
  <si>
    <t>GM LGR HEM 15M CAMERA CABLE</t>
  </si>
  <si>
    <t>WAITING ON FAC ENGINEERING FOR BUILD ISSUE</t>
  </si>
  <si>
    <t>0151277</t>
  </si>
  <si>
    <t>MIRPO3867884</t>
  </si>
  <si>
    <t>EE-6566-603-001</t>
  </si>
  <si>
    <t>P250 E'NET 24V CABLE</t>
  </si>
  <si>
    <t>FANUC ONLY SENT BACK 40</t>
  </si>
  <si>
    <t>0151442</t>
  </si>
  <si>
    <t>P010292749</t>
  </si>
  <si>
    <t>17008A0500-27017</t>
  </si>
  <si>
    <t>CABLE ASSEMBLY, POWER SATCOM,</t>
  </si>
  <si>
    <t>17008A0507-300120228</t>
  </si>
  <si>
    <t>CABLE ASSEMBLY, POWER, KGV-72,</t>
  </si>
  <si>
    <t>4837081-3013</t>
  </si>
  <si>
    <t>HARNESS, SECONDARY</t>
  </si>
  <si>
    <t>AD-CBL-INT-F4K-ASTRO</t>
  </si>
  <si>
    <t>CABLE ASSY, FLEX 4K ASTRO VF I</t>
  </si>
  <si>
    <t>VRI-CBL-ETH-RUGGED-05M</t>
  </si>
  <si>
    <t>5 METER RUGGEDIZED CAT6A CABLE</t>
  </si>
  <si>
    <t>0151597</t>
  </si>
  <si>
    <t>998682</t>
  </si>
  <si>
    <t>0151709</t>
  </si>
  <si>
    <t>999098</t>
  </si>
  <si>
    <t>0151803</t>
  </si>
  <si>
    <t>55557</t>
  </si>
  <si>
    <t>0151834</t>
  </si>
  <si>
    <t>ENERGY KINETICS</t>
  </si>
  <si>
    <t>251212-7</t>
  </si>
  <si>
    <t>08-0347</t>
  </si>
  <si>
    <t>FRNTR DR SWTCH LEAD, 8IN</t>
  </si>
  <si>
    <t>0151858</t>
  </si>
  <si>
    <t>0013023605</t>
  </si>
  <si>
    <t>M19969-17</t>
  </si>
  <si>
    <t>ETHERNET PATCH CABLE</t>
  </si>
  <si>
    <t>0150808</t>
  </si>
  <si>
    <t>SPE4A625D5695_SPE4A625F295P</t>
  </si>
  <si>
    <t>8900-52089-0004</t>
  </si>
  <si>
    <t>CABLE ASSY, RADIO</t>
  </si>
  <si>
    <t>0151522</t>
  </si>
  <si>
    <t>5000666010</t>
  </si>
  <si>
    <t>E1508540</t>
  </si>
  <si>
    <t>CABLE, USB/RS232 TO RJ11 COMPO</t>
  </si>
  <si>
    <t>AD-V100-FAN</t>
  </si>
  <si>
    <t>ASSY, FAN 60MM X 60MM X 25MM,</t>
  </si>
  <si>
    <t>0151775</t>
  </si>
  <si>
    <t>MYTANA, LLC</t>
  </si>
  <si>
    <t>PO00005544</t>
  </si>
  <si>
    <t>152875</t>
  </si>
  <si>
    <t>QVX CONNECTOR HARNESS</t>
  </si>
  <si>
    <t>0151815</t>
  </si>
  <si>
    <t>1002052</t>
  </si>
  <si>
    <t>1413577</t>
  </si>
  <si>
    <t>CABLE ASSY, ANALOG, RA-INNER E</t>
  </si>
  <si>
    <t>1413578</t>
  </si>
  <si>
    <t>CABLE ASSY, ANALOG, RA-MIDDLE</t>
  </si>
  <si>
    <t>1413668</t>
  </si>
  <si>
    <t>CABLE ASSY, ACPWR, RB-INNER,E-</t>
  </si>
  <si>
    <t>1413669</t>
  </si>
  <si>
    <t>CABLE ASSY, ACPWR,RB-MIDDLE,E-</t>
  </si>
  <si>
    <t>1413670</t>
  </si>
  <si>
    <t>CABLE ASSY, ANALOG, RA-OUTER E</t>
  </si>
  <si>
    <t>CABLE ASSY,ACPWR,RB-OUTER,E-TH</t>
  </si>
  <si>
    <t>1413671</t>
  </si>
  <si>
    <t>CABLE ASSY, ENET,RB-INNER E-TH</t>
  </si>
  <si>
    <t>1413672</t>
  </si>
  <si>
    <t>CABLE ASSY, ENET,RB-MIDDLE E-T</t>
  </si>
  <si>
    <t>1413673</t>
  </si>
  <si>
    <t>CABLE ASSY, ENET, RB-OUTER E-T</t>
  </si>
  <si>
    <t>0151859</t>
  </si>
  <si>
    <t>0013024978</t>
  </si>
  <si>
    <t>0151904</t>
  </si>
  <si>
    <t>1004687</t>
  </si>
  <si>
    <t>1413339-1030</t>
  </si>
  <si>
    <t>CABLE ASSY, SIG RB PROCESS PUM</t>
  </si>
  <si>
    <t>0150297</t>
  </si>
  <si>
    <t>36203-00</t>
  </si>
  <si>
    <t>29900851901</t>
  </si>
  <si>
    <t>FAB / FAB / SENSOR  ASSY, TRAY</t>
  </si>
  <si>
    <t>0150344</t>
  </si>
  <si>
    <t>SANMINA SCI RSP DE MEXICO</t>
  </si>
  <si>
    <t>MS13E0189796</t>
  </si>
  <si>
    <t>10769974</t>
  </si>
  <si>
    <t>(400722-03) 42" GROUND STRAP</t>
  </si>
  <si>
    <t>0150609</t>
  </si>
  <si>
    <t>TELEDYNE FLIR DEFENSE, INC.</t>
  </si>
  <si>
    <t>1110342310</t>
  </si>
  <si>
    <t>23999-500</t>
  </si>
  <si>
    <t>CABLE ASSY ZOOM</t>
  </si>
  <si>
    <t>23999-501</t>
  </si>
  <si>
    <t>CABLE ASSY FOCUS</t>
  </si>
  <si>
    <t>0150809</t>
  </si>
  <si>
    <t>SPE8EN25P0660</t>
  </si>
  <si>
    <t>KITTING IN PROCESS MIKE R</t>
  </si>
  <si>
    <t>18002N1419-001</t>
  </si>
  <si>
    <t>1.3</t>
  </si>
  <si>
    <t>FISHER CONN</t>
  </si>
  <si>
    <t>0151078</t>
  </si>
  <si>
    <t>SPE4A625P0D95</t>
  </si>
  <si>
    <t>170383-6</t>
  </si>
  <si>
    <t>0151422</t>
  </si>
  <si>
    <t>P010292729</t>
  </si>
  <si>
    <t>17008A0403</t>
  </si>
  <si>
    <t>17008A0404-002</t>
  </si>
  <si>
    <t>0151830</t>
  </si>
  <si>
    <t>0013013741</t>
  </si>
  <si>
    <t>K2709-100</t>
  </si>
  <si>
    <t>WIRE DRIVE CABLE 100FT. DWG: L</t>
  </si>
  <si>
    <t>0151880</t>
  </si>
  <si>
    <t>0013026429</t>
  </si>
  <si>
    <t>M19969-8</t>
  </si>
  <si>
    <t>ETHERNET CABLE</t>
  </si>
  <si>
    <t>0151171</t>
  </si>
  <si>
    <t>SPE4A625V644R</t>
  </si>
  <si>
    <t>8900-52087-0002</t>
  </si>
  <si>
    <t>7111126</t>
  </si>
  <si>
    <t>CABLE ASSEMBLY, ETHERNET SHIEL</t>
  </si>
  <si>
    <t>8749563-01</t>
  </si>
  <si>
    <t>CABLE ASSEMBLY, POWER SAFE (W1</t>
  </si>
  <si>
    <t>8749621-01</t>
  </si>
  <si>
    <t>CABLE ASSEMBLY, THIN CLIENT ET</t>
  </si>
  <si>
    <t>0151468</t>
  </si>
  <si>
    <t>4507185644</t>
  </si>
  <si>
    <t>33193400</t>
  </si>
  <si>
    <t>ASSY CABLE &amp; LUGS</t>
  </si>
  <si>
    <t>0151732</t>
  </si>
  <si>
    <t>1001634</t>
  </si>
  <si>
    <t>428732</t>
  </si>
  <si>
    <t>CABLE ASSY, 2/C, SHIELD/DRN, 1</t>
  </si>
  <si>
    <t>433961</t>
  </si>
  <si>
    <t>CABLE ASSY NOVUS, 3-PHASE POWE</t>
  </si>
  <si>
    <t>0151841</t>
  </si>
  <si>
    <t>SIEMENS HEALTHCARE DIAGNOSTICS PRODUCTS LTD</t>
  </si>
  <si>
    <t>3500129217</t>
  </si>
  <si>
    <t>10362295</t>
  </si>
  <si>
    <t>(400722-06) 30" GROUND STRAP</t>
  </si>
  <si>
    <t>1413070</t>
  </si>
  <si>
    <t>CABLE ASSY,CB13 TO RB-MID-FPS,</t>
  </si>
  <si>
    <t>1413071</t>
  </si>
  <si>
    <t>CABLE ASSY,CB14 TO RB-OUT-FPS,</t>
  </si>
  <si>
    <t>0151882</t>
  </si>
  <si>
    <t>0013027738</t>
  </si>
  <si>
    <t>M19969-11</t>
  </si>
  <si>
    <t>0151934</t>
  </si>
  <si>
    <t>LAWRENCE LIVERMORE NATIONAL</t>
  </si>
  <si>
    <t>U3044191</t>
  </si>
  <si>
    <t>BB_CBL_01_PWR</t>
  </si>
  <si>
    <t>BRAIN BOX CABLE, POWER AND SOL</t>
  </si>
  <si>
    <t>BB_CBL_02_LED</t>
  </si>
  <si>
    <t>BRAIN BOX CABLE, 3.3V STATUS L</t>
  </si>
  <si>
    <t>BB_CBL_03_FRWV</t>
  </si>
  <si>
    <t>BRAIN BOX CABLE, POWER AND COM</t>
  </si>
  <si>
    <t>BB_CBL_04_SWPWR</t>
  </si>
  <si>
    <t>BRAIN BOX CABLE, POWER FOR TRE</t>
  </si>
  <si>
    <t>BB_CBL_05_CANON</t>
  </si>
  <si>
    <t>BRAIN BOX CABLE, POWER AND TRI</t>
  </si>
  <si>
    <t>BB_CBL_06_PHANT</t>
  </si>
  <si>
    <t>BB_CBL_07_PHPWR</t>
  </si>
  <si>
    <t>BRAIN BOX CABLE, POWER SWITCH</t>
  </si>
  <si>
    <t>BB_CBL_08_TRIG</t>
  </si>
  <si>
    <t>BRAIN BOX CABLE, TRIGGER CABLE</t>
  </si>
  <si>
    <t>BB_CBL_09_HYD</t>
  </si>
  <si>
    <t>BRAIN BOX CABLE, SIGNAL AND PO</t>
  </si>
  <si>
    <t>BB_CBL_10_TOG</t>
  </si>
  <si>
    <t>BRAIN BOX CABLE, TRIGGER TOGGL</t>
  </si>
  <si>
    <t>BB_CBL_11_SOLAR</t>
  </si>
  <si>
    <t>BRAIN BOX CABLE, SOLAR ARRAY F</t>
  </si>
  <si>
    <t>BB_CBL_12_GPS</t>
  </si>
  <si>
    <t>BRAIN BOX CABLE, ANTENNA CABLE</t>
  </si>
  <si>
    <t>BB_CBL_13_FRWVANT</t>
  </si>
  <si>
    <t>0150366</t>
  </si>
  <si>
    <t>22188790</t>
  </si>
  <si>
    <t>TQPR15252</t>
  </si>
  <si>
    <t>REAGENT PLATE HARNESS 2, REFIL</t>
  </si>
  <si>
    <t>TQPR16016</t>
  </si>
  <si>
    <t>CABLE ASSY, ASG INTERNAL , PUM</t>
  </si>
  <si>
    <t>TQPR16020</t>
  </si>
  <si>
    <t>CABLE ASSY, ASG INTERNAL, SENS</t>
  </si>
  <si>
    <t>0151240</t>
  </si>
  <si>
    <t>103708</t>
  </si>
  <si>
    <t>221SE200-493</t>
  </si>
  <si>
    <t>CABLE ASSEMBLY, MAGNETOMETER,</t>
  </si>
  <si>
    <t>FAI REPORT AS9102</t>
  </si>
  <si>
    <t>0151508</t>
  </si>
  <si>
    <t>22285994</t>
  </si>
  <si>
    <t>TQL502100-01</t>
  </si>
  <si>
    <t>ASSY, CABLE, BRUSHLESS MOTOR E</t>
  </si>
  <si>
    <t>AD-PWR-SUPPLY-400W-XLR</t>
  </si>
  <si>
    <t>MODULE, POWER SUPPLY-400W 100</t>
  </si>
  <si>
    <t>AD-PWR-SUPPLY-80W</t>
  </si>
  <si>
    <t>MODULE, POWER SUPPLY 80W</t>
  </si>
  <si>
    <t>RFL 500497</t>
  </si>
  <si>
    <t>HARNESS, RJ45 CABLE, GARD TSD</t>
  </si>
  <si>
    <t>0151825</t>
  </si>
  <si>
    <t>0013015515</t>
  </si>
  <si>
    <t>K2709-25</t>
  </si>
  <si>
    <t>WIRE DRIVE CABLE 25FT. DWG: L1</t>
  </si>
  <si>
    <t>0151833</t>
  </si>
  <si>
    <t>5806</t>
  </si>
  <si>
    <t>HHOEM-DB15</t>
  </si>
  <si>
    <t>OEM TO DB-12 CONVERTER CABLE</t>
  </si>
  <si>
    <t>0151234</t>
  </si>
  <si>
    <t>22259813</t>
  </si>
  <si>
    <t>TQPR15209</t>
  </si>
  <si>
    <t>SIDE PLATE HARNESS ASSY, EMO</t>
  </si>
  <si>
    <t>TQPR15294</t>
  </si>
  <si>
    <t>CABLE ASSY, TOP PLATE, EXT EMO</t>
  </si>
  <si>
    <t>0151419</t>
  </si>
  <si>
    <t>PHILLIP CABLE MANUFACTURING</t>
  </si>
  <si>
    <t>50-3604-308</t>
  </si>
  <si>
    <t>500993-15-N</t>
  </si>
  <si>
    <t>DUST CAP, 13034108-1</t>
  </si>
  <si>
    <t>0151719</t>
  </si>
  <si>
    <t>1000319</t>
  </si>
  <si>
    <t>432088</t>
  </si>
  <si>
    <t>CABLE ASSY, D89 TO CUSTOM Y ,</t>
  </si>
  <si>
    <t>0151845</t>
  </si>
  <si>
    <t>1003059</t>
  </si>
  <si>
    <t>033669510</t>
  </si>
  <si>
    <t>CABLE ASSY, HOME SGNLS, P93 HA</t>
  </si>
  <si>
    <t>034051306</t>
  </si>
  <si>
    <t>CABLE ASSY 24VDC, PWR SUPPLY T</t>
  </si>
  <si>
    <t>MT51</t>
  </si>
  <si>
    <t>0151865</t>
  </si>
  <si>
    <t>JABIL CIRCUIT, INC.</t>
  </si>
  <si>
    <t>1311713636</t>
  </si>
  <si>
    <t>7486500-002</t>
  </si>
  <si>
    <t>1417374</t>
  </si>
  <si>
    <t>CABLE ASSY, RA-ENET TO VTM ETH</t>
  </si>
  <si>
    <t>1417375</t>
  </si>
  <si>
    <t>1417387</t>
  </si>
  <si>
    <t>CABLE ASSY, RB-ENET TO VTM ETH</t>
  </si>
  <si>
    <t>1417388</t>
  </si>
  <si>
    <t>1417428</t>
  </si>
  <si>
    <t>CABLE ASSY, RA-ECAT-SDA TO VTM</t>
  </si>
  <si>
    <t>1417429</t>
  </si>
  <si>
    <t>0151909</t>
  </si>
  <si>
    <t>WC0357</t>
  </si>
  <si>
    <t>238451-0001</t>
  </si>
  <si>
    <t>CABLE ASSY, H14 EC-MCE</t>
  </si>
  <si>
    <t>0151910</t>
  </si>
  <si>
    <t>WC0452</t>
  </si>
  <si>
    <t>238527-0001</t>
  </si>
  <si>
    <t>CABLE ASSY, EC -MCE</t>
  </si>
  <si>
    <t>0148355</t>
  </si>
  <si>
    <t>SPE4A621D5AU3_SPE4A624F322F</t>
  </si>
  <si>
    <t>13033869</t>
  </si>
  <si>
    <t>CABLE ASSY, 8W9, ON SLED RADIO</t>
  </si>
  <si>
    <t>VISHAL AWARE OF FULL KIT 9/17/2024</t>
  </si>
  <si>
    <t>8501800-02</t>
  </si>
  <si>
    <t>FIBER OPTIC CONVERTER BOX ASSE</t>
  </si>
  <si>
    <t>8501800-02-LBR</t>
  </si>
  <si>
    <t>FOCB ASSY LBR</t>
  </si>
  <si>
    <t>0150745</t>
  </si>
  <si>
    <t>1253252</t>
  </si>
  <si>
    <t>H542G156-02</t>
  </si>
  <si>
    <t>CABLE ASSY, TUT RADIO TERMINAL</t>
  </si>
  <si>
    <t>C/C</t>
  </si>
  <si>
    <t>H542G157-01</t>
  </si>
  <si>
    <t>CABLE ASSY, TT RADIO TERMINAL</t>
  </si>
  <si>
    <t>0150921</t>
  </si>
  <si>
    <t>SPE4A625D5702_SPE4A625F319M</t>
  </si>
  <si>
    <t>A3381301-001-1</t>
  </si>
  <si>
    <t xml:space="preserve"> WIRING HARNESS, INSTALLATION</t>
  </si>
  <si>
    <t>DRA CABLES WE LABEL RTS</t>
  </si>
  <si>
    <t>0151380</t>
  </si>
  <si>
    <t>1260440</t>
  </si>
  <si>
    <t>H542G513-02</t>
  </si>
  <si>
    <t>CABLE ASSEMBLY, COMPUTER RESOU</t>
  </si>
  <si>
    <t>A/C</t>
  </si>
  <si>
    <t>H542G513-03</t>
  </si>
  <si>
    <t>H542G513-04</t>
  </si>
  <si>
    <t>H542G524-14</t>
  </si>
  <si>
    <t>CABLE ASSEMBLY, ETHERNET PATCH</t>
  </si>
  <si>
    <t>0151583</t>
  </si>
  <si>
    <t>258844</t>
  </si>
  <si>
    <t>0151630</t>
  </si>
  <si>
    <t>6031379</t>
  </si>
  <si>
    <t>CBL-0379</t>
  </si>
  <si>
    <t>CABLE, GEMINI TRUE 232 TO TTL</t>
  </si>
  <si>
    <t>0151856</t>
  </si>
  <si>
    <t>4512524705</t>
  </si>
  <si>
    <t>5700037327</t>
  </si>
  <si>
    <t>CABLE, LV SUPPLY-IGNITOR HBX50</t>
  </si>
  <si>
    <t>0150393</t>
  </si>
  <si>
    <t>254767</t>
  </si>
  <si>
    <t>EC-10498-1</t>
  </si>
  <si>
    <t>HARNESS ASSY</t>
  </si>
  <si>
    <t>0150913</t>
  </si>
  <si>
    <t>22232267</t>
  </si>
  <si>
    <t>TQF28227-01</t>
  </si>
  <si>
    <t>CABLE ASSY, COMMUNICATION, MAS</t>
  </si>
  <si>
    <t>0151324</t>
  </si>
  <si>
    <t>22272803</t>
  </si>
  <si>
    <t>TQL7880-1</t>
  </si>
  <si>
    <t>SMALL STEPPER MOTOR CABLE ASSY</t>
  </si>
  <si>
    <t>0151889</t>
  </si>
  <si>
    <t>4507254023</t>
  </si>
  <si>
    <t>33113102</t>
  </si>
  <si>
    <t>ASS'Y-CABLE &amp; LUG, #16,7</t>
  </si>
  <si>
    <t>0151900</t>
  </si>
  <si>
    <t>0013032051</t>
  </si>
  <si>
    <t>CAT5E RJ45/RJ45 SHIELDED BLACK</t>
  </si>
  <si>
    <t>0151368</t>
  </si>
  <si>
    <t>22272802</t>
  </si>
  <si>
    <t>1190617-001</t>
  </si>
  <si>
    <t>ASSY, CBL, SYRINGE MODULE</t>
  </si>
  <si>
    <t>TQL7352-2</t>
  </si>
  <si>
    <t>OPTOINTERRUPT SWITCH , BEAKER</t>
  </si>
  <si>
    <t>8714766-01</t>
  </si>
  <si>
    <t>0151589</t>
  </si>
  <si>
    <t>P010293348</t>
  </si>
  <si>
    <t>12696545</t>
  </si>
  <si>
    <t>CABLE ASSEMBLY W901 RF</t>
  </si>
  <si>
    <t>12696546</t>
  </si>
  <si>
    <t>12696547</t>
  </si>
  <si>
    <t>CABLE ASSEMBLY W902 RF</t>
  </si>
  <si>
    <t>12696548</t>
  </si>
  <si>
    <t>12696549</t>
  </si>
  <si>
    <t>CABLE ASSEMBLY W904 RF</t>
  </si>
  <si>
    <t>12696550</t>
  </si>
  <si>
    <t>12696811</t>
  </si>
  <si>
    <t>CABLE ASSEMBLY W901A RF</t>
  </si>
  <si>
    <t>12696812</t>
  </si>
  <si>
    <t>CABLE ASSEMBLY W902A RF</t>
  </si>
  <si>
    <t>12696814</t>
  </si>
  <si>
    <t>CABLE ASSEMBLY W904A RF</t>
  </si>
  <si>
    <t>0151819</t>
  </si>
  <si>
    <t>0013018366</t>
  </si>
  <si>
    <t>K4907-25</t>
  </si>
  <si>
    <t>ETHERNET CABLE W/BAYONET 25FT</t>
  </si>
  <si>
    <t>10775974</t>
  </si>
  <si>
    <t>(401511-0002) CABLE ASM, GROUN</t>
  </si>
  <si>
    <t>0151930</t>
  </si>
  <si>
    <t>PO-10274</t>
  </si>
  <si>
    <t>AD_C21D91</t>
  </si>
  <si>
    <t>5INCHES 20 PIN HARWIN L-TEK ,</t>
  </si>
  <si>
    <t>3</t>
  </si>
  <si>
    <t>0151548</t>
  </si>
  <si>
    <t>0012973047</t>
  </si>
  <si>
    <t>M19969-15</t>
  </si>
  <si>
    <t>29 INCHES, ETHERNET CABLE, RJ4</t>
  </si>
  <si>
    <t>0151759</t>
  </si>
  <si>
    <t>1002680</t>
  </si>
  <si>
    <t>0151829</t>
  </si>
  <si>
    <t>0013013740</t>
  </si>
  <si>
    <t>K5400-5</t>
  </si>
  <si>
    <t>WIRE DRIVE CABLE, 5FT, L13686-</t>
  </si>
  <si>
    <t>A.02</t>
  </si>
  <si>
    <t>0151928</t>
  </si>
  <si>
    <t>52094</t>
  </si>
  <si>
    <t>TDI400786</t>
  </si>
  <si>
    <t>10 POS. 18 AWG RIBBON ASSY</t>
  </si>
  <si>
    <t>0151929</t>
  </si>
  <si>
    <t>52095</t>
  </si>
  <si>
    <t>TDI400915</t>
  </si>
  <si>
    <t>RIBBON CABLE, 12 PIN</t>
  </si>
  <si>
    <t>0151222</t>
  </si>
  <si>
    <t>994291</t>
  </si>
  <si>
    <t>037534119</t>
  </si>
  <si>
    <t>CBL ASSY, HTR PAD, CNTRL, 208V</t>
  </si>
  <si>
    <t>0151633</t>
  </si>
  <si>
    <t>100160899</t>
  </si>
  <si>
    <t>WE-7147-211-150</t>
  </si>
  <si>
    <t>EP1 Hi-Flex Ext. Cable 15.0M</t>
  </si>
  <si>
    <t>0151824</t>
  </si>
  <si>
    <t>100163902</t>
  </si>
  <si>
    <t>EE-6796-141-001</t>
  </si>
  <si>
    <t>P-20IBRL R-30IB+MULCBL ENC 1M</t>
  </si>
  <si>
    <t>CABLE ASSY, 2/C,SHIELD/DRN,18G</t>
  </si>
  <si>
    <t>CABLE ASSY, DB9 TO CUSTOM Y, 7</t>
  </si>
  <si>
    <t>0151877</t>
  </si>
  <si>
    <t>KUKA SYSTEMS NORTH AMERICA LLC</t>
  </si>
  <si>
    <t>1834244</t>
  </si>
  <si>
    <t>201990-2</t>
  </si>
  <si>
    <t>SPINDLE LIGHT BOX</t>
  </si>
  <si>
    <t>0151906</t>
  </si>
  <si>
    <t>ATLAS COPCO TOOLS &amp; ASSEMBLY</t>
  </si>
  <si>
    <t>4516180074</t>
  </si>
  <si>
    <t>202655-18IN</t>
  </si>
  <si>
    <t>ATLAS COPCO CABLE 18 INCHES</t>
  </si>
  <si>
    <t>0151908</t>
  </si>
  <si>
    <t>ASM-KIT 3</t>
  </si>
  <si>
    <t>KIT 3 - CABLES</t>
  </si>
  <si>
    <t>0151912</t>
  </si>
  <si>
    <t>100165660</t>
  </si>
  <si>
    <t>EE-7412-589-001</t>
  </si>
  <si>
    <t>R-30IB + TRANSFORMER MBR ASSY</t>
  </si>
  <si>
    <t>0151916</t>
  </si>
  <si>
    <t>4516191699</t>
  </si>
  <si>
    <t>202638-3</t>
  </si>
  <si>
    <t>DEVICENET PIGTAIL</t>
  </si>
  <si>
    <t>0151942</t>
  </si>
  <si>
    <t>0013036863</t>
  </si>
  <si>
    <t>12617806</t>
  </si>
  <si>
    <t>0151140</t>
  </si>
  <si>
    <t>993437</t>
  </si>
  <si>
    <t>037533800</t>
  </si>
  <si>
    <t>CABLE ASSY, 50FTFLMT BODY, ASS</t>
  </si>
  <si>
    <t>0151293</t>
  </si>
  <si>
    <t>B&amp;P MANUFACTURING</t>
  </si>
  <si>
    <t>0051332</t>
  </si>
  <si>
    <t>8601259</t>
  </si>
  <si>
    <t>UMBILICAL HARNESS, IAW DWG: 53</t>
  </si>
  <si>
    <t>8601260</t>
  </si>
  <si>
    <t>TEST POWER HARNESS, IAW DWG: 5</t>
  </si>
  <si>
    <t>8601261</t>
  </si>
  <si>
    <t>SAFETY MONITOR HARNESS, IAW DW</t>
  </si>
  <si>
    <t>0151449</t>
  </si>
  <si>
    <t>PO00005402</t>
  </si>
  <si>
    <t>152272</t>
  </si>
  <si>
    <t>QVX HARNESS FOR POWER SWITCH</t>
  </si>
  <si>
    <t>05-21-03663-07</t>
  </si>
  <si>
    <t>CBL,CHASSIS GND,MET DIST-ER</t>
  </si>
  <si>
    <t>05-21-03663-09</t>
  </si>
  <si>
    <t>CBL, CHASSIS GND, XY DRIVER-ER</t>
  </si>
  <si>
    <t>0150922</t>
  </si>
  <si>
    <t>SPE4A625D5702_SPE4A625F320T</t>
  </si>
  <si>
    <t>179179-4</t>
  </si>
  <si>
    <t>RTS-WAITING ON GOV'T LABELS AND SPECIAL BOXES</t>
  </si>
  <si>
    <t>17008A0405</t>
  </si>
  <si>
    <t>17008A0406</t>
  </si>
  <si>
    <t>CABLE, ASSEMBLY, RADIO FREQUEN</t>
  </si>
  <si>
    <t>0148897</t>
  </si>
  <si>
    <t>AM GENERAL LLC</t>
  </si>
  <si>
    <t>4600000369</t>
  </si>
  <si>
    <t>12603866</t>
  </si>
  <si>
    <t>CABLE ASSY SPKR 915 W200</t>
  </si>
  <si>
    <t>0151861</t>
  </si>
  <si>
    <t>0013025013</t>
  </si>
  <si>
    <t>K4907-75</t>
  </si>
  <si>
    <t>ETHERNET CABLE W/BAYONET</t>
  </si>
  <si>
    <t>0151924</t>
  </si>
  <si>
    <t>30952</t>
  </si>
  <si>
    <t>7159306-0003-03</t>
  </si>
  <si>
    <t>CABLE ASSY, MOLEX CONNECTOR</t>
  </si>
  <si>
    <t>0151931</t>
  </si>
  <si>
    <t>PO-10233</t>
  </si>
  <si>
    <t>AD_C21U121</t>
  </si>
  <si>
    <t>INTERNAL CABLE ASSY</t>
  </si>
  <si>
    <t>AD_C23QA0</t>
  </si>
  <si>
    <t>CABLE, C23QA0</t>
  </si>
  <si>
    <t>0151933</t>
  </si>
  <si>
    <t>PO-10260</t>
  </si>
  <si>
    <t>AD_C22D62</t>
  </si>
  <si>
    <t>CABLE ASSY, THPRMD DTC SOLO8 I</t>
  </si>
  <si>
    <t>0151524</t>
  </si>
  <si>
    <t>5300168718</t>
  </si>
  <si>
    <t>ALH-213912-0144</t>
  </si>
  <si>
    <t>CABLE ASSEMBLY, FIBER OPTIC, S</t>
  </si>
  <si>
    <t>426968</t>
  </si>
  <si>
    <t>CABLE, RF-20XX INTERLOCK, OUTS</t>
  </si>
  <si>
    <t>0150773</t>
  </si>
  <si>
    <t>100145646</t>
  </si>
  <si>
    <t>EE-3158-316-006</t>
  </si>
  <si>
    <t>GROUND CABLE 7"" [178MM]</t>
  </si>
  <si>
    <t>0151217</t>
  </si>
  <si>
    <t>SPE4A625V670D</t>
  </si>
  <si>
    <t>179189-2</t>
  </si>
  <si>
    <t>0151381</t>
  </si>
  <si>
    <t>1260449</t>
  </si>
  <si>
    <t>H542G173-46</t>
  </si>
  <si>
    <t>6' N MALE TO N MALE</t>
  </si>
  <si>
    <t>B/M</t>
  </si>
  <si>
    <t>H542G173-47</t>
  </si>
  <si>
    <t>H542G173-59</t>
  </si>
  <si>
    <t>4' N MALE TO N NALE</t>
  </si>
  <si>
    <t>A/M</t>
  </si>
  <si>
    <t>H542G173-60</t>
  </si>
  <si>
    <t>4' TNC MALE TO N MALE</t>
  </si>
  <si>
    <t>0151430</t>
  </si>
  <si>
    <t>4512474111</t>
  </si>
  <si>
    <t>ISA 401565</t>
  </si>
  <si>
    <t>(5500401565) ASSY OF HII HARNE</t>
  </si>
  <si>
    <t>005-0600-0009</t>
  </si>
  <si>
    <t>05-21-13423</t>
  </si>
  <si>
    <t>CBL,CAM SW-EDA 1428,LSA101</t>
  </si>
  <si>
    <t>0151925</t>
  </si>
  <si>
    <t>DISTEK, INC.</t>
  </si>
  <si>
    <t>538976</t>
  </si>
  <si>
    <t>2700-0701</t>
  </si>
  <si>
    <t>220V AC INPUT VOLTAGE SELECT P</t>
  </si>
  <si>
    <t>0151927</t>
  </si>
  <si>
    <t>PO-10228</t>
  </si>
  <si>
    <t>AD_C2500015</t>
  </si>
  <si>
    <t>TX/RX CABLE FOR RADIO 495-050</t>
  </si>
  <si>
    <t>AD_CBL50</t>
  </si>
  <si>
    <t>MATING CABLE, 8 PIN RECTANGULA</t>
  </si>
  <si>
    <t>0151935</t>
  </si>
  <si>
    <t>E &amp; E MANUFACTURING CO.</t>
  </si>
  <si>
    <t>PL047212</t>
  </si>
  <si>
    <t>203321H</t>
  </si>
  <si>
    <t>1FT 32PIN FEM STRAIGHT HARTING</t>
  </si>
  <si>
    <t>0151936</t>
  </si>
  <si>
    <t>SPE4A624D0065_SPE4A625F093Z</t>
  </si>
  <si>
    <t>170463-1</t>
  </si>
  <si>
    <t>0151937</t>
  </si>
  <si>
    <t>0150653</t>
  </si>
  <si>
    <t>22210533</t>
  </si>
  <si>
    <t>TQPR16022</t>
  </si>
  <si>
    <t>CABLE ASSY, ASG TO DOOR SENSOR</t>
  </si>
  <si>
    <t>TQ9053011</t>
  </si>
  <si>
    <t>CABLE ASSY, SWITCH POWER CONTR</t>
  </si>
  <si>
    <t>0151170</t>
  </si>
  <si>
    <t>SPE4A625V638C</t>
  </si>
  <si>
    <t>A3381311-001-1</t>
  </si>
  <si>
    <t>0151215</t>
  </si>
  <si>
    <t>SPE4A625V689E</t>
  </si>
  <si>
    <t>170414-20</t>
  </si>
  <si>
    <t>CABLE ASSEMBLY, GPS, RF, EXTER</t>
  </si>
  <si>
    <t>0151331</t>
  </si>
  <si>
    <t>SPE7L126V0483</t>
  </si>
  <si>
    <t>633001</t>
  </si>
  <si>
    <t>PLATE MOUNTING</t>
  </si>
  <si>
    <t>13786062-0780</t>
  </si>
  <si>
    <t>CABLE ASSEMBLY, IFCN POWER</t>
  </si>
  <si>
    <t>0151615</t>
  </si>
  <si>
    <t>0012985717</t>
  </si>
  <si>
    <t>0151731</t>
  </si>
  <si>
    <t>22318211</t>
  </si>
  <si>
    <t>412830</t>
  </si>
  <si>
    <t>CABLE ASSY, RF20XX INTERFACE,</t>
  </si>
  <si>
    <t>A2</t>
  </si>
  <si>
    <t>0151801</t>
  </si>
  <si>
    <t>100163363</t>
  </si>
  <si>
    <t>ME-1800-174-008</t>
  </si>
  <si>
    <t>RJ3IB RBT XFER UN FLEX GND 8M</t>
  </si>
  <si>
    <t>0F</t>
  </si>
  <si>
    <t>0151946</t>
  </si>
  <si>
    <t>22340118</t>
  </si>
  <si>
    <t>1193825-002</t>
  </si>
  <si>
    <t>ASSY, CBL, GLASS FLASK</t>
  </si>
  <si>
    <t>1222296-000</t>
  </si>
  <si>
    <t>ASSY,CBL,EXTERNAL LEAK DETECTO</t>
  </si>
  <si>
    <t>TQL7919</t>
  </si>
  <si>
    <t>CABLE, ASSY,VMS CTRLR TO MAIN</t>
  </si>
  <si>
    <t>0150957</t>
  </si>
  <si>
    <t>SPE4A625V529G</t>
  </si>
  <si>
    <t>8900-52085-0000</t>
  </si>
  <si>
    <t>REC'D FROM XACT-BEIGN RELABELED AND PACKAGED 1/28</t>
  </si>
  <si>
    <t>0151169</t>
  </si>
  <si>
    <t>SPE4A625D5636_SPE4A625F401S</t>
  </si>
  <si>
    <t>8900-52087-0004</t>
  </si>
  <si>
    <t>CABLE ASSY, RADIO FREQUENCY</t>
  </si>
  <si>
    <t>0151224</t>
  </si>
  <si>
    <t>994289</t>
  </si>
  <si>
    <t>MT50</t>
  </si>
  <si>
    <t>0151572</t>
  </si>
  <si>
    <t>OSHKOSH CORP.</t>
  </si>
  <si>
    <t>12611438</t>
  </si>
  <si>
    <t>CABLE ASSY RF 4750 W108</t>
  </si>
  <si>
    <t>QC 1/16</t>
  </si>
  <si>
    <t>0151799</t>
  </si>
  <si>
    <t>22299510</t>
  </si>
  <si>
    <t>TQPR15320</t>
  </si>
  <si>
    <t>ASSY, CABLE, DB25 TO RS232-2 D</t>
  </si>
  <si>
    <t>TQPR16014</t>
  </si>
  <si>
    <t>CABLE ASSY, ASG INTERNAL, MIXE</t>
  </si>
  <si>
    <t>TQPR16021</t>
  </si>
  <si>
    <t>CABLE ASSY, ASG INTERNAL, DOOR</t>
  </si>
  <si>
    <t>426967</t>
  </si>
  <si>
    <t>CABLE,RF-20XX ILK SYS IN BAY</t>
  </si>
  <si>
    <t>0151898</t>
  </si>
  <si>
    <t>1004050</t>
  </si>
  <si>
    <t>0151699</t>
  </si>
  <si>
    <t>SYSTEMS INNOVATION ENGINEERING , LLC</t>
  </si>
  <si>
    <t>202511-132</t>
  </si>
  <si>
    <t>008-005-002</t>
  </si>
  <si>
    <t>31M-000-2 OUTPUT, BLACK</t>
  </si>
  <si>
    <t>008-005-011</t>
  </si>
  <si>
    <t>31M-000-2 OUTPUT, GRAY</t>
  </si>
  <si>
    <t>0150832</t>
  </si>
  <si>
    <t>MJC-25-2376</t>
  </si>
  <si>
    <t>21003B0405-0</t>
  </si>
  <si>
    <t>CABLE ASSY, ELECTRICAL, POWER,</t>
  </si>
  <si>
    <t>TQPR15277</t>
  </si>
  <si>
    <t>ASSY, CABLE, LEAK SENSOR, PROC</t>
  </si>
  <si>
    <t>0151742</t>
  </si>
  <si>
    <t>1002086</t>
  </si>
  <si>
    <t>6271-008</t>
  </si>
  <si>
    <t>CABLE ASSY, RF-2001 TO RF5S RS</t>
  </si>
  <si>
    <t>6271-009</t>
  </si>
  <si>
    <t>CABLE ASSY,RF20XX INTFC  63 IN</t>
  </si>
  <si>
    <t>033669800</t>
  </si>
  <si>
    <t>CABLE ASSY, TILT AXIS, KPSE, E</t>
  </si>
  <si>
    <t>033669802</t>
  </si>
  <si>
    <t>CABLE ASSY, ROT AXIS, KPSE, EN</t>
  </si>
  <si>
    <t>05-21-03804</t>
  </si>
  <si>
    <t>CBL,MET DIST,FPGA,EXT</t>
  </si>
  <si>
    <t>FAI 033669802</t>
  </si>
  <si>
    <t>0151846</t>
  </si>
  <si>
    <t>1267377</t>
  </si>
  <si>
    <t>8579764-2</t>
  </si>
  <si>
    <t>CABLE ASSEMBLY, DISPLAY PORT</t>
  </si>
  <si>
    <t>8579764-3</t>
  </si>
  <si>
    <t>0148028</t>
  </si>
  <si>
    <t>12602811</t>
  </si>
  <si>
    <t>CABLE ASSY AUDIO 1829 W317 REV</t>
  </si>
  <si>
    <t>82 RTS-SHORT 4 THAT WERE SOLD TO ANOTHER CUSTOMER</t>
  </si>
  <si>
    <t>0150052</t>
  </si>
  <si>
    <t>0165550</t>
  </si>
  <si>
    <t>KIT 12-LBR</t>
  </si>
  <si>
    <t>ATDC COMMON PARTS - LBR</t>
  </si>
  <si>
    <t>0150141</t>
  </si>
  <si>
    <t>30360</t>
  </si>
  <si>
    <t>82I4112-029002</t>
  </si>
  <si>
    <t>CABLE ASSY, BALANCING AND SENS</t>
  </si>
  <si>
    <t>0150799</t>
  </si>
  <si>
    <t>100145771</t>
  </si>
  <si>
    <t>EE-6595-116-003</t>
  </si>
  <si>
    <t>GROUND CABLE 4FT</t>
  </si>
  <si>
    <t>0C</t>
  </si>
  <si>
    <t>0151199</t>
  </si>
  <si>
    <t>NOAA/AGO/EAD</t>
  </si>
  <si>
    <t>1305M225F0379</t>
  </si>
  <si>
    <t>22TE5SMPR</t>
  </si>
  <si>
    <t>2 TP, 22GA, IND SHLD 1 STR CON</t>
  </si>
  <si>
    <t>2320061-301</t>
  </si>
  <si>
    <t>CABLE ASSY GROUNDING REV A</t>
  </si>
  <si>
    <t>2320061-302</t>
  </si>
  <si>
    <t>CABLE ASSY GROUNDING</t>
  </si>
  <si>
    <t>2320208-303</t>
  </si>
  <si>
    <t>CABLE ASSY W30B, W130B</t>
  </si>
  <si>
    <t>2320211-301</t>
  </si>
  <si>
    <t>CABLE ASSY  W31B , W131B</t>
  </si>
  <si>
    <t>2320211-302</t>
  </si>
  <si>
    <t>2320286-301</t>
  </si>
  <si>
    <t>CABLE ASSY JUMPER  90A14W3</t>
  </si>
  <si>
    <t>BS-2000-010-301-1</t>
  </si>
  <si>
    <t>CABLE ASSY RF FLEXIBLE COAX SM</t>
  </si>
  <si>
    <t>BS-2000-010-304-1</t>
  </si>
  <si>
    <t>CABLE ASSY DB9 (F) TO DB37 (F)</t>
  </si>
  <si>
    <t>BS-2000-100-303-4</t>
  </si>
  <si>
    <t>CABLE ASSY LMR 240 N-TYPE STRA</t>
  </si>
  <si>
    <t>BS-2000-100-303-5</t>
  </si>
  <si>
    <t>BS-2000-100-306</t>
  </si>
  <si>
    <t>CABLE ASSY 2W563 AME COMM REV</t>
  </si>
  <si>
    <t>BS-2000-300-300-1</t>
  </si>
  <si>
    <t>CABLE ASSY RF FLEXBLE COAX SMA</t>
  </si>
  <si>
    <t>BS-2000-300-300-2</t>
  </si>
  <si>
    <t>BS-2000-400-301</t>
  </si>
  <si>
    <t>CABLE ASSY 2A9W2, AME DC POWER</t>
  </si>
  <si>
    <t>BS-2000-400-322-3</t>
  </si>
  <si>
    <t>RF FLEXOBLE COAX QMA RA (M) TO</t>
  </si>
  <si>
    <t>BS-2000-400-328</t>
  </si>
  <si>
    <t>CABLE ASSY 2AW49DLX MOLDED DB1</t>
  </si>
  <si>
    <t>0151421</t>
  </si>
  <si>
    <t>P010292704</t>
  </si>
  <si>
    <t>17008E0018-004</t>
  </si>
  <si>
    <t>0151472</t>
  </si>
  <si>
    <t>0012962583</t>
  </si>
  <si>
    <t>K4790-1</t>
  </si>
  <si>
    <t>ARC LINK SPLIT CABLE ASSY</t>
  </si>
  <si>
    <t>CBL, MET DIST, FPGA, EXT</t>
  </si>
  <si>
    <t>AD-CBL-INT-SRC-BATT-2</t>
  </si>
  <si>
    <t>SRC INTERNAL BATTERY WIRE HARN</t>
  </si>
  <si>
    <t>AD-FAN-40MM</t>
  </si>
  <si>
    <t>ASSY, FAN, 40X40X10 WITH DF3 C</t>
  </si>
  <si>
    <t>0151545</t>
  </si>
  <si>
    <t>SPE4A626D60AE_SPE4A626F2245</t>
  </si>
  <si>
    <t>A3384649-1</t>
  </si>
  <si>
    <t>034150523</t>
  </si>
  <si>
    <t>CABLE ASSY, RELAY PWR, IBE, FL</t>
  </si>
  <si>
    <t>038336901</t>
  </si>
  <si>
    <t>CABLE SUB ASSY, TURBO/CRYO GAT</t>
  </si>
  <si>
    <t>038336902</t>
  </si>
  <si>
    <t>CABLE SUB ASSY, GATE VALVES, P</t>
  </si>
  <si>
    <t>038630102</t>
  </si>
  <si>
    <t>WATER BUG ASSY, NIBE , SOURCE</t>
  </si>
  <si>
    <t>0151641</t>
  </si>
  <si>
    <t>0012990484</t>
  </si>
  <si>
    <t>K4483-16</t>
  </si>
  <si>
    <t>ARC LINK CABLE ASSY, 16FT</t>
  </si>
  <si>
    <t>0151711</t>
  </si>
  <si>
    <t>100162328</t>
  </si>
  <si>
    <t>0151887</t>
  </si>
  <si>
    <t>GENERAL MOTORS LLC</t>
  </si>
  <si>
    <t>7100532191</t>
  </si>
  <si>
    <t>203008-004</t>
  </si>
  <si>
    <t>10 PIN M/F 4FT.</t>
  </si>
  <si>
    <t>0151921</t>
  </si>
  <si>
    <t>ACE ELECTRONICS DEFENSE SYS</t>
  </si>
  <si>
    <t>0169594</t>
  </si>
  <si>
    <t>553430-01-LBR-HDWKT</t>
  </si>
  <si>
    <t>HARDWARE KIT FOR HMMWV M997A3</t>
  </si>
  <si>
    <t>X0</t>
  </si>
  <si>
    <t>553434-01-LBR-HDWKT</t>
  </si>
  <si>
    <t>HARDWARE KIT FOR HMMWV M1152A1</t>
  </si>
  <si>
    <t>X6</t>
  </si>
  <si>
    <t>8749559-03</t>
  </si>
  <si>
    <t>ATX RACK MOUNTED PROCESSOR ASS</t>
  </si>
  <si>
    <t>TQ701636</t>
  </si>
  <si>
    <t>CABLE ASSY, SYRINGE POWER ASG</t>
  </si>
  <si>
    <t>TQ9053113-02</t>
  </si>
  <si>
    <t>CABLE ASSY, POWER</t>
  </si>
  <si>
    <t>TQPR15210</t>
  </si>
  <si>
    <t>ASSY, CABLE, COMMUNICATION , M</t>
  </si>
  <si>
    <t>TQPR15257</t>
  </si>
  <si>
    <t>DISTRIBUTION PLATE HARNESS, DI</t>
  </si>
  <si>
    <t>TQPR15261</t>
  </si>
  <si>
    <t>DISTRIBUTION PLATE HARNESS, LE</t>
  </si>
  <si>
    <t>0151596</t>
  </si>
  <si>
    <t>25-059</t>
  </si>
  <si>
    <t>13106541</t>
  </si>
  <si>
    <t>TR - TEST CABLE #2 (MFA 3J1 &amp;</t>
  </si>
  <si>
    <t>13106545</t>
  </si>
  <si>
    <t>TR - TEST CABLE #15 (VIM 5J1 &amp;</t>
  </si>
  <si>
    <t>13106551</t>
  </si>
  <si>
    <t>TR - TEST CABLE # 206 (MFA 3J4</t>
  </si>
  <si>
    <t>0151703</t>
  </si>
  <si>
    <t>0013001705</t>
  </si>
  <si>
    <t>K52130-25</t>
  </si>
  <si>
    <t>PENDANT CABLE, 25FT (S31695-25</t>
  </si>
  <si>
    <t>F.01</t>
  </si>
  <si>
    <t>0151890</t>
  </si>
  <si>
    <t>4512527653</t>
  </si>
  <si>
    <t>ISA 401181</t>
  </si>
  <si>
    <t>CABLE, HEATER POWER, SYMPHONY</t>
  </si>
  <si>
    <t>0151905</t>
  </si>
  <si>
    <t>1004436</t>
  </si>
  <si>
    <t>1413632</t>
  </si>
  <si>
    <t>DEVICE ASSY, DIFF PRESSURE SWI</t>
  </si>
  <si>
    <t>0151945</t>
  </si>
  <si>
    <t>1004593</t>
  </si>
  <si>
    <t>1413039-1030</t>
  </si>
  <si>
    <t>CABLE ASSY, 208VAC VERTEX EFEM</t>
  </si>
  <si>
    <t>1413040-1030</t>
  </si>
  <si>
    <t>CABLE ASSY, VERTEX EFEM EMO-30</t>
  </si>
  <si>
    <t>1413041-1030</t>
  </si>
  <si>
    <t>CABLE ASSY, 208VAC TO VTM-30FT</t>
  </si>
  <si>
    <t>1413042-1030</t>
  </si>
  <si>
    <t>CABLE ASSY,208V, VTM/CLM/CTM P</t>
  </si>
  <si>
    <t>1413043-1030</t>
  </si>
  <si>
    <t>CABLE ASSY,208V VTM PURGE PUMP</t>
  </si>
  <si>
    <t>1413044</t>
  </si>
  <si>
    <t>CABLE ASSY, 208VAC TP PSFC-PM1</t>
  </si>
  <si>
    <t>1413045-1030</t>
  </si>
  <si>
    <t>CABLE ASSY, 208V DIFF SEALPMP1</t>
  </si>
  <si>
    <t>1413046</t>
  </si>
  <si>
    <t>CABLE ASSY, 380V MCR1-24V PM1</t>
  </si>
  <si>
    <t>1413047</t>
  </si>
  <si>
    <t>CABLE ASSY, EMO, PSFC PM1</t>
  </si>
  <si>
    <t>1413062-1030</t>
  </si>
  <si>
    <t>CABLE ASSY, PWR RA PROCESS PUM</t>
  </si>
  <si>
    <t>8749605-01-LBR</t>
  </si>
  <si>
    <t>CABLE ASSY, AC BUS INPUT</t>
  </si>
  <si>
    <t>8749606-01-LBR</t>
  </si>
  <si>
    <t>CABLE ASSY, DC POWER SUPPLY -</t>
  </si>
  <si>
    <t>8749607-01-LBR</t>
  </si>
  <si>
    <t>CABLE ASSY, MONITOR POWER - LB</t>
  </si>
  <si>
    <t>8749607-02-LBR</t>
  </si>
  <si>
    <t>8749608-01-LBR</t>
  </si>
  <si>
    <t>CABLE ASSY, FAN POWER - LBR</t>
  </si>
  <si>
    <t>8749609-01-LBR</t>
  </si>
  <si>
    <t>CABLE ASSY, DC BUS INPUT - LBR</t>
  </si>
  <si>
    <t>8749610-01-LBR</t>
  </si>
  <si>
    <t>CABLE ASSY, SENSOR AND CONTROL</t>
  </si>
  <si>
    <t>8749611-01-LBR</t>
  </si>
  <si>
    <t>CABLE ASSY, THIN CLIENT POWER</t>
  </si>
  <si>
    <t>8749621-01-LBR</t>
  </si>
  <si>
    <t>CABLE ASSY, THIN CLIENT ETHERN</t>
  </si>
  <si>
    <t>8749622-01-LBR</t>
  </si>
  <si>
    <t>CBL ASSY, DP++ OUT - LBR</t>
  </si>
  <si>
    <t>8749622-02-LBR</t>
  </si>
  <si>
    <t>8749626-01-LBR</t>
  </si>
  <si>
    <t>CABLE ASSY, USB OUT - LBR</t>
  </si>
  <si>
    <t>0151075</t>
  </si>
  <si>
    <t>MS13E0192852</t>
  </si>
  <si>
    <t>10389691</t>
  </si>
  <si>
    <t>(400693) PRESSURE TRANSDUCER</t>
  </si>
  <si>
    <t>0151447</t>
  </si>
  <si>
    <t>SPE4A623D0049_SPE4A626F1673</t>
  </si>
  <si>
    <t>8900-96811-0000</t>
  </si>
  <si>
    <t>CABLE ASSY,  SPEC</t>
  </si>
  <si>
    <t>0151494</t>
  </si>
  <si>
    <t>1489947</t>
  </si>
  <si>
    <t>12649066-1</t>
  </si>
  <si>
    <t>WIRING HARNESS W22</t>
  </si>
  <si>
    <t>12656680-1</t>
  </si>
  <si>
    <t>WIRING HARNESS W31</t>
  </si>
  <si>
    <t>0151550</t>
  </si>
  <si>
    <t>22292387</t>
  </si>
  <si>
    <t>TQ851574-02</t>
  </si>
  <si>
    <t>CABLE ASSY, POWER, 12VDC, SHIE</t>
  </si>
  <si>
    <t>TQ9053039</t>
  </si>
  <si>
    <t>CABLE ASSY, PD PUMP BOARD COM</t>
  </si>
  <si>
    <t>TQ9053041</t>
  </si>
  <si>
    <t>CABLE ASSY, ADVANCED HEATER BO</t>
  </si>
  <si>
    <t>TQPR15305</t>
  </si>
  <si>
    <t>ASSY, CABLE, LIGHT TOWER CONTR</t>
  </si>
  <si>
    <t>0151575</t>
  </si>
  <si>
    <t>0009085</t>
  </si>
  <si>
    <t>170382-2-LBR</t>
  </si>
  <si>
    <t>LABOR ONLY, CABLE ASSY, SATCOM</t>
  </si>
  <si>
    <t>L</t>
  </si>
  <si>
    <t>IP</t>
  </si>
  <si>
    <t>620500-1-LBR</t>
  </si>
  <si>
    <t>LABOR ONLY CABLE ASM, GPS, RF</t>
  </si>
  <si>
    <t>620717-1-LBR</t>
  </si>
  <si>
    <t>(LABOR &amp; MOLD ONLY) CABLE ASM,</t>
  </si>
  <si>
    <t>CRL</t>
  </si>
  <si>
    <t>620720-1-LBR</t>
  </si>
  <si>
    <t>LABOR ONLY CABLE ASSEMBLY, W6M</t>
  </si>
  <si>
    <t>037534405</t>
  </si>
  <si>
    <t>CABLE ASY,J144-P144,KPSE</t>
  </si>
  <si>
    <t>0151939</t>
  </si>
  <si>
    <t>0013035454</t>
  </si>
  <si>
    <t>K3674-120ID</t>
  </si>
  <si>
    <t xml:space="preserve">	 CONTROL CABLE, 14 PIN WIRE F</t>
  </si>
  <si>
    <t>0151940</t>
  </si>
  <si>
    <t>0013035453</t>
  </si>
  <si>
    <t>14 PIN WIRE DRIVE CABLE (25FT</t>
  </si>
  <si>
    <t>0151332</t>
  </si>
  <si>
    <t>SPE7L126V0473</t>
  </si>
  <si>
    <t>9800-52532-0000</t>
  </si>
  <si>
    <t>BRACKET, MOUNTING</t>
  </si>
  <si>
    <t>0151527</t>
  </si>
  <si>
    <t>5300171983</t>
  </si>
  <si>
    <t>13797609-0100</t>
  </si>
  <si>
    <t>CABLE ASSY, PIDC PWR AND DATA</t>
  </si>
  <si>
    <t>037537101</t>
  </si>
  <si>
    <t>CABLE, IGNITER CIRCUIT FILTER</t>
  </si>
  <si>
    <t>0151710</t>
  </si>
  <si>
    <t>P010293806</t>
  </si>
  <si>
    <t>514874</t>
  </si>
  <si>
    <t>CABLE ASSEMBLY, .190 - .250 RI</t>
  </si>
  <si>
    <t>0151884</t>
  </si>
  <si>
    <t>4507264212</t>
  </si>
  <si>
    <t>RJ45 CABLE, GARD TSD</t>
  </si>
  <si>
    <t>0151415</t>
  </si>
  <si>
    <t>SPE4A623D5514_SPE4A626F1240</t>
  </si>
  <si>
    <t>8900-52087-0003</t>
  </si>
  <si>
    <t>AD-FAN-50MM-LEFT</t>
  </si>
  <si>
    <t>FAN, 50X50X15MM, WITH MOLEX 05</t>
  </si>
  <si>
    <t>AD-FAN-50MM-RIGHT</t>
  </si>
  <si>
    <t>AD-PWR-SUPPLY-160W-XLR</t>
  </si>
  <si>
    <t>MODULE, POWER SUPPLY 160W</t>
  </si>
  <si>
    <t>AD-PWR-SUPPLY-280W-2010</t>
  </si>
  <si>
    <t>MODULE, POWER SUPPLY 280W 11.6</t>
  </si>
  <si>
    <t>AD-PWR-SUPPLY-40W-XLR</t>
  </si>
  <si>
    <t>POWER SUPPLY, 100-250V AC 50-6</t>
  </si>
  <si>
    <t>0151595</t>
  </si>
  <si>
    <t>25-055</t>
  </si>
  <si>
    <t>13066252</t>
  </si>
  <si>
    <t>TEST CABLE #2</t>
  </si>
  <si>
    <t>13066256</t>
  </si>
  <si>
    <t>TEST CABLE #7</t>
  </si>
  <si>
    <t>0151640</t>
  </si>
  <si>
    <t>1000318</t>
  </si>
  <si>
    <t>038634303</t>
  </si>
  <si>
    <t>CABLE ASSY, P146 TO SHUTTERS,</t>
  </si>
  <si>
    <t>0151753</t>
  </si>
  <si>
    <t>CUBIC CORPORATION</t>
  </si>
  <si>
    <t>2600004461</t>
  </si>
  <si>
    <t>327419-7</t>
  </si>
  <si>
    <t>H/D</t>
  </si>
  <si>
    <t>0151754</t>
  </si>
  <si>
    <t>2600004462</t>
  </si>
  <si>
    <t>327419-8</t>
  </si>
  <si>
    <t>H/F</t>
  </si>
  <si>
    <t>0150213</t>
  </si>
  <si>
    <t>4512358740</t>
  </si>
  <si>
    <t>ISA 401119</t>
  </si>
  <si>
    <t>(5500401119)  4" FAN 25MMX25MM</t>
  </si>
  <si>
    <t>0150505</t>
  </si>
  <si>
    <t>0000002275</t>
  </si>
  <si>
    <t>T2C2-12781-001</t>
  </si>
  <si>
    <t>AMPLIFIER-POWER SUP</t>
  </si>
  <si>
    <t>T2C2-14102-105</t>
  </si>
  <si>
    <t>ANTENNA SUBASSEMBLY</t>
  </si>
  <si>
    <t>0151700</t>
  </si>
  <si>
    <t>100162118</t>
  </si>
  <si>
    <t>EE-6834-639-001</t>
  </si>
  <si>
    <t>P700IB MBR ADPT HAR UPPER 1.4M</t>
  </si>
  <si>
    <t>0147077</t>
  </si>
  <si>
    <t>4100013314</t>
  </si>
  <si>
    <t>12358894</t>
  </si>
  <si>
    <t>WIRING HARNESS, BRANCHED (3W8)</t>
  </si>
  <si>
    <t>D/-</t>
  </si>
  <si>
    <t>ASM-FEE</t>
  </si>
  <si>
    <t>AS9102 FA FEE WITH SOURCE</t>
  </si>
  <si>
    <t>0150478</t>
  </si>
  <si>
    <t>4512376329</t>
  </si>
  <si>
    <t>ISA 401404</t>
  </si>
  <si>
    <t>(5500401404) CABLE, HV 7PN SCK</t>
  </si>
  <si>
    <t>0151077</t>
  </si>
  <si>
    <t>SPE4A625D5702_SPE4A625F386V</t>
  </si>
  <si>
    <t>DRS CABLES WE LABEL</t>
  </si>
  <si>
    <t>0151505</t>
  </si>
  <si>
    <t>258273</t>
  </si>
  <si>
    <t>0151794</t>
  </si>
  <si>
    <t>N0017426C1004</t>
  </si>
  <si>
    <t>7609596</t>
  </si>
  <si>
    <t>HOUSING, GAS GENERATOR MK 77 M</t>
  </si>
  <si>
    <t>038634302</t>
  </si>
  <si>
    <t>CABLE ASY,P142-GATE VLV, ,KPSE</t>
  </si>
  <si>
    <t>0150468</t>
  </si>
  <si>
    <t>4512383002</t>
  </si>
  <si>
    <t>5700036124</t>
  </si>
  <si>
    <t>CABLE, AQUALOG HV LAMP HANSMAN</t>
  </si>
  <si>
    <t>0151152</t>
  </si>
  <si>
    <t>22256165</t>
  </si>
  <si>
    <t>TQ851588-29</t>
  </si>
  <si>
    <t>CABLE ASSY, DATA CABLE SYR TO</t>
  </si>
  <si>
    <t>0151410</t>
  </si>
  <si>
    <t>SPE4A724D0084_SPE4A726F0436</t>
  </si>
  <si>
    <t>170369-1</t>
  </si>
  <si>
    <t>0151441</t>
  </si>
  <si>
    <t>SPE4A623D0240_SPE4A626F1553</t>
  </si>
  <si>
    <t>9800-48278-0020</t>
  </si>
  <si>
    <t>IP HAPPY</t>
  </si>
  <si>
    <t>0151767</t>
  </si>
  <si>
    <t>22296937</t>
  </si>
  <si>
    <t>TQ701615</t>
  </si>
  <si>
    <t>CELL LIGHT HARNESS ASSEMBLY, P</t>
  </si>
  <si>
    <t>TQ701622-01</t>
  </si>
  <si>
    <t>PHOTOHELIC CABLE</t>
  </si>
  <si>
    <t>TQ851578</t>
  </si>
  <si>
    <t>ASSY, CABLE, FAN POWER</t>
  </si>
  <si>
    <t>ASSY,CABLE COMMUNICATION,MSTR</t>
  </si>
  <si>
    <t>0150850</t>
  </si>
  <si>
    <t>22226932</t>
  </si>
  <si>
    <t>TQPR16019</t>
  </si>
  <si>
    <t>CABLE ASSY, ASG INTERNAL, POWE</t>
  </si>
  <si>
    <t>0151205</t>
  </si>
  <si>
    <t>SPE4A622D0090_SPE4A625F448U</t>
  </si>
  <si>
    <t>13033867</t>
  </si>
  <si>
    <t>CABLE ASSEMBLY 8W7</t>
  </si>
  <si>
    <t>0151383</t>
  </si>
  <si>
    <t>SPE4A626V1128</t>
  </si>
  <si>
    <t>A3381317-001-0</t>
  </si>
  <si>
    <t>037536903</t>
  </si>
  <si>
    <t>CABLE ASSY, VACUUM WITCH, P162</t>
  </si>
  <si>
    <t>0151684</t>
  </si>
  <si>
    <t>0012997891</t>
  </si>
  <si>
    <t>0151755</t>
  </si>
  <si>
    <t>5500455042</t>
  </si>
  <si>
    <t>M25501</t>
  </si>
  <si>
    <t>CONTROL CABLE</t>
  </si>
  <si>
    <t>0150764</t>
  </si>
  <si>
    <t>N6339425P4015</t>
  </si>
  <si>
    <t>8749607-02</t>
  </si>
  <si>
    <t>CABLE ASSY, MONITOR POWER</t>
  </si>
  <si>
    <t>0151423</t>
  </si>
  <si>
    <t>100156601</t>
  </si>
  <si>
    <t>EE-4696-633-302</t>
  </si>
  <si>
    <t>SERVO FIBER RX2TX  6M</t>
  </si>
  <si>
    <t>0151453</t>
  </si>
  <si>
    <t>DRS TRAINING AND CONTROLS</t>
  </si>
  <si>
    <t>86P0020274</t>
  </si>
  <si>
    <t>4062AS3903-001</t>
  </si>
  <si>
    <t>KEY INTERFACE CABLE ASSY</t>
  </si>
  <si>
    <t>0151491</t>
  </si>
  <si>
    <t>100157761</t>
  </si>
  <si>
    <t>DE-2020-925-014</t>
  </si>
  <si>
    <t>R-30iB ISD PWR/BRK EXT CABLE 1</t>
  </si>
  <si>
    <t>0149330</t>
  </si>
  <si>
    <t>5300128091</t>
  </si>
  <si>
    <t>0151390</t>
  </si>
  <si>
    <t>0168249</t>
  </si>
  <si>
    <t>120045282-LBR</t>
  </si>
  <si>
    <t>(LABOR ONLY) CABLE, POSITIVE</t>
  </si>
  <si>
    <t>QC 12/23</t>
  </si>
  <si>
    <t>120045283-LBR</t>
  </si>
  <si>
    <t>(LABOR ONLY) CABLE, NEGATIVE</t>
  </si>
  <si>
    <t>120047552-LBR</t>
  </si>
  <si>
    <t>(LABOR ONLY) HARNESS, MAPS INT</t>
  </si>
  <si>
    <t>FISCHER PART</t>
  </si>
  <si>
    <t>120047553-LBR</t>
  </si>
  <si>
    <t>(LABOR ONLY) CABLE, DAGR/MFOCS</t>
  </si>
  <si>
    <t>120047555-LBR</t>
  </si>
  <si>
    <t>(LABOR ONLY) CABLE, DAGR/RADIO</t>
  </si>
  <si>
    <t>120047560-LBR</t>
  </si>
  <si>
    <t>(LABOR ONLY) HARNESS, MAPS EXT</t>
  </si>
  <si>
    <t>120047627-LBR</t>
  </si>
  <si>
    <t>(LABOR ONLY) SPEED SENSOR ASSY</t>
  </si>
  <si>
    <t>SANJAY</t>
  </si>
  <si>
    <t>120049500-LBR</t>
  </si>
  <si>
    <t>(LABOR ONLY) GROUND STRAP, NAV</t>
  </si>
  <si>
    <t>KITTED</t>
  </si>
  <si>
    <t>120049501-LBR</t>
  </si>
  <si>
    <t>(LABOOR ONLY) GROUND CABLE</t>
  </si>
  <si>
    <t>QC 1/2</t>
  </si>
  <si>
    <t>12701963-LBR</t>
  </si>
  <si>
    <t>(LABOR ONLY) CABLE ASSEMBLY, N</t>
  </si>
  <si>
    <t>VERIFIED MATERIAL ON ORDER</t>
  </si>
  <si>
    <t>12701964-LBR</t>
  </si>
  <si>
    <t>12701965-LBR</t>
  </si>
  <si>
    <t>(LABOR ONLY) CABLE ASSEMBLY, M</t>
  </si>
  <si>
    <t>12701967-LBR</t>
  </si>
  <si>
    <t>12701968-LBR</t>
  </si>
  <si>
    <t>FISCHER PO 168068</t>
  </si>
  <si>
    <t>553444-0-LBR</t>
  </si>
  <si>
    <t>(LABOR ONLY) CABLE ASSEMBLY, S</t>
  </si>
  <si>
    <t>PASSED QC-COMPLETED</t>
  </si>
  <si>
    <t>553444-1-LBR</t>
  </si>
  <si>
    <t>553445-0-LBR</t>
  </si>
  <si>
    <t>X10</t>
  </si>
  <si>
    <t>SHORT THE RNC55H2500FPB14</t>
  </si>
  <si>
    <t>553488-0-LBR</t>
  </si>
  <si>
    <t>(LABOR ONLY) CABLE ASSEMBLY, E</t>
  </si>
  <si>
    <t>X2</t>
  </si>
  <si>
    <t>JUST NEEDS LABELS</t>
  </si>
  <si>
    <t>553489-0-LBR</t>
  </si>
  <si>
    <t>X3</t>
  </si>
  <si>
    <t>553490-0-LBR</t>
  </si>
  <si>
    <t>PASSED QC-COMPLETE</t>
  </si>
  <si>
    <t>553494-0-LBR</t>
  </si>
  <si>
    <t>553495-0-LBR</t>
  </si>
  <si>
    <t>0151460</t>
  </si>
  <si>
    <t>ACE DEFENSE</t>
  </si>
  <si>
    <t>0168295</t>
  </si>
  <si>
    <t>10656136-011-LBR</t>
  </si>
  <si>
    <t>(LABOR ONLY) WIRING HARNESS, W</t>
  </si>
  <si>
    <t>120047556-LBR</t>
  </si>
  <si>
    <t>(LABOR ONLY) CABLE, ALTNAV RF</t>
  </si>
  <si>
    <t>120047557-LBR</t>
  </si>
  <si>
    <t>(LABOR ONLY) CABLE, BCI RF EXT</t>
  </si>
  <si>
    <t>120047558-LBR</t>
  </si>
  <si>
    <t>(LABOR ONLY) CABLE, BCI RF INT</t>
  </si>
  <si>
    <t>120047559-LBR</t>
  </si>
  <si>
    <t>12566877-LBR</t>
  </si>
  <si>
    <t>12657146-1-LBR</t>
  </si>
  <si>
    <t>(LABOR ONLY) WIRING HARNESS AS</t>
  </si>
  <si>
    <t>12657146-2-LBR</t>
  </si>
  <si>
    <t>12657147-LBR</t>
  </si>
  <si>
    <t>12657148-1-LBR</t>
  </si>
  <si>
    <t>12657148-2-LBR</t>
  </si>
  <si>
    <t>12657305-LBR</t>
  </si>
  <si>
    <t>12657306-LBR</t>
  </si>
  <si>
    <t>12657307-LBR</t>
  </si>
  <si>
    <t>12657308-LBR</t>
  </si>
  <si>
    <t>12657309-1-LBR</t>
  </si>
  <si>
    <t>12657309-2-LBR</t>
  </si>
  <si>
    <t>12657309-3-LBR</t>
  </si>
  <si>
    <t>12657309-4-LBR</t>
  </si>
  <si>
    <t>12657312-LBR</t>
  </si>
  <si>
    <t>12701969-LBR</t>
  </si>
  <si>
    <t>(LABOR ONLY) CABLE ASSEMBLY, H</t>
  </si>
  <si>
    <t>12701970-LBR</t>
  </si>
  <si>
    <t>12701971-LBR</t>
  </si>
  <si>
    <t>12701975-LBR</t>
  </si>
  <si>
    <t>553472-0-LBR</t>
  </si>
  <si>
    <t>X4</t>
  </si>
  <si>
    <t>553472-1-LBR</t>
  </si>
  <si>
    <t>553472-2-LBR</t>
  </si>
  <si>
    <t>553472-3-LBR</t>
  </si>
  <si>
    <t>A1-43362D-LBR</t>
  </si>
  <si>
    <t>(LABOR ONLY) EIAD CABLE</t>
  </si>
  <si>
    <t>0151544</t>
  </si>
  <si>
    <t>SPE7M526P0670</t>
  </si>
  <si>
    <t>9850-53925-3005</t>
  </si>
  <si>
    <t>STRIP, ELECTRICAL,GROUNDING KI</t>
  </si>
  <si>
    <t>0151620</t>
  </si>
  <si>
    <t>1311741019</t>
  </si>
  <si>
    <t>ASM-FAI-REPORT</t>
  </si>
  <si>
    <t>AS9102 FIRST ARTICLE REPORT</t>
  </si>
  <si>
    <t>RY4093812-0802C</t>
  </si>
  <si>
    <t>(DWG P/N: 4093812-0802) SHORTI</t>
  </si>
  <si>
    <t>429961</t>
  </si>
  <si>
    <t>CABLE ASSY, FLOW SWITCH INTERL</t>
  </si>
  <si>
    <t>0150654</t>
  </si>
  <si>
    <t>22208678</t>
  </si>
  <si>
    <t>TQPR16012</t>
  </si>
  <si>
    <t>17008F0008</t>
  </si>
  <si>
    <t>ASM-MISC</t>
  </si>
  <si>
    <t>CHANGE ORDER FOR P/N: 17008F00</t>
  </si>
  <si>
    <t>0151335</t>
  </si>
  <si>
    <t>257786</t>
  </si>
  <si>
    <t>05-21-09423-01</t>
  </si>
  <si>
    <t>CBL, VPN, MOTOR DR, LG FOCUS</t>
  </si>
  <si>
    <t>0151651</t>
  </si>
  <si>
    <t>1000323</t>
  </si>
  <si>
    <t>0151798</t>
  </si>
  <si>
    <t>6031405</t>
  </si>
  <si>
    <t>CBL-10055</t>
  </si>
  <si>
    <t>CABLE, FM8 RS232 FEMALE 10 POS</t>
  </si>
  <si>
    <t>037536208</t>
  </si>
  <si>
    <t>CABLE ASSY, DIFF PUMP, P73, WT</t>
  </si>
  <si>
    <t>0151570</t>
  </si>
  <si>
    <t>1491632</t>
  </si>
  <si>
    <t>12647717-1</t>
  </si>
  <si>
    <t>CABLE HARNESS ETHERNET</t>
  </si>
  <si>
    <t>12647717-2</t>
  </si>
  <si>
    <t>CABLE ASSEMBLY, ETHERNET</t>
  </si>
  <si>
    <t>0150934</t>
  </si>
  <si>
    <t>SPRDL125C0061</t>
  </si>
  <si>
    <t>12940961</t>
  </si>
  <si>
    <t>ACCESSORY KIT,RECOIL EXERCISE</t>
  </si>
  <si>
    <t>0151172</t>
  </si>
  <si>
    <t>SPE4A624D0038_SPE4A625F430Q</t>
  </si>
  <si>
    <t>8900-96812-0000</t>
  </si>
  <si>
    <t>0151173</t>
  </si>
  <si>
    <t>SPE4A624D0038_SPE4A625F430S</t>
  </si>
  <si>
    <t>038451922</t>
  </si>
  <si>
    <t>CABLE ASSY, CHAMBER HEATER CNT</t>
  </si>
  <si>
    <t>17008A0400-15024018</t>
  </si>
  <si>
    <t>0151530</t>
  </si>
  <si>
    <t>MIRPO3880729</t>
  </si>
  <si>
    <t>EE-7412-629-323</t>
  </si>
  <si>
    <t>R-30IB + MBR SW HARNESS 3PB 2.</t>
  </si>
  <si>
    <t>0151666</t>
  </si>
  <si>
    <t>3500128816</t>
  </si>
  <si>
    <t>10775831</t>
  </si>
  <si>
    <t>(403129-02) THERMISTOR INCUBAT</t>
  </si>
  <si>
    <t>0149798</t>
  </si>
  <si>
    <t>4100014704</t>
  </si>
  <si>
    <t>12299570</t>
  </si>
  <si>
    <t>WIRING HARNESS, BRANCHED (1W30</t>
  </si>
  <si>
    <t>L/-</t>
  </si>
  <si>
    <t>12299642</t>
  </si>
  <si>
    <t>WIRING HARNESS (4W5)</t>
  </si>
  <si>
    <t>E/-</t>
  </si>
  <si>
    <t>12484447</t>
  </si>
  <si>
    <t>WIRING HARNESS (1W4)</t>
  </si>
  <si>
    <t>A3014043-5</t>
  </si>
  <si>
    <t>CABLE ASSY, POWER, ELEC, CX-13</t>
  </si>
  <si>
    <t>N/-</t>
  </si>
  <si>
    <t>0151111</t>
  </si>
  <si>
    <t>22250121</t>
  </si>
  <si>
    <t>TQ701555-02</t>
  </si>
  <si>
    <t>SYRINGE COM CABLE</t>
  </si>
  <si>
    <t>0151372</t>
  </si>
  <si>
    <t>996370</t>
  </si>
  <si>
    <t>039537002</t>
  </si>
  <si>
    <t>CABLE ASSY, MX500/800 POWER, 5</t>
  </si>
  <si>
    <t>0151284</t>
  </si>
  <si>
    <t>4100002855</t>
  </si>
  <si>
    <t>861860-2</t>
  </si>
  <si>
    <t>GROUND STRAP, 24"L, W/1/4" LUG</t>
  </si>
  <si>
    <t>F/-</t>
  </si>
  <si>
    <t>0151314</t>
  </si>
  <si>
    <t>SPE4A625D5702_SPE4A626F0252</t>
  </si>
  <si>
    <t>0151730</t>
  </si>
  <si>
    <t>22312856</t>
  </si>
  <si>
    <t>8749612-02</t>
  </si>
  <si>
    <t>CABLE ASSEMBLY, DC MONITOR POW</t>
  </si>
  <si>
    <t>0151663</t>
  </si>
  <si>
    <t>22301518</t>
  </si>
  <si>
    <t>TQPR16033</t>
  </si>
  <si>
    <t>ASSY, CABLE, COMM INTERCONNECT</t>
  </si>
  <si>
    <t>034019206</t>
  </si>
  <si>
    <t>CABLE ASSY, AS00124 TO GP350 I</t>
  </si>
  <si>
    <t>0151661</t>
  </si>
  <si>
    <t>22304438</t>
  </si>
  <si>
    <t>TQ701635</t>
  </si>
  <si>
    <t>CABLE ASSY, SYRINGE POWER</t>
  </si>
  <si>
    <t>TQPR15258-3</t>
  </si>
  <si>
    <t>POWER CABLE, PROCESS PANEL</t>
  </si>
  <si>
    <t>0151662</t>
  </si>
  <si>
    <t>22308350</t>
  </si>
  <si>
    <t>TQPR15241</t>
  </si>
  <si>
    <t>HARNESS ASSY, CELL LET BUTTON,</t>
  </si>
  <si>
    <t>0150276</t>
  </si>
  <si>
    <t>6029714</t>
  </si>
  <si>
    <t>CBL-10054</t>
  </si>
  <si>
    <t>CBL-10056</t>
  </si>
  <si>
    <t>0151416</t>
  </si>
  <si>
    <t>SPE4A626V1269</t>
  </si>
  <si>
    <t>176697-4</t>
  </si>
  <si>
    <t>CABLE ASSY, SATCOM, DATA AND P</t>
  </si>
  <si>
    <t>0151493</t>
  </si>
  <si>
    <t>PERSISTENT SYSTEMS</t>
  </si>
  <si>
    <t>PS00012071</t>
  </si>
  <si>
    <t>CBL-PWR-0008</t>
  </si>
  <si>
    <t>HA 21009-01, CABLE MS3108E12S-</t>
  </si>
  <si>
    <t>0151594</t>
  </si>
  <si>
    <t>0012984713</t>
  </si>
  <si>
    <t>0151741</t>
  </si>
  <si>
    <t>100162986</t>
  </si>
  <si>
    <t>EE-7453-140-020</t>
  </si>
  <si>
    <t>GIGE CAM 24VDC POWER SINGL END</t>
  </si>
  <si>
    <t>0151748</t>
  </si>
  <si>
    <t>SPE7L126P2661</t>
  </si>
  <si>
    <t>A3381419-0</t>
  </si>
  <si>
    <t xml:space="preserve"> ASSEMBLY, KEYBOARD UNIT HOLDE</t>
  </si>
  <si>
    <t>0148631</t>
  </si>
  <si>
    <t>SPE4A621D5AU3_SPE4A624F413R</t>
  </si>
  <si>
    <t>0149228</t>
  </si>
  <si>
    <t>90995987</t>
  </si>
  <si>
    <t>D012R157</t>
  </si>
  <si>
    <t>CABLE ASSY, W99</t>
  </si>
  <si>
    <t>rts</t>
  </si>
  <si>
    <t>0151440</t>
  </si>
  <si>
    <t>SPE4A626V1588</t>
  </si>
  <si>
    <t>170376-3</t>
  </si>
  <si>
    <t>CABLE ASSY. SPEC</t>
  </si>
  <si>
    <t>TQPR15308</t>
  </si>
  <si>
    <t>ASSY, LEAK DETECTOR, DISTRIBUT</t>
  </si>
  <si>
    <t>TQPR15314</t>
  </si>
  <si>
    <t>ASSY, CABLE, FRONT DOOR</t>
  </si>
  <si>
    <t>TQPR15322</t>
  </si>
  <si>
    <t>ASSY, CABLE DB15 TO TOP PLATE</t>
  </si>
  <si>
    <t>0151513</t>
  </si>
  <si>
    <t>22288434</t>
  </si>
  <si>
    <t>TQPR15286</t>
  </si>
  <si>
    <t>ASSY, HARNESS, DOSER OVERRIDE</t>
  </si>
  <si>
    <t>TQPR15232</t>
  </si>
  <si>
    <t>GRAB PLATE HARNESS, LEVEL SENS</t>
  </si>
  <si>
    <t>0151894</t>
  </si>
  <si>
    <t>22322845</t>
  </si>
  <si>
    <t>0151903</t>
  </si>
  <si>
    <t>22322842</t>
  </si>
  <si>
    <t>1152858-000</t>
  </si>
  <si>
    <t>ASSY, CABLE, PROCESS PANEL</t>
  </si>
  <si>
    <t>TQ00S321NK</t>
  </si>
  <si>
    <t>PROCESS, VALVE, 2-WAY, 1/4-28</t>
  </si>
  <si>
    <t>TQ701635-01</t>
  </si>
  <si>
    <t>0151944</t>
  </si>
  <si>
    <t>22322848</t>
  </si>
  <si>
    <t>TQPR15272</t>
  </si>
  <si>
    <t>CABLE ASSY, AC POWER</t>
  </si>
  <si>
    <t>TQPR16017</t>
  </si>
  <si>
    <t>CABLE ASSY, ASG INTERNAL, DIW</t>
  </si>
  <si>
    <t>TQPR16018</t>
  </si>
  <si>
    <t>CABLE ASSY, ASG INTERNAL, VMS</t>
  </si>
  <si>
    <t>0149230</t>
  </si>
  <si>
    <t>90995999</t>
  </si>
  <si>
    <t>D013J776</t>
  </si>
  <si>
    <t>CABLE ASSY, W97</t>
  </si>
  <si>
    <t>0149231</t>
  </si>
  <si>
    <t>90996011</t>
  </si>
  <si>
    <t>D013P181</t>
  </si>
  <si>
    <t>CABLE ASSY, W98</t>
  </si>
  <si>
    <t>REWORK</t>
  </si>
  <si>
    <t>0 (FA RPT RQRD)</t>
  </si>
  <si>
    <t>0150567</t>
  </si>
  <si>
    <t>3500125650</t>
  </si>
  <si>
    <t>10290787</t>
  </si>
  <si>
    <t>(400652) CABLE ASSY, AC INDUCT</t>
  </si>
  <si>
    <t>0151084</t>
  </si>
  <si>
    <t>0000002274</t>
  </si>
  <si>
    <t>60380G524N</t>
  </si>
  <si>
    <t>CIRCUIT CARD ASSEMBLY</t>
  </si>
  <si>
    <t>GG</t>
  </si>
  <si>
    <t>AD-VEO-INT-CBL-FAN</t>
  </si>
  <si>
    <t>ASSY, FAN INTERNAL POWER CABLE</t>
  </si>
  <si>
    <t>AD-VEO2-FAN</t>
  </si>
  <si>
    <t>ASSY, FAN INTERNAL 80MM X 15MM</t>
  </si>
  <si>
    <t>17008A0407</t>
  </si>
  <si>
    <t>0151797</t>
  </si>
  <si>
    <t>6031594</t>
  </si>
  <si>
    <t>CBL-0037</t>
  </si>
  <si>
    <t>FM-6610 CABLE FOR JDK-1295</t>
  </si>
  <si>
    <t>0151893</t>
  </si>
  <si>
    <t>1004051</t>
  </si>
  <si>
    <t>034024304</t>
  </si>
  <si>
    <t>CONN ASSY,FEEDTHRU,POTTED,NIBE</t>
  </si>
  <si>
    <t>ASSY,FAN,60MMX30MM,AC</t>
  </si>
  <si>
    <t>0151411</t>
  </si>
  <si>
    <t>SPE4A724D0126_SPE4A726F0440</t>
  </si>
  <si>
    <t>620610-1</t>
  </si>
  <si>
    <t>READER, RADIO FREQUE</t>
  </si>
  <si>
    <t>0151459</t>
  </si>
  <si>
    <t>538391</t>
  </si>
  <si>
    <t>2700-0139</t>
  </si>
  <si>
    <t>COMUNICATION WIRING ASSY, M.B</t>
  </si>
  <si>
    <t>WE-7147-211-180</t>
  </si>
  <si>
    <t>EP1 Hi-Flex Ext. Cable 18.0M</t>
  </si>
  <si>
    <t>038636601</t>
  </si>
  <si>
    <t>SWITCH ASSY, 350 SRC CVR INTRL</t>
  </si>
  <si>
    <t>0151827</t>
  </si>
  <si>
    <t>0013015447</t>
  </si>
  <si>
    <t>K1785-4</t>
  </si>
  <si>
    <t>HEAVY DUTY CONTROL CABLE (48IN</t>
  </si>
  <si>
    <t>N/U</t>
  </si>
  <si>
    <t>432449</t>
  </si>
  <si>
    <t>CABLE ASSY, SENTRY VALVE TO IN</t>
  </si>
  <si>
    <t>0147658</t>
  </si>
  <si>
    <t>SPE4A624PP603</t>
  </si>
  <si>
    <t>A3354745-001-0</t>
  </si>
  <si>
    <t>9/13 - FAT was completed by DCMA; PAR# 4630536 submitted for incorrect DCMA cage code</t>
  </si>
  <si>
    <t>0151515</t>
  </si>
  <si>
    <t>258511</t>
  </si>
  <si>
    <t>ALH-217312-0096</t>
  </si>
  <si>
    <t>S280 PEV TO ECS POWER</t>
  </si>
  <si>
    <t>0151592</t>
  </si>
  <si>
    <t>SPE7MX24D0023_SPE7MX26F1147</t>
  </si>
  <si>
    <t>170306-1</t>
  </si>
  <si>
    <t>POWER MODULE ASSEMBLY (PMA)</t>
  </si>
  <si>
    <t>0151860</t>
  </si>
  <si>
    <t>0013025014</t>
  </si>
  <si>
    <t>PENDANT CABLE 25FT</t>
  </si>
  <si>
    <t>0151896</t>
  </si>
  <si>
    <t>22320224</t>
  </si>
  <si>
    <t>TQPR15253</t>
  </si>
  <si>
    <t>DISTRIBUTION PLATE HARNESS, FL</t>
  </si>
  <si>
    <t>0149881</t>
  </si>
  <si>
    <t>SPE4A622D0002_SPE4A625F8437</t>
  </si>
  <si>
    <t>13033862</t>
  </si>
  <si>
    <t>CABLE ASSY, SPEC, 8W2</t>
  </si>
  <si>
    <t>1223056-000</t>
  </si>
  <si>
    <t>ASSY, CBL, POTENTIOSTAT POWER,</t>
  </si>
  <si>
    <t>0149075</t>
  </si>
  <si>
    <t>40457016</t>
  </si>
  <si>
    <t>12592405</t>
  </si>
  <si>
    <t>CDET WIREING HARNESS ASSY</t>
  </si>
  <si>
    <t>NEEDS KITTED?</t>
  </si>
  <si>
    <t>12696496</t>
  </si>
  <si>
    <t>CABLE ASSEMBLY P158</t>
  </si>
  <si>
    <t>12696558</t>
  </si>
  <si>
    <t>WIRE HARNESS P402 - MAPS GEN I</t>
  </si>
  <si>
    <t>0151818</t>
  </si>
  <si>
    <t>0013018368</t>
  </si>
  <si>
    <t>K1785-12</t>
  </si>
  <si>
    <t>14 PIN HEAVY DUTY CONT CABLE</t>
  </si>
  <si>
    <t>0151820</t>
  </si>
  <si>
    <t>0013018367</t>
  </si>
  <si>
    <t>K1785-8</t>
  </si>
  <si>
    <t>14 PIN HEAVY DUTY CONT CABLE 8</t>
  </si>
  <si>
    <t>0150685</t>
  </si>
  <si>
    <t>100143750</t>
  </si>
  <si>
    <t>EE-6595-273-098</t>
  </si>
  <si>
    <t>220V,220V 3HP CROSSBEAM CBL 1M</t>
  </si>
  <si>
    <t>0151528</t>
  </si>
  <si>
    <t>100158341</t>
  </si>
  <si>
    <t>WE-6751-212</t>
  </si>
  <si>
    <t>CRT28 JUMPER</t>
  </si>
  <si>
    <t>0151867</t>
  </si>
  <si>
    <t>3500129584</t>
  </si>
  <si>
    <t>10288491</t>
  </si>
  <si>
    <t>(400722-08) CABLE ASSY, GROUND</t>
  </si>
  <si>
    <t>0151892</t>
  </si>
  <si>
    <t>0013030445</t>
  </si>
  <si>
    <t>0150345</t>
  </si>
  <si>
    <t>SPE7M525P4148</t>
  </si>
  <si>
    <t>13033882-5</t>
  </si>
  <si>
    <t>CABLE ASSY, GROUND STRAPS</t>
  </si>
  <si>
    <t>APPROVED FAT 8/21/25</t>
  </si>
  <si>
    <t>0151438</t>
  </si>
  <si>
    <t>SPE4A626D5062_SPE4A626F1596</t>
  </si>
  <si>
    <t>0151439</t>
  </si>
  <si>
    <t>258136</t>
  </si>
  <si>
    <t>BL-11350-2</t>
  </si>
  <si>
    <t>CABLE ASSY, LIMIT SWITCH</t>
  </si>
  <si>
    <t>0151574</t>
  </si>
  <si>
    <t>SPE4A626P5512</t>
  </si>
  <si>
    <t>500364MD-008</t>
  </si>
  <si>
    <t>CABLE ASSEMBLY, POWER, ELECTRI</t>
  </si>
  <si>
    <t>0151947</t>
  </si>
  <si>
    <t>4512534825</t>
  </si>
  <si>
    <t>ISA 352470</t>
  </si>
  <si>
    <t>(5500352470) CABLE, COAX 50 OH</t>
  </si>
  <si>
    <t>17008A0140</t>
  </si>
  <si>
    <t>12656907-1</t>
  </si>
  <si>
    <t>WIRING HARNESS W9E</t>
  </si>
  <si>
    <t>0151751</t>
  </si>
  <si>
    <t>4512512459</t>
  </si>
  <si>
    <t>0151812</t>
  </si>
  <si>
    <t>ASRC FEDERAL ADVANCED RESEARCH</t>
  </si>
  <si>
    <t>AS26-0013</t>
  </si>
  <si>
    <t>12701983</t>
  </si>
  <si>
    <t>GROUND STRAP, A0/A1/A1P2 NAVHU</t>
  </si>
  <si>
    <t>12701984</t>
  </si>
  <si>
    <t>GROUND STRAP, A1P2 MSAS-100</t>
  </si>
  <si>
    <t>987-0021-057</t>
  </si>
  <si>
    <t>987-0021-058</t>
  </si>
  <si>
    <t>432340</t>
  </si>
  <si>
    <t>CBL ASSY GND, WTR CNTL PNL TO</t>
  </si>
  <si>
    <t>0151901</t>
  </si>
  <si>
    <t>0013032964</t>
  </si>
  <si>
    <t>0148914</t>
  </si>
  <si>
    <t>12602990</t>
  </si>
  <si>
    <t xml:space="preserve"> CABLE ASSY SPKR 3353 W200</t>
  </si>
  <si>
    <t>8749559-01</t>
  </si>
  <si>
    <t>RACK MOUNTED PROCESSOR ASSEMBL</t>
  </si>
  <si>
    <t>8749559-02</t>
  </si>
  <si>
    <t>0151168</t>
  </si>
  <si>
    <t>SPE4A625D0010_SPE4A625F408U</t>
  </si>
  <si>
    <t>170414-3</t>
  </si>
  <si>
    <t>CABLE ASSY, GPS, RF, EXTERNAL</t>
  </si>
  <si>
    <t>AD-2PA5003</t>
  </si>
  <si>
    <t>CABLE ASSY, 85 DEG INTERNAL TH</t>
  </si>
  <si>
    <t>034425014</t>
  </si>
  <si>
    <t>CABLE ASSY, ROTATION, ENCODER,</t>
  </si>
  <si>
    <t>432913</t>
  </si>
  <si>
    <t>CABLE ASSY, 3C, POWER 16A, HAR</t>
  </si>
  <si>
    <t>0151816</t>
  </si>
  <si>
    <t>0013018330</t>
  </si>
  <si>
    <t>0151739</t>
  </si>
  <si>
    <t>27948549</t>
  </si>
  <si>
    <t>12603050</t>
  </si>
  <si>
    <t>CABLE ASSY RF 5120 W108</t>
  </si>
  <si>
    <t>0151744</t>
  </si>
  <si>
    <t>27948550</t>
  </si>
  <si>
    <t>12603051</t>
  </si>
  <si>
    <t>CABLE ASSY RF 5120 W109</t>
  </si>
  <si>
    <t>QC 1/19</t>
  </si>
  <si>
    <t>PPAP</t>
  </si>
  <si>
    <t>0151862</t>
  </si>
  <si>
    <t>0013025015</t>
  </si>
  <si>
    <t>0148830</t>
  </si>
  <si>
    <t>SPEA621D5AU3_SPE4A625F0326</t>
  </si>
  <si>
    <t>0151697</t>
  </si>
  <si>
    <t>100161897</t>
  </si>
  <si>
    <t>FAI FOR 432913</t>
  </si>
  <si>
    <t>0151943</t>
  </si>
  <si>
    <t>0013036887</t>
  </si>
  <si>
    <t>0151551</t>
  </si>
  <si>
    <t>22295045</t>
  </si>
  <si>
    <t>1152855-000</t>
  </si>
  <si>
    <t>ASSY, CABLE, LEAK NOWPAK</t>
  </si>
  <si>
    <t>033513921</t>
  </si>
  <si>
    <t>CABLE ASSY, INTERCONN, X14 TO</t>
  </si>
  <si>
    <t>041430088</t>
  </si>
  <si>
    <t>CABLE ASM, PWR, J14, CHILLER</t>
  </si>
  <si>
    <t>0151879</t>
  </si>
  <si>
    <t>0013026428</t>
  </si>
  <si>
    <t>0151885</t>
  </si>
  <si>
    <t>0013028824</t>
  </si>
  <si>
    <t>K4483-8</t>
  </si>
  <si>
    <t>ARC LINK CABLE ASSY, 8FT</t>
  </si>
  <si>
    <t>0151886</t>
  </si>
  <si>
    <t>0013031691</t>
  </si>
  <si>
    <t>0150948</t>
  </si>
  <si>
    <t>SPE4A625PYH72</t>
  </si>
  <si>
    <t>A3354745-001-1</t>
  </si>
  <si>
    <t>9/10/25 PAR# 5109754 submitted for incorrect P/N &amp; incorrect DCMA code</t>
  </si>
  <si>
    <t>0151475</t>
  </si>
  <si>
    <t>0012963709</t>
  </si>
  <si>
    <t>K4483-50</t>
  </si>
  <si>
    <t>ARC LINK CABLE ASSY, 50FT</t>
  </si>
  <si>
    <t>0151482</t>
  </si>
  <si>
    <t>0012966072</t>
  </si>
  <si>
    <t>K4483-25</t>
  </si>
  <si>
    <t>ARC LINK CABLE ASSY, 25FT</t>
  </si>
  <si>
    <t>0151648</t>
  </si>
  <si>
    <t>4522926251</t>
  </si>
  <si>
    <t>TQPR15251</t>
  </si>
  <si>
    <t>REAGENT PLATE HARNESS 1, REFFI</t>
  </si>
  <si>
    <t>TQ283040</t>
  </si>
  <si>
    <t>CABLE ASSY, INTERNAL WIRING HA</t>
  </si>
  <si>
    <t>17008A0408</t>
  </si>
  <si>
    <t>17008E0021</t>
  </si>
  <si>
    <t>12649112-1</t>
  </si>
  <si>
    <t>WIRING HARNESS W27</t>
  </si>
  <si>
    <t>0151686</t>
  </si>
  <si>
    <t>0012999234</t>
  </si>
  <si>
    <t>12701981</t>
  </si>
  <si>
    <t>SERIAL INTERFACE ADAPTER DEVIC</t>
  </si>
  <si>
    <t>8749607-01</t>
  </si>
  <si>
    <t>CABLE ASSEMBLY, MONITOR POWER</t>
  </si>
  <si>
    <t>8749612-01</t>
  </si>
  <si>
    <t>0151506</t>
  </si>
  <si>
    <t>258395</t>
  </si>
  <si>
    <t>17008A0514</t>
  </si>
  <si>
    <t>0151806</t>
  </si>
  <si>
    <t>259455</t>
  </si>
  <si>
    <t>0147891</t>
  </si>
  <si>
    <t>0000001659</t>
  </si>
  <si>
    <t>A3297307</t>
  </si>
  <si>
    <t>0151469</t>
  </si>
  <si>
    <t>0012958452</t>
  </si>
  <si>
    <t>K52107-15</t>
  </si>
  <si>
    <t>TRACTOR CABLE, 15FT (S31694-15</t>
  </si>
  <si>
    <t>0151618</t>
  </si>
  <si>
    <t>SPE4A626V3974</t>
  </si>
  <si>
    <t>NEED BOOTS AND CABLE</t>
  </si>
  <si>
    <t>0151822</t>
  </si>
  <si>
    <t>0013018331</t>
  </si>
  <si>
    <t>CABLE ASBLY</t>
  </si>
  <si>
    <t>120049497-LBR</t>
  </si>
  <si>
    <t>LABOR ONLY FOR A-KIT MAPS GEN</t>
  </si>
  <si>
    <t>120049498-LBR</t>
  </si>
  <si>
    <t>LABOR ONLY FOR B-KIT MAPS GEN</t>
  </si>
  <si>
    <t>120049499-LBR</t>
  </si>
  <si>
    <t>LABOR ONLY FOR KIT ELECTRICAL</t>
  </si>
  <si>
    <t>553430-01-LBR</t>
  </si>
  <si>
    <t>LABOR ONLY FOR HMMWV M997A3 A-</t>
  </si>
  <si>
    <t>553434-01-LBR</t>
  </si>
  <si>
    <t>LABOR ONLY FOR HMMWV M1152A1 A</t>
  </si>
  <si>
    <t>0151941</t>
  </si>
  <si>
    <t>0013035455</t>
  </si>
  <si>
    <t>EXT-FLEX ARCLINK CABLE (8 FT,</t>
  </si>
  <si>
    <t>AD-2PA5002</t>
  </si>
  <si>
    <t>CABLE ASSY, 80 DEG. INTERNAL T</t>
  </si>
  <si>
    <t>AD-CBL-INT-AMPH-4</t>
  </si>
  <si>
    <t>CABLE ASSY, INTERNAL POWER CAB</t>
  </si>
  <si>
    <t>0151626</t>
  </si>
  <si>
    <t>SPE4A626P7814</t>
  </si>
  <si>
    <t>179198-5</t>
  </si>
  <si>
    <t>8749690-01</t>
  </si>
  <si>
    <t>ELECTRONIC ENCLOSURE ASSEMBLY</t>
  </si>
  <si>
    <t>8749690-01-LBR</t>
  </si>
  <si>
    <t>EEA LBR</t>
  </si>
  <si>
    <t>0151895</t>
  </si>
  <si>
    <t>22325974</t>
  </si>
  <si>
    <t>0151897</t>
  </si>
  <si>
    <t>22329117</t>
  </si>
  <si>
    <t>TQF28215</t>
  </si>
  <si>
    <t>CABLE ASSY, ASG MODULE POWER C</t>
  </si>
  <si>
    <t>0151705</t>
  </si>
  <si>
    <t>SPE4A626P9191</t>
  </si>
  <si>
    <t>8714856</t>
  </si>
  <si>
    <t>CABLE ASSY, NTDS A LOOPBACK</t>
  </si>
  <si>
    <t>0151256</t>
  </si>
  <si>
    <t>SPE4A625D5934_SPE4A625F463R</t>
  </si>
  <si>
    <t>8900-54065-0000</t>
  </si>
  <si>
    <t>0151418</t>
  </si>
  <si>
    <t>SPE4A626V1402</t>
  </si>
  <si>
    <t>12696555</t>
  </si>
  <si>
    <t>WIRE HARNESS W905 - MAPS GEN I</t>
  </si>
  <si>
    <t>CBL, CHASSIS GND,MET DIST-ER</t>
  </si>
  <si>
    <t>CBL, CHASSIS GND,XY DRIVER-ER</t>
  </si>
  <si>
    <t>80-535-6387317-29</t>
  </si>
  <si>
    <t>0151295</t>
  </si>
  <si>
    <t>995522</t>
  </si>
  <si>
    <t>034036111</t>
  </si>
  <si>
    <t>MAGNETIC SENSOR ASSY, P181</t>
  </si>
  <si>
    <t>0151582</t>
  </si>
  <si>
    <t>258751</t>
  </si>
  <si>
    <t>12696557</t>
  </si>
  <si>
    <t>WIRE HARNESS P402 MAPS GEN II</t>
  </si>
  <si>
    <t>0151915</t>
  </si>
  <si>
    <t>SPE7L126V4824</t>
  </si>
  <si>
    <t>500993-25-N</t>
  </si>
  <si>
    <t>CAP-PLUG,PROTECTIVE ,13034108-</t>
  </si>
  <si>
    <t>0151000</t>
  </si>
  <si>
    <t>SPE4A622D0090_SPE4A625F363Y</t>
  </si>
  <si>
    <t>13033871</t>
  </si>
  <si>
    <t>CABLE ASSYSPEC, W11</t>
  </si>
  <si>
    <t>12656924-1</t>
  </si>
  <si>
    <t>WIRING HARNESS W27A</t>
  </si>
  <si>
    <t>0151665</t>
  </si>
  <si>
    <t>SPE4A626V4535</t>
  </si>
  <si>
    <t>0151689</t>
  </si>
  <si>
    <t>MS13E0196584</t>
  </si>
  <si>
    <t>0151745</t>
  </si>
  <si>
    <t>SPE4A626V5170</t>
  </si>
  <si>
    <t>CBL,VPN,MOTOR DR,LG FOCUS</t>
  </si>
  <si>
    <t>0151913</t>
  </si>
  <si>
    <t>SPE7M126V5261</t>
  </si>
  <si>
    <t>620730-1</t>
  </si>
  <si>
    <t>POWER SUPPLY</t>
  </si>
  <si>
    <t>8749632-01</t>
  </si>
  <si>
    <t>CABLE ASSEMBLY, CMT SP CKTS</t>
  </si>
  <si>
    <t>8749635-01</t>
  </si>
  <si>
    <t>CABLE ASSEMBLY, LS-653 SP CKTS</t>
  </si>
  <si>
    <t>0151642</t>
  </si>
  <si>
    <t>0012989479</t>
  </si>
  <si>
    <t>K1785-25</t>
  </si>
  <si>
    <t>CONTROL TO WIRE FEEDED CABLE 2</t>
  </si>
  <si>
    <t>0151643</t>
  </si>
  <si>
    <t>0012989480</t>
  </si>
  <si>
    <t>0151546</t>
  </si>
  <si>
    <t>0012971170</t>
  </si>
  <si>
    <t>0151920</t>
  </si>
  <si>
    <t>SPE7L126P3750</t>
  </si>
  <si>
    <t>D1-43397D</t>
  </si>
  <si>
    <t>0151805</t>
  </si>
  <si>
    <t>1110361173</t>
  </si>
  <si>
    <t>4248881</t>
  </si>
  <si>
    <t>CABLE ASSY CEU SMC/SMC 75OHM E</t>
  </si>
  <si>
    <t>0151090</t>
  </si>
  <si>
    <t>1473206</t>
  </si>
  <si>
    <t>501474</t>
  </si>
  <si>
    <t>12657131, WIRING HARNESS ASSEM</t>
  </si>
  <si>
    <t>501475</t>
  </si>
  <si>
    <t>12657670, WIRING HARNESS ASSEM</t>
  </si>
  <si>
    <t>501476</t>
  </si>
  <si>
    <t>12657133, WIRING HARNESS ASSEM</t>
  </si>
  <si>
    <t>501477</t>
  </si>
  <si>
    <t>12657134, WIRING HARNESS, W9G</t>
  </si>
  <si>
    <t>501478</t>
  </si>
  <si>
    <t>12657135, WIRING HARNESS, W12F</t>
  </si>
  <si>
    <t>501479</t>
  </si>
  <si>
    <t>12657136, WIRING HARNESS ASSEM</t>
  </si>
  <si>
    <t>501480</t>
  </si>
  <si>
    <t>12657137,  WIRING HARNESS ASSE</t>
  </si>
  <si>
    <t>501481</t>
  </si>
  <si>
    <t>12657147, WIRING HARNESS, W110</t>
  </si>
  <si>
    <t>501482</t>
  </si>
  <si>
    <t>12657301, WIRING HARNESS ASSEM</t>
  </si>
  <si>
    <t>501483</t>
  </si>
  <si>
    <t>12657302, WIRING HARNESS ASSEM</t>
  </si>
  <si>
    <t>501484</t>
  </si>
  <si>
    <t>12657304, WIRING HARNESS ASSEM</t>
  </si>
  <si>
    <t>501485</t>
  </si>
  <si>
    <t>12657305, WIRING HARNESS ASSEM</t>
  </si>
  <si>
    <t>501486</t>
  </si>
  <si>
    <t>12657306, WIRING HARNESS ASSEM</t>
  </si>
  <si>
    <t>501487</t>
  </si>
  <si>
    <t>12657307, WIRING HARNESS, W109</t>
  </si>
  <si>
    <t>501488</t>
  </si>
  <si>
    <t>12657308, WIRING HARNESS ASSEM</t>
  </si>
  <si>
    <t>501489</t>
  </si>
  <si>
    <t>12657312, WIRING HARNESS ASSEM</t>
  </si>
  <si>
    <t>501490</t>
  </si>
  <si>
    <t>12657652, WIRING HARNESS ASSEM</t>
  </si>
  <si>
    <t>501491</t>
  </si>
  <si>
    <t>12710184, WIRING HARNESS ASSEM</t>
  </si>
  <si>
    <t>501492</t>
  </si>
  <si>
    <t>12710190, WIRING HARNESS ASSEM</t>
  </si>
  <si>
    <t>501493</t>
  </si>
  <si>
    <t>12710191, WIRING HARNESS W513G</t>
  </si>
  <si>
    <t>501494</t>
  </si>
  <si>
    <t>10656136-011,  WIRING HARNESS,</t>
  </si>
  <si>
    <t>501495</t>
  </si>
  <si>
    <t>12657139-2, WIRING HARNESS ASS</t>
  </si>
  <si>
    <t>501496</t>
  </si>
  <si>
    <t>12657139-3, WIRING HARNESS ASS</t>
  </si>
  <si>
    <t>501497</t>
  </si>
  <si>
    <t>12657140-3, WIRING HARNESS W51</t>
  </si>
  <si>
    <t>501498</t>
  </si>
  <si>
    <t>12657141-2, WIRING HARNESS ASS</t>
  </si>
  <si>
    <t>501499</t>
  </si>
  <si>
    <t>12657146-1, WIRING HARNESS ASS</t>
  </si>
  <si>
    <t>501500</t>
  </si>
  <si>
    <t>12657146-2, WIRING HARNESS ASS</t>
  </si>
  <si>
    <t>501501</t>
  </si>
  <si>
    <t>12657148-1,  WIRING HARNESS AS</t>
  </si>
  <si>
    <t>501502</t>
  </si>
  <si>
    <t>12657148-2, WIRING HARNESS ASS</t>
  </si>
  <si>
    <t>501503</t>
  </si>
  <si>
    <t>12657309-1, WIRING HARNESS ASS</t>
  </si>
  <si>
    <t>501504</t>
  </si>
  <si>
    <t>12657309-2, WIRING HARNESS ASS</t>
  </si>
  <si>
    <t>501505</t>
  </si>
  <si>
    <t>12657309-3 , WIRING HARNESS AS</t>
  </si>
  <si>
    <t>501506</t>
  </si>
  <si>
    <t>12657309-4, WIRING HARNESS ASS</t>
  </si>
  <si>
    <t>501507</t>
  </si>
  <si>
    <t>553444-0, CABLE ASSEMBLY, SPEC</t>
  </si>
  <si>
    <t>501508</t>
  </si>
  <si>
    <t>553444-1, CABLE ASSEMBLY, SPEC</t>
  </si>
  <si>
    <t>501509</t>
  </si>
  <si>
    <t>553445-0, CABLE ASSEMBLY, SPEC</t>
  </si>
  <si>
    <t>501510</t>
  </si>
  <si>
    <t>553472-2, CABLE ASSEMBLY SPECI</t>
  </si>
  <si>
    <t>501511</t>
  </si>
  <si>
    <t>553472-3, CABLE ASSEMBLY, SPEC</t>
  </si>
  <si>
    <t>501512</t>
  </si>
  <si>
    <t>553488-0, CABLE ASSEMBLY, ELEC</t>
  </si>
  <si>
    <t>501513</t>
  </si>
  <si>
    <t>553489-0, CABLE ASSEMBLY, ELEC</t>
  </si>
  <si>
    <t>501514</t>
  </si>
  <si>
    <t>553490-0, CABLE ASSEMBLY, SPEC</t>
  </si>
  <si>
    <t>501515</t>
  </si>
  <si>
    <t>553494-0, CABLE ASSEMBLY, SPEC</t>
  </si>
  <si>
    <t>501516</t>
  </si>
  <si>
    <t>553495-0, CABLE ASSEMBLY, SPEC</t>
  </si>
  <si>
    <t>501517</t>
  </si>
  <si>
    <t>553496-4, CABLE ASSEMBLY SPECI</t>
  </si>
  <si>
    <t>501518</t>
  </si>
  <si>
    <t>553496-1, CABLE ASSEMBLY SPECI</t>
  </si>
  <si>
    <t>501520</t>
  </si>
  <si>
    <t>12566877, CABLE ASSEMBLY, SPEC</t>
  </si>
  <si>
    <t>501521</t>
  </si>
  <si>
    <t>A1-43362D, ADAPTER J7 EIAD ETH</t>
  </si>
  <si>
    <t>501523</t>
  </si>
  <si>
    <t>553472-0, CABLE ASSEMBLY, SPEC</t>
  </si>
  <si>
    <t>501524</t>
  </si>
  <si>
    <t>553472-1, CABLE ASSEMBLY, SPEC</t>
  </si>
  <si>
    <t>501525</t>
  </si>
  <si>
    <t>553496-0,CABLE ASSEMBLY, SPECI</t>
  </si>
  <si>
    <t>501526</t>
  </si>
  <si>
    <t>553496-3, CABLE ASSEMBLY, SPEC</t>
  </si>
  <si>
    <t>501527</t>
  </si>
  <si>
    <t>12083-0707-A006, CABLE ASSEMBL</t>
  </si>
  <si>
    <t>501528</t>
  </si>
  <si>
    <t>12043-2854-A006, CABLE ASSEMBL</t>
  </si>
  <si>
    <t>501529</t>
  </si>
  <si>
    <t>11400-1033-A005, CABLE ASSEMBL</t>
  </si>
  <si>
    <t>501532</t>
  </si>
  <si>
    <t>987-0021-058, CABLE ASSEMBLY,</t>
  </si>
  <si>
    <t>501533</t>
  </si>
  <si>
    <t>987-0021-057, CABLE ASSEMBLY,</t>
  </si>
  <si>
    <t>501536</t>
  </si>
  <si>
    <t>3501005-501, CABLE ASSEMBLY EX</t>
  </si>
  <si>
    <t>501538</t>
  </si>
  <si>
    <t>12701975, CABLE ASSEMBLY, HALL</t>
  </si>
  <si>
    <t>501539</t>
  </si>
  <si>
    <t>12701971, CABLE ASSEMBLY, SMA</t>
  </si>
  <si>
    <t>501540</t>
  </si>
  <si>
    <t>12701970, CABLE ASSEMBLY, SMA</t>
  </si>
  <si>
    <t>501541</t>
  </si>
  <si>
    <t>12701969, CABLE ASSEMBLY HALL</t>
  </si>
  <si>
    <t>501542</t>
  </si>
  <si>
    <t>12701968, CABLE ASSEMBLY, MSAS</t>
  </si>
  <si>
    <t>501543</t>
  </si>
  <si>
    <t>12701967, CABLE ASSEMBLY, MSAS</t>
  </si>
  <si>
    <t>501544</t>
  </si>
  <si>
    <t>12701965, CABLE ASSEMBLY MSAS</t>
  </si>
  <si>
    <t>501545</t>
  </si>
  <si>
    <t>12701964, CABLE ASSEMBLY, NAVH</t>
  </si>
  <si>
    <t>501546</t>
  </si>
  <si>
    <t>12701963, CABLE ASSEMBLY, NAVH</t>
  </si>
  <si>
    <t>501547</t>
  </si>
  <si>
    <t>120047552, HARNESS, MAPS INTER</t>
  </si>
  <si>
    <t>501548</t>
  </si>
  <si>
    <t>120047553, CABLE, DAGR/MFOCS S</t>
  </si>
  <si>
    <t>501550</t>
  </si>
  <si>
    <t>120047555, CABLE DAGR/RADIO SE</t>
  </si>
  <si>
    <t>501551</t>
  </si>
  <si>
    <t>120047556, CABLE, ALTNAV RF EX</t>
  </si>
  <si>
    <t>501552</t>
  </si>
  <si>
    <t>120047557,  CABLE, BCI RF EXTE</t>
  </si>
  <si>
    <t>501553</t>
  </si>
  <si>
    <t>120047558, CABLE, BCI RF INTER</t>
  </si>
  <si>
    <t>501554</t>
  </si>
  <si>
    <t>120047559, CABLE, ALTNAV RF IN</t>
  </si>
  <si>
    <t>501555</t>
  </si>
  <si>
    <t>120047560, HARNESS, MAPS EXTER</t>
  </si>
  <si>
    <t>501556</t>
  </si>
  <si>
    <t>120047627, SPEED SENSOR ASSY,</t>
  </si>
  <si>
    <t>501557</t>
  </si>
  <si>
    <t>120049497, A-KIT, MAPS GEN II,</t>
  </si>
  <si>
    <t>501560</t>
  </si>
  <si>
    <t>120049498, BKIT MAPS GEN II HE</t>
  </si>
  <si>
    <t>501561</t>
  </si>
  <si>
    <t>120049499, KIT ELECTRICAL MAPS</t>
  </si>
  <si>
    <t>501562</t>
  </si>
  <si>
    <t>3145-RTV, DOWSIL 3145 RTV ADHE</t>
  </si>
  <si>
    <t>501563</t>
  </si>
  <si>
    <t>A-A-59313, THREAD COMPOUND ANT</t>
  </si>
  <si>
    <t>501564</t>
  </si>
  <si>
    <t>LOCTITE-243, LOCTITE-243 THREA</t>
  </si>
  <si>
    <t>501565</t>
  </si>
  <si>
    <t>LOCTITE-271,  THREADLOCKER RED</t>
  </si>
  <si>
    <t>501566</t>
  </si>
  <si>
    <t>553430-01, HMMWV M997A3 A-KIT</t>
  </si>
  <si>
    <t>501567</t>
  </si>
  <si>
    <t>553434-01, HMMWV M1152A1 AKIT</t>
  </si>
  <si>
    <t>0149073</t>
  </si>
  <si>
    <t>SPE4A621D5AU3_SPE4A625F2184</t>
  </si>
  <si>
    <t>0150343</t>
  </si>
  <si>
    <t>SPE4A625PR721</t>
  </si>
  <si>
    <t>170407-5</t>
  </si>
  <si>
    <t>CABLE ASSY, DATA/POWER EXTERNA</t>
  </si>
  <si>
    <t>IP SANJAY</t>
  </si>
  <si>
    <t>0150778</t>
  </si>
  <si>
    <t>100145647</t>
  </si>
  <si>
    <t>0151355</t>
  </si>
  <si>
    <t>100155537</t>
  </si>
  <si>
    <t>EE-6834-611-002</t>
  </si>
  <si>
    <t>MANUAL BRAKE RELEASE JUMPER</t>
  </si>
  <si>
    <t>0151749</t>
  </si>
  <si>
    <t>SPE4A626PA141</t>
  </si>
  <si>
    <t>8FT MOLDED LRAS POWER CABLE</t>
  </si>
  <si>
    <t>0151763</t>
  </si>
  <si>
    <t>SPE4A626V5574</t>
  </si>
  <si>
    <t>A3382290-1</t>
  </si>
  <si>
    <t>SHORT THE D38999/20WD19SN</t>
  </si>
  <si>
    <t>0151832</t>
  </si>
  <si>
    <t>SPE7MX24D0023_SPE7MX26F2299</t>
  </si>
  <si>
    <t>12701969</t>
  </si>
  <si>
    <t>CABLE ASSEMBLY, HALL EFFECT SE</t>
  </si>
  <si>
    <t>12701975</t>
  </si>
  <si>
    <t>0151676</t>
  </si>
  <si>
    <t>0012995023</t>
  </si>
  <si>
    <t>K2709-50</t>
  </si>
  <si>
    <t>WIRE DRIVE CABLE 50FT. DWG: L1</t>
  </si>
  <si>
    <t>0151817</t>
  </si>
  <si>
    <t>0013017319</t>
  </si>
  <si>
    <t>ARCLINK SPLITTER CABLE</t>
  </si>
  <si>
    <t>0151891</t>
  </si>
  <si>
    <t>LINCOLN ELECTRIC CO.</t>
  </si>
  <si>
    <t>0013028825</t>
  </si>
  <si>
    <t>0151214</t>
  </si>
  <si>
    <t>SPE4A625P0Z51</t>
  </si>
  <si>
    <t>A3354674-001-4</t>
  </si>
  <si>
    <t>7609597</t>
  </si>
  <si>
    <t>ANODE, CONNECTOR PLATE</t>
  </si>
  <si>
    <t>7609601</t>
  </si>
  <si>
    <t>PLATE, CONNECTOR</t>
  </si>
  <si>
    <t>CDRL A001</t>
  </si>
  <si>
    <t>CERTIFICATION/ DATA REPORT - C</t>
  </si>
  <si>
    <t>CDRL A002</t>
  </si>
  <si>
    <t>CERTIFICATION / DATA REPORT -C</t>
  </si>
  <si>
    <t>CDRL A003</t>
  </si>
  <si>
    <t>TEST / INSPECTION REPORT - FIN</t>
  </si>
  <si>
    <t>0151644</t>
  </si>
  <si>
    <t>0012988282</t>
  </si>
  <si>
    <t>K52107-25</t>
  </si>
  <si>
    <t>TRACTOR CABLE, 25FT (S31694-25</t>
  </si>
  <si>
    <t>0151639</t>
  </si>
  <si>
    <t>0012988616</t>
  </si>
  <si>
    <t>0150947</t>
  </si>
  <si>
    <t>4100016805</t>
  </si>
  <si>
    <t>A3014031-12</t>
  </si>
  <si>
    <t>CABLE ASSY, RADIO FREQUENCY CG</t>
  </si>
  <si>
    <t>13105182-2</t>
  </si>
  <si>
    <t>HARNESS ASSEMBLY ADAPTER (2W98</t>
  </si>
  <si>
    <t>X1</t>
  </si>
  <si>
    <t>0151917</t>
  </si>
  <si>
    <t>SPE7L26V4902</t>
  </si>
  <si>
    <t>9850-96000-0002</t>
  </si>
  <si>
    <t>HARDWARE KIT,ELECTR</t>
  </si>
  <si>
    <t>0151576</t>
  </si>
  <si>
    <t>MS13E0195793</t>
  </si>
  <si>
    <t>0150057</t>
  </si>
  <si>
    <t>0165545</t>
  </si>
  <si>
    <t>8749559-01-LBR</t>
  </si>
  <si>
    <t>RMP ASSY RT-LBR</t>
  </si>
  <si>
    <t>8749559-02-LBR</t>
  </si>
  <si>
    <t>ATX RMP ASSY-LBR</t>
  </si>
  <si>
    <t>8749559-03-LBR</t>
  </si>
  <si>
    <t>0151315</t>
  </si>
  <si>
    <t>SPE4A622D0090_SPE4A626F0248</t>
  </si>
  <si>
    <t>13033874</t>
  </si>
  <si>
    <t>CABLE ASSY, SPEC, M119  8W12</t>
  </si>
  <si>
    <t>IP MD</t>
  </si>
  <si>
    <t>10361628</t>
  </si>
  <si>
    <t>(400661) CABLE ASSY, OPTICAL S</t>
  </si>
  <si>
    <t>0151216</t>
  </si>
  <si>
    <t>SPE4A622D0090_SPE4A625F452Z</t>
  </si>
  <si>
    <t>0151919</t>
  </si>
  <si>
    <t>SPE4A626PD754</t>
  </si>
  <si>
    <t>8900-52089-0002</t>
  </si>
  <si>
    <t>CABLE ASSY, RADI</t>
  </si>
  <si>
    <t>0151227</t>
  </si>
  <si>
    <t>W912CH25C0073</t>
  </si>
  <si>
    <t>12918942</t>
  </si>
  <si>
    <t>WIRING HARNESS,BRANCHED</t>
  </si>
  <si>
    <t>881335-3</t>
  </si>
  <si>
    <t>HARNESS, WIRING, SERIAL DATA,</t>
  </si>
  <si>
    <t>0151425</t>
  </si>
  <si>
    <t>100156832</t>
  </si>
  <si>
    <t>17008A0418</t>
  </si>
  <si>
    <t>CABLE ASSEMBLY, SPEAKER AUDIO,</t>
  </si>
  <si>
    <t>17008A0513</t>
  </si>
  <si>
    <t>0151452</t>
  </si>
  <si>
    <t>1110352761</t>
  </si>
  <si>
    <t>4110234BL-AD240</t>
  </si>
  <si>
    <t>CABLE ASSY HCU EXT 20FT LS BOO</t>
  </si>
  <si>
    <t>0151688</t>
  </si>
  <si>
    <t>MS13E0196528</t>
  </si>
  <si>
    <t>ALH-216014-0196</t>
  </si>
  <si>
    <t>CABLE ASSY,N-MALE, N-MALE,90 D</t>
  </si>
  <si>
    <t>FAI FEE LINE 4 ALH-216014-0196</t>
  </si>
  <si>
    <t>0151914</t>
  </si>
  <si>
    <t>SPE4A626V7155</t>
  </si>
  <si>
    <t>0151407</t>
  </si>
  <si>
    <t>SPE4A622D0199_SPE4A626F0857</t>
  </si>
  <si>
    <t>170376-1</t>
  </si>
  <si>
    <t>CABLE ASSY, POWER, ELECTRICAL</t>
  </si>
  <si>
    <t>12696554</t>
  </si>
  <si>
    <t>0151918</t>
  </si>
  <si>
    <t>SPE4A626PD431</t>
  </si>
  <si>
    <t>0151761</t>
  </si>
  <si>
    <t>0013010559</t>
  </si>
  <si>
    <t>0151774</t>
  </si>
  <si>
    <t>PO00005529</t>
  </si>
  <si>
    <t>ALH-217273-003</t>
  </si>
  <si>
    <t>S280 PEV TO MAST POWER</t>
  </si>
  <si>
    <t>FAI FEE LINE 3  ALH-217273-003</t>
  </si>
  <si>
    <t>CHANGE ORDER FOR PN 17008F0008</t>
  </si>
  <si>
    <t>13785898-0072</t>
  </si>
  <si>
    <t>CABLE, 3C-12 SHIELD</t>
  </si>
  <si>
    <t>FAI FEE LINE  1  13785898-0072</t>
  </si>
  <si>
    <t>0151525</t>
  </si>
  <si>
    <t>P010293041</t>
  </si>
  <si>
    <t>CHANGE ORDER TO P/N: 17008F008</t>
  </si>
  <si>
    <t>0151899</t>
  </si>
  <si>
    <t>0013030446</t>
  </si>
  <si>
    <t>12701968</t>
  </si>
  <si>
    <t>CABLE ASSEMBLY, MSAS MAINTENAN</t>
  </si>
  <si>
    <t>A1-43362D</t>
  </si>
  <si>
    <t>ADAPTER, J7 EIAD ETHERNET INTE</t>
  </si>
  <si>
    <t>ARL</t>
  </si>
  <si>
    <t>0151870</t>
  </si>
  <si>
    <t>MS13E0198030</t>
  </si>
  <si>
    <t>0151693</t>
  </si>
  <si>
    <t>2600003907</t>
  </si>
  <si>
    <t>327419-6</t>
  </si>
  <si>
    <t>12701963</t>
  </si>
  <si>
    <t>CABLE ASSEMBLY, NAVHUB J1-4 DE</t>
  </si>
  <si>
    <t>12701964</t>
  </si>
  <si>
    <t>CABLE ASSEMBLY, NAVHUB J6, I/O</t>
  </si>
  <si>
    <t>12701965</t>
  </si>
  <si>
    <t>CABLE ASSEMBLY, MSAS J1 BREAKO</t>
  </si>
  <si>
    <t>12701967</t>
  </si>
  <si>
    <t>CABLE ASSEMBLY, MSAS/NAVHUB PO</t>
  </si>
  <si>
    <t>12343383</t>
  </si>
  <si>
    <t>RELAY ASSEMBLY</t>
  </si>
  <si>
    <t>0151292</t>
  </si>
  <si>
    <t>SPRRA225D0020_SPRRA225F0180</t>
  </si>
  <si>
    <t>13502510</t>
  </si>
  <si>
    <t>CABLE ASSY, W101</t>
  </si>
  <si>
    <t>0151627</t>
  </si>
  <si>
    <t>100160771</t>
  </si>
  <si>
    <t>0151274</t>
  </si>
  <si>
    <t>4100001209</t>
  </si>
  <si>
    <t>12350834-1</t>
  </si>
  <si>
    <t>SEMICONDUCTOR DEVICE</t>
  </si>
  <si>
    <t>ALH-214012-0600</t>
  </si>
  <si>
    <t>CABLE ASSY, 100A POWER INPUT A</t>
  </si>
  <si>
    <t>FAI FEE LINE 5  ALH-214012-060</t>
  </si>
  <si>
    <t>0151881</t>
  </si>
  <si>
    <t>0013027627</t>
  </si>
  <si>
    <t>S30989</t>
  </si>
  <si>
    <t>TRACTOR CABLE INPUT PIGTAIL</t>
  </si>
  <si>
    <t>0151802</t>
  </si>
  <si>
    <t>000002392</t>
  </si>
  <si>
    <t>9396044</t>
  </si>
  <si>
    <t>PANEL ASSEMBLY , BLANK</t>
  </si>
  <si>
    <t>0151747</t>
  </si>
  <si>
    <t>SPE4A626P9853</t>
  </si>
  <si>
    <t>13033865</t>
  </si>
  <si>
    <t>CABLE ASSY, 8W5 , PWR TO PUBS</t>
  </si>
  <si>
    <t>0150300</t>
  </si>
  <si>
    <t>254647</t>
  </si>
  <si>
    <t>BL-15676-1</t>
  </si>
  <si>
    <t>HARNESS ASSEMBLY</t>
  </si>
  <si>
    <t>8749522-05</t>
  </si>
  <si>
    <t>MOTHERBOARD A SUBASSEMBLY</t>
  </si>
  <si>
    <t>8749522-06</t>
  </si>
  <si>
    <t>8749522-05-LBR</t>
  </si>
  <si>
    <t>MOTHERBOARD A SUBASSY-LBR</t>
  </si>
  <si>
    <t>8749522-06-LBR</t>
  </si>
  <si>
    <t>0150675</t>
  </si>
  <si>
    <t>4100016501</t>
  </si>
  <si>
    <t>AB/-</t>
  </si>
  <si>
    <t>0151298</t>
  </si>
  <si>
    <t>4100000730</t>
  </si>
  <si>
    <t>A3206132</t>
  </si>
  <si>
    <t>CABLE ASSY, GROUND 18INCH</t>
  </si>
  <si>
    <t>RTS-NEEDS PACKAGED</t>
  </si>
  <si>
    <t>WIP 5%</t>
  </si>
  <si>
    <t>WIP 50%</t>
  </si>
  <si>
    <t>WIP 60 ARE 100%-140 ARE 50%</t>
  </si>
  <si>
    <t>13763422-6</t>
  </si>
  <si>
    <t>CABLE ASSY, RF, COAX, 75 OHM,</t>
  </si>
  <si>
    <t>13763422-7</t>
  </si>
  <si>
    <t>13763423-102</t>
  </si>
  <si>
    <t>CABLE ASSY - 4 CONDR, 16 AWG,</t>
  </si>
  <si>
    <t>13763423-105</t>
  </si>
  <si>
    <t>CORD, POWER, N5-15 TO C13 LSZH</t>
  </si>
  <si>
    <t>13763423-107</t>
  </si>
  <si>
    <t>13763423-108</t>
  </si>
  <si>
    <t>13763423-109</t>
  </si>
  <si>
    <t>13763423-110</t>
  </si>
  <si>
    <t>13763423-111</t>
  </si>
  <si>
    <t>CABLE ASSY -DVI-DP, 28 AWG, OA</t>
  </si>
  <si>
    <t>13763423-113</t>
  </si>
  <si>
    <t>13763423-117</t>
  </si>
  <si>
    <t>13763423-121</t>
  </si>
  <si>
    <t>13763423-122</t>
  </si>
  <si>
    <t>13763423-123</t>
  </si>
  <si>
    <t>CABLE ASSY - RF COAX,50 OHM,0.</t>
  </si>
  <si>
    <t>13763423-124</t>
  </si>
  <si>
    <t>13763423-125</t>
  </si>
  <si>
    <t>13763423-126</t>
  </si>
  <si>
    <t>13763423-14</t>
  </si>
  <si>
    <t>13763423-152</t>
  </si>
  <si>
    <t>13763423-156</t>
  </si>
  <si>
    <t>13763423-157</t>
  </si>
  <si>
    <t>CABLE ASSY - CAT6A, SHLD, LSZH</t>
  </si>
  <si>
    <t>13763423-2</t>
  </si>
  <si>
    <t>13763423-23</t>
  </si>
  <si>
    <t>13763423-24</t>
  </si>
  <si>
    <t>13763423-25</t>
  </si>
  <si>
    <t>13763423-26</t>
  </si>
  <si>
    <t>13763423-27</t>
  </si>
  <si>
    <t>13763423-3</t>
  </si>
  <si>
    <t>13763423-32</t>
  </si>
  <si>
    <t>CABLE ASSY - RF COAX, 50 OHM 0</t>
  </si>
  <si>
    <t>13763423-33</t>
  </si>
  <si>
    <t>CABLE ASSY - RF, COAX, 50 OHM</t>
  </si>
  <si>
    <t>13763423-35</t>
  </si>
  <si>
    <t>13763423-36</t>
  </si>
  <si>
    <t>13763423-37</t>
  </si>
  <si>
    <t>13763423-39</t>
  </si>
  <si>
    <t>13763423-4</t>
  </si>
  <si>
    <t>13763423-42</t>
  </si>
  <si>
    <t>13763423-49</t>
  </si>
  <si>
    <t>13763423-5</t>
  </si>
  <si>
    <t>13763423-50</t>
  </si>
  <si>
    <t>13763423-51</t>
  </si>
  <si>
    <t>13763423-53</t>
  </si>
  <si>
    <t>CABLE ASSY -RF,COAX,50 OHM,0.2</t>
  </si>
  <si>
    <t>13763423-62</t>
  </si>
  <si>
    <t>ORD, POWER, N5-15 TO C13 LSZH</t>
  </si>
  <si>
    <t>13763423-63</t>
  </si>
  <si>
    <t>13763423-64</t>
  </si>
  <si>
    <t>13763423-65</t>
  </si>
  <si>
    <t>CABLE ASSY - DVI-DP, 28 AWG, O</t>
  </si>
  <si>
    <t>13763423-66</t>
  </si>
  <si>
    <t>13763423-67</t>
  </si>
  <si>
    <t>13763423-69</t>
  </si>
  <si>
    <t>13763423-70</t>
  </si>
  <si>
    <t>COAX, RF, 50 OHM, 0.242 IN OD</t>
  </si>
  <si>
    <t>13763423-71</t>
  </si>
  <si>
    <t>13763423-72</t>
  </si>
  <si>
    <t>CABLE ASSY - RF, COAX, 75 OHM,</t>
  </si>
  <si>
    <t>13763423-74</t>
  </si>
  <si>
    <t>13763423-76</t>
  </si>
  <si>
    <t>13763423-77</t>
  </si>
  <si>
    <t>13763423-78</t>
  </si>
  <si>
    <t>13763423-79</t>
  </si>
  <si>
    <t>13763423-8</t>
  </si>
  <si>
    <t>13763423-81</t>
  </si>
  <si>
    <t>COAX, RF, 50 OHM, 0.242 IN OD.</t>
  </si>
  <si>
    <t>13763423-82</t>
  </si>
  <si>
    <t>13763423-83</t>
  </si>
  <si>
    <t>13763423-84</t>
  </si>
  <si>
    <t>13763423-9</t>
  </si>
  <si>
    <t>13763423-94</t>
  </si>
  <si>
    <t>13763423-95</t>
  </si>
  <si>
    <t>13763423-99</t>
  </si>
  <si>
    <t>COAX, RF 50 OHM, 0.242 IN OD</t>
  </si>
  <si>
    <t>SOURCE INSPECTION FEE</t>
  </si>
  <si>
    <t>NRE FEE</t>
  </si>
  <si>
    <t>0145452</t>
  </si>
  <si>
    <t>stock</t>
  </si>
  <si>
    <t>A3249218</t>
  </si>
  <si>
    <t>6150-01-468-8225, CABLE ASSY,</t>
  </si>
  <si>
    <t>0147282</t>
  </si>
  <si>
    <t>WC0338</t>
  </si>
  <si>
    <t>238781-1000</t>
  </si>
  <si>
    <t>0150804</t>
  </si>
  <si>
    <t>W.S. DARLEY &amp; CO.</t>
  </si>
  <si>
    <t>196754</t>
  </si>
  <si>
    <t>0150806</t>
  </si>
  <si>
    <t>196755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</si>
</sst>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14" fontId="0" fillId="0" borderId="0" xfId="0" applyNumberFormat="1"/>
    <xf numFmtId="40" fontId="0" fillId="0" borderId="0" xfId="0" applyNumberFormat="1"/>
    <xf numFmtId="38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Fill="1" applyBorder="1" applyAlignment="1">
      <alignment horizontal="center"/>
    </xf>
    <xf numFmtId="40" fontId="1" fillId="0" borderId="1" xfId="0" applyNumberFormat="1" applyFont="1" applyFill="1" applyBorder="1" applyAlignment="1">
      <alignment horizontal="center"/>
    </xf>
    <xf numFmtId="38" fontId="1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79"/>
  <sheetViews>
    <sheetView tabSelected="1" workbookViewId="0"/>
  </sheetViews>
  <sheetFormatPr defaultRowHeight="15" x14ac:dyDescent="0.25"/>
  <cols>
    <col min="1" max="1" width="12.7109375" customWidth="1"/>
    <col min="2" max="2" width="10.7109375" customWidth="1"/>
    <col min="3" max="3" width="14.7109375" customWidth="1"/>
    <col min="4" max="4" width="6.42578125" customWidth="1"/>
    <col min="5" max="5" width="13.7109375" customWidth="1"/>
    <col min="6" max="6" width="13.42578125" customWidth="1"/>
    <col min="7" max="7" width="47.5703125" bestFit="1" customWidth="1"/>
    <col min="8" max="8" width="31.7109375" bestFit="1" customWidth="1"/>
    <col min="9" max="9" width="28.42578125" bestFit="1" customWidth="1"/>
    <col min="10" max="10" width="28" style="3" bestFit="1" customWidth="1"/>
    <col min="11" max="11" width="36" bestFit="1" customWidth="1"/>
    <col min="12" max="12" width="16.5703125" style="4" customWidth="1"/>
    <col min="13" max="13" width="16.42578125" style="4" customWidth="1"/>
    <col min="14" max="14" width="14.140625" customWidth="1"/>
    <col min="15" max="15" width="9.7109375" bestFit="1" customWidth="1"/>
    <col min="16" max="16" width="11.28515625" customWidth="1"/>
    <col min="17" max="17" width="13.5703125" customWidth="1"/>
    <col min="18" max="18" width="141" bestFit="1" customWidth="1"/>
    <col min="19" max="19" width="18.85546875" bestFit="1" customWidth="1"/>
    <col min="20" max="20" width="11.7109375" bestFit="1" customWidth="1"/>
    <col min="21" max="21" width="9.42578125" bestFit="1" customWidth="1"/>
    <col min="22" max="22" width="10.7109375" bestFit="1" customWidth="1"/>
  </cols>
  <sheetData>
    <row r="1" spans="1:22" ht="15.75" thickBot="1" x14ac:dyDescent="0.3">
      <c r="A1" s="6" t="s">
        <v>7</v>
      </c>
      <c r="B1" s="6" t="s">
        <v>9</v>
      </c>
      <c r="C1" s="6" t="s">
        <v>17</v>
      </c>
      <c r="D1" s="6" t="s">
        <v>14</v>
      </c>
      <c r="E1" s="6" t="s">
        <v>2</v>
      </c>
      <c r="F1" s="6" t="s">
        <v>20</v>
      </c>
      <c r="G1" s="6" t="s">
        <v>3</v>
      </c>
      <c r="H1" s="6" t="s">
        <v>4</v>
      </c>
      <c r="I1" s="6" t="s">
        <v>15</v>
      </c>
      <c r="J1" s="7" t="s">
        <v>5</v>
      </c>
      <c r="K1" s="6" t="s">
        <v>6</v>
      </c>
      <c r="L1" s="8" t="s">
        <v>18</v>
      </c>
      <c r="M1" s="8" t="s">
        <v>21</v>
      </c>
      <c r="N1" s="6" t="s">
        <v>8</v>
      </c>
      <c r="O1" s="6" t="s">
        <v>23</v>
      </c>
      <c r="P1" s="6" t="s">
        <v>10</v>
      </c>
      <c r="Q1" s="6" t="s">
        <v>11</v>
      </c>
      <c r="R1" s="6" t="s">
        <v>12</v>
      </c>
      <c r="S1" s="6" t="s">
        <v>13</v>
      </c>
      <c r="T1" s="6" t="s">
        <v>19</v>
      </c>
      <c r="U1" s="6" t="s">
        <v>22</v>
      </c>
      <c r="V1" s="6" t="s">
        <v>16</v>
      </c>
    </row>
    <row r="2" spans="1:22" x14ac:dyDescent="0.25">
      <c r="A2" s="2">
        <v>44851</v>
      </c>
      <c r="B2" s="2">
        <v>44851</v>
      </c>
      <c r="C2" t="s">
        <v>40</v>
      </c>
      <c r="D2">
        <v>43</v>
      </c>
      <c r="E2" t="s">
        <v>41</v>
      </c>
      <c r="F2" t="s">
        <v>42</v>
      </c>
      <c r="G2" t="s">
        <v>43</v>
      </c>
      <c r="H2" t="s">
        <v>44</v>
      </c>
      <c r="I2" s="2" t="s">
        <v>45</v>
      </c>
      <c r="J2" s="3" t="s">
        <v>46</v>
      </c>
      <c r="K2" s="2" t="s">
        <v>47</v>
      </c>
      <c r="L2" s="4">
        <v>32000</v>
      </c>
      <c r="M2" s="4">
        <v>3184.44</v>
      </c>
      <c r="N2">
        <v>28815.56</v>
      </c>
      <c r="P2">
        <v>0</v>
      </c>
      <c r="Q2">
        <f>QtyRemaining*EstMfgMin/60</f>
        <v>0</v>
      </c>
      <c r="S2" s="2"/>
      <c r="T2" s="2"/>
      <c r="U2" t="e">
        <f t="shared" ref="U2" si="0">VLOOKUP(A2,Calendar,13,FALSE)</f>
        <v>#REF!</v>
      </c>
      <c r="V2" s="5" t="e">
        <f t="shared" ref="V2" si="1">VLOOKUP(A2,Calendar,14,FALSE)</f>
        <v>#REF!</v>
      </c>
    </row>
    <row r="3" spans="1:22" x14ac:dyDescent="0.25">
      <c r="A3" s="2">
        <v>44851</v>
      </c>
      <c r="B3" s="2">
        <v>44851</v>
      </c>
      <c r="C3" t="s">
        <v>40</v>
      </c>
      <c r="D3">
        <v>43</v>
      </c>
      <c r="E3" t="s">
        <v>41</v>
      </c>
      <c r="F3" t="s">
        <v>42</v>
      </c>
      <c r="G3" t="s">
        <v>43</v>
      </c>
      <c r="H3" t="s">
        <v>44</v>
      </c>
      <c r="I3" s="2" t="s">
        <v>45</v>
      </c>
      <c r="J3" s="3" t="s">
        <v>48</v>
      </c>
      <c r="K3" s="2" t="s">
        <v>49</v>
      </c>
      <c r="L3" s="4">
        <v>4820</v>
      </c>
      <c r="M3" s="4">
        <v>3959.5</v>
      </c>
      <c r="N3">
        <v>860.5</v>
      </c>
      <c r="P3">
        <v>0</v>
      </c>
      <c r="Q3">
        <f>QtyRemaining*EstMfgMin/60</f>
        <v>0</v>
      </c>
      <c r="S3" s="2"/>
      <c r="T3" s="2"/>
      <c r="U3" t="e">
        <f t="shared" ref="U3:U66" si="2">VLOOKUP(A3,Calendar,13,FALSE)</f>
        <v>#REF!</v>
      </c>
      <c r="V3" s="5" t="e">
        <f t="shared" ref="V3:V66" si="3">VLOOKUP(A3,Calendar,14,FALSE)</f>
        <v>#REF!</v>
      </c>
    </row>
    <row r="4" spans="1:22" x14ac:dyDescent="0.25">
      <c r="A4" s="2">
        <v>44851</v>
      </c>
      <c r="B4" s="2">
        <v>44851</v>
      </c>
      <c r="C4" t="s">
        <v>40</v>
      </c>
      <c r="D4">
        <v>43</v>
      </c>
      <c r="E4" t="s">
        <v>41</v>
      </c>
      <c r="F4" t="s">
        <v>42</v>
      </c>
      <c r="G4" t="s">
        <v>43</v>
      </c>
      <c r="H4" t="s">
        <v>44</v>
      </c>
      <c r="I4" s="2" t="s">
        <v>45</v>
      </c>
      <c r="J4" s="3" t="s">
        <v>50</v>
      </c>
      <c r="K4" s="2" t="s">
        <v>51</v>
      </c>
      <c r="L4" s="4">
        <v>78643.8</v>
      </c>
      <c r="M4" s="4">
        <v>163.72999999999999</v>
      </c>
      <c r="N4">
        <v>78480.070000000007</v>
      </c>
      <c r="P4">
        <v>0</v>
      </c>
      <c r="Q4">
        <f>QtyRemaining*EstMfgMin/60</f>
        <v>0</v>
      </c>
      <c r="S4" s="2"/>
      <c r="T4" s="2"/>
      <c r="U4" t="e">
        <f t="shared" si="2"/>
        <v>#REF!</v>
      </c>
      <c r="V4" s="5" t="e">
        <f t="shared" si="3"/>
        <v>#REF!</v>
      </c>
    </row>
    <row r="5" spans="1:22" x14ac:dyDescent="0.25">
      <c r="A5" s="2">
        <v>44851</v>
      </c>
      <c r="B5" s="2">
        <v>44851</v>
      </c>
      <c r="C5" t="s">
        <v>40</v>
      </c>
      <c r="D5">
        <v>43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s="3" t="s">
        <v>52</v>
      </c>
      <c r="K5" t="s">
        <v>53</v>
      </c>
      <c r="L5" s="4">
        <v>63705.84</v>
      </c>
      <c r="M5" s="4">
        <v>40291.300000000003</v>
      </c>
      <c r="N5">
        <v>23414.54</v>
      </c>
      <c r="P5">
        <v>0</v>
      </c>
      <c r="Q5">
        <f>QtyRemaining*EstMfgMin/60</f>
        <v>0</v>
      </c>
      <c r="U5" t="e">
        <f t="shared" si="2"/>
        <v>#REF!</v>
      </c>
      <c r="V5" s="5" t="e">
        <f t="shared" si="3"/>
        <v>#REF!</v>
      </c>
    </row>
    <row r="6" spans="1:22" x14ac:dyDescent="0.25">
      <c r="A6" s="2">
        <v>44851</v>
      </c>
      <c r="B6" s="2">
        <v>44851</v>
      </c>
      <c r="C6" t="s">
        <v>40</v>
      </c>
      <c r="D6">
        <v>43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s="3" t="s">
        <v>54</v>
      </c>
      <c r="K6" t="s">
        <v>55</v>
      </c>
      <c r="L6" s="4">
        <v>1620</v>
      </c>
      <c r="M6" s="4">
        <v>243.5</v>
      </c>
      <c r="N6">
        <v>1376.5</v>
      </c>
      <c r="P6">
        <v>0</v>
      </c>
      <c r="Q6">
        <f>QtyRemaining*EstMfgMin/60</f>
        <v>0</v>
      </c>
      <c r="U6" t="e">
        <f t="shared" si="2"/>
        <v>#REF!</v>
      </c>
      <c r="V6" s="5" t="e">
        <f t="shared" si="3"/>
        <v>#REF!</v>
      </c>
    </row>
    <row r="7" spans="1:22" x14ac:dyDescent="0.25">
      <c r="A7" s="2">
        <v>45247</v>
      </c>
      <c r="B7" s="2">
        <v>45247</v>
      </c>
      <c r="C7" t="s">
        <v>40</v>
      </c>
      <c r="D7">
        <v>46</v>
      </c>
      <c r="E7" t="s">
        <v>56</v>
      </c>
      <c r="F7" t="s">
        <v>42</v>
      </c>
      <c r="G7" t="s">
        <v>43</v>
      </c>
      <c r="H7" t="s">
        <v>57</v>
      </c>
      <c r="I7" t="s">
        <v>45</v>
      </c>
      <c r="J7" s="3" t="s">
        <v>58</v>
      </c>
      <c r="K7" t="s">
        <v>59</v>
      </c>
      <c r="L7" s="4">
        <v>27</v>
      </c>
      <c r="M7" s="4">
        <v>0</v>
      </c>
      <c r="N7">
        <v>27</v>
      </c>
      <c r="P7">
        <v>0</v>
      </c>
      <c r="Q7">
        <f>QtyRemaining*EstMfgMin/60</f>
        <v>0</v>
      </c>
      <c r="U7" t="e">
        <f t="shared" si="2"/>
        <v>#REF!</v>
      </c>
      <c r="V7" s="5" t="e">
        <f t="shared" si="3"/>
        <v>#REF!</v>
      </c>
    </row>
    <row r="8" spans="1:22" x14ac:dyDescent="0.25">
      <c r="A8" s="2">
        <v>45247</v>
      </c>
      <c r="B8" s="2">
        <v>45247</v>
      </c>
      <c r="C8" t="s">
        <v>40</v>
      </c>
      <c r="D8">
        <v>46</v>
      </c>
      <c r="E8" t="s">
        <v>56</v>
      </c>
      <c r="F8" t="s">
        <v>42</v>
      </c>
      <c r="G8" t="s">
        <v>43</v>
      </c>
      <c r="H8" t="s">
        <v>57</v>
      </c>
      <c r="I8" t="s">
        <v>45</v>
      </c>
      <c r="J8" s="3" t="s">
        <v>60</v>
      </c>
      <c r="K8" t="s">
        <v>59</v>
      </c>
      <c r="L8" s="4">
        <v>25</v>
      </c>
      <c r="M8" s="4">
        <v>0</v>
      </c>
      <c r="N8">
        <v>25</v>
      </c>
      <c r="P8">
        <v>0</v>
      </c>
      <c r="Q8">
        <f>QtyRemaining*EstMfgMin/60</f>
        <v>0</v>
      </c>
      <c r="U8" t="e">
        <f t="shared" si="2"/>
        <v>#REF!</v>
      </c>
      <c r="V8" s="5" t="e">
        <f t="shared" si="3"/>
        <v>#REF!</v>
      </c>
    </row>
    <row r="9" spans="1:22" x14ac:dyDescent="0.25">
      <c r="A9" s="2">
        <v>45247</v>
      </c>
      <c r="B9" s="2">
        <v>45247</v>
      </c>
      <c r="C9" t="s">
        <v>40</v>
      </c>
      <c r="D9">
        <v>46</v>
      </c>
      <c r="E9" t="s">
        <v>56</v>
      </c>
      <c r="F9" t="s">
        <v>42</v>
      </c>
      <c r="G9" t="s">
        <v>43</v>
      </c>
      <c r="H9" t="s">
        <v>57</v>
      </c>
      <c r="I9" t="s">
        <v>45</v>
      </c>
      <c r="J9" s="3" t="s">
        <v>46</v>
      </c>
      <c r="L9" s="4">
        <v>1</v>
      </c>
      <c r="M9" s="4">
        <v>0</v>
      </c>
      <c r="N9">
        <v>1</v>
      </c>
      <c r="P9">
        <v>0</v>
      </c>
      <c r="Q9">
        <f>QtyRemaining*EstMfgMin/60</f>
        <v>0</v>
      </c>
      <c r="U9" t="e">
        <f t="shared" si="2"/>
        <v>#REF!</v>
      </c>
      <c r="V9" s="5" t="e">
        <f t="shared" si="3"/>
        <v>#REF!</v>
      </c>
    </row>
    <row r="10" spans="1:22" x14ac:dyDescent="0.25">
      <c r="A10" s="2">
        <v>45247</v>
      </c>
      <c r="B10" s="2">
        <v>45247</v>
      </c>
      <c r="C10" t="s">
        <v>40</v>
      </c>
      <c r="D10">
        <v>46</v>
      </c>
      <c r="E10" t="s">
        <v>56</v>
      </c>
      <c r="F10" t="s">
        <v>42</v>
      </c>
      <c r="G10" t="s">
        <v>43</v>
      </c>
      <c r="H10" t="s">
        <v>57</v>
      </c>
      <c r="I10" t="s">
        <v>45</v>
      </c>
      <c r="J10" s="3" t="s">
        <v>61</v>
      </c>
      <c r="K10" t="s">
        <v>62</v>
      </c>
      <c r="L10" s="4">
        <v>1</v>
      </c>
      <c r="M10" s="4">
        <v>0</v>
      </c>
      <c r="N10">
        <v>1</v>
      </c>
      <c r="P10">
        <v>0</v>
      </c>
      <c r="Q10">
        <f>QtyRemaining*EstMfgMin/60</f>
        <v>0</v>
      </c>
      <c r="U10" t="e">
        <f t="shared" si="2"/>
        <v>#REF!</v>
      </c>
      <c r="V10" s="5" t="e">
        <f t="shared" si="3"/>
        <v>#REF!</v>
      </c>
    </row>
    <row r="11" spans="1:22" x14ac:dyDescent="0.25">
      <c r="A11" s="2">
        <v>45247</v>
      </c>
      <c r="B11" s="2">
        <v>45247</v>
      </c>
      <c r="C11" t="s">
        <v>40</v>
      </c>
      <c r="D11">
        <v>46</v>
      </c>
      <c r="E11" t="s">
        <v>56</v>
      </c>
      <c r="F11" t="s">
        <v>42</v>
      </c>
      <c r="G11" t="s">
        <v>43</v>
      </c>
      <c r="H11" t="s">
        <v>57</v>
      </c>
      <c r="I11" t="s">
        <v>45</v>
      </c>
      <c r="J11" s="3" t="s">
        <v>63</v>
      </c>
      <c r="K11" t="s">
        <v>64</v>
      </c>
      <c r="L11" s="4">
        <v>4</v>
      </c>
      <c r="M11" s="4">
        <v>0</v>
      </c>
      <c r="N11">
        <v>4</v>
      </c>
      <c r="P11">
        <v>0</v>
      </c>
      <c r="Q11">
        <f>QtyRemaining*EstMfgMin/60</f>
        <v>0</v>
      </c>
      <c r="U11" t="e">
        <f t="shared" si="2"/>
        <v>#REF!</v>
      </c>
      <c r="V11" s="5" t="e">
        <f t="shared" si="3"/>
        <v>#REF!</v>
      </c>
    </row>
    <row r="12" spans="1:22" x14ac:dyDescent="0.25">
      <c r="A12" s="2">
        <v>45247</v>
      </c>
      <c r="B12" s="2">
        <v>45247</v>
      </c>
      <c r="C12" t="s">
        <v>40</v>
      </c>
      <c r="D12">
        <v>46</v>
      </c>
      <c r="E12" t="s">
        <v>56</v>
      </c>
      <c r="F12" t="s">
        <v>42</v>
      </c>
      <c r="G12" t="s">
        <v>43</v>
      </c>
      <c r="H12" t="s">
        <v>57</v>
      </c>
      <c r="I12" t="s">
        <v>45</v>
      </c>
      <c r="J12" s="3" t="s">
        <v>65</v>
      </c>
      <c r="K12" t="s">
        <v>66</v>
      </c>
      <c r="L12" s="4">
        <v>24</v>
      </c>
      <c r="M12" s="4">
        <v>0</v>
      </c>
      <c r="N12">
        <v>24</v>
      </c>
      <c r="P12">
        <v>0</v>
      </c>
      <c r="Q12">
        <f>QtyRemaining*EstMfgMin/60</f>
        <v>0</v>
      </c>
      <c r="U12" t="e">
        <f t="shared" si="2"/>
        <v>#REF!</v>
      </c>
      <c r="V12" s="5" t="e">
        <f t="shared" si="3"/>
        <v>#REF!</v>
      </c>
    </row>
    <row r="13" spans="1:22" x14ac:dyDescent="0.25">
      <c r="A13" s="2">
        <v>45247</v>
      </c>
      <c r="B13" s="2">
        <v>45247</v>
      </c>
      <c r="C13" t="s">
        <v>40</v>
      </c>
      <c r="D13">
        <v>46</v>
      </c>
      <c r="E13" t="s">
        <v>56</v>
      </c>
      <c r="F13" t="s">
        <v>42</v>
      </c>
      <c r="G13" t="s">
        <v>43</v>
      </c>
      <c r="H13" t="s">
        <v>57</v>
      </c>
      <c r="I13" t="s">
        <v>45</v>
      </c>
      <c r="J13" s="3" t="s">
        <v>67</v>
      </c>
      <c r="K13" t="s">
        <v>68</v>
      </c>
      <c r="L13" s="4">
        <v>24</v>
      </c>
      <c r="M13" s="4">
        <v>0</v>
      </c>
      <c r="N13">
        <v>24</v>
      </c>
      <c r="P13">
        <v>0</v>
      </c>
      <c r="Q13">
        <f>QtyRemaining*EstMfgMin/60</f>
        <v>0</v>
      </c>
      <c r="U13" t="e">
        <f t="shared" si="2"/>
        <v>#REF!</v>
      </c>
      <c r="V13" s="5" t="e">
        <f t="shared" si="3"/>
        <v>#REF!</v>
      </c>
    </row>
    <row r="14" spans="1:22" x14ac:dyDescent="0.25">
      <c r="A14" s="2">
        <v>45247</v>
      </c>
      <c r="B14" s="2">
        <v>45247</v>
      </c>
      <c r="C14" t="s">
        <v>40</v>
      </c>
      <c r="D14">
        <v>46</v>
      </c>
      <c r="E14" t="s">
        <v>56</v>
      </c>
      <c r="F14" t="s">
        <v>42</v>
      </c>
      <c r="G14" t="s">
        <v>43</v>
      </c>
      <c r="H14" t="s">
        <v>57</v>
      </c>
      <c r="I14" t="s">
        <v>45</v>
      </c>
      <c r="J14" s="3" t="s">
        <v>69</v>
      </c>
      <c r="K14" t="s">
        <v>70</v>
      </c>
      <c r="L14" s="4">
        <v>16</v>
      </c>
      <c r="M14" s="4">
        <v>0</v>
      </c>
      <c r="N14">
        <v>16</v>
      </c>
      <c r="P14">
        <v>0</v>
      </c>
      <c r="Q14">
        <f>QtyRemaining*EstMfgMin/60</f>
        <v>0</v>
      </c>
      <c r="U14" t="e">
        <f t="shared" si="2"/>
        <v>#REF!</v>
      </c>
      <c r="V14" s="5" t="e">
        <f t="shared" si="3"/>
        <v>#REF!</v>
      </c>
    </row>
    <row r="15" spans="1:22" x14ac:dyDescent="0.25">
      <c r="A15" s="2">
        <v>45824</v>
      </c>
      <c r="B15" s="2">
        <v>45824</v>
      </c>
      <c r="C15" t="s">
        <v>40</v>
      </c>
      <c r="D15">
        <v>25</v>
      </c>
      <c r="E15" t="s">
        <v>71</v>
      </c>
      <c r="F15" t="s">
        <v>42</v>
      </c>
      <c r="G15" t="s">
        <v>72</v>
      </c>
      <c r="H15" t="s">
        <v>73</v>
      </c>
      <c r="I15" t="s">
        <v>45</v>
      </c>
      <c r="J15" s="3" t="s">
        <v>74</v>
      </c>
      <c r="K15" t="s">
        <v>75</v>
      </c>
      <c r="L15" s="4">
        <v>4</v>
      </c>
      <c r="M15" s="4">
        <v>0</v>
      </c>
      <c r="N15">
        <v>4</v>
      </c>
      <c r="O15" t="s">
        <v>76</v>
      </c>
      <c r="P15">
        <v>0</v>
      </c>
      <c r="Q15">
        <f>QtyRemaining*EstMfgMin/60</f>
        <v>0</v>
      </c>
      <c r="U15" t="e">
        <f t="shared" si="2"/>
        <v>#REF!</v>
      </c>
      <c r="V15" s="5" t="e">
        <f t="shared" si="3"/>
        <v>#REF!</v>
      </c>
    </row>
    <row r="16" spans="1:22" x14ac:dyDescent="0.25">
      <c r="A16" s="2">
        <v>45824</v>
      </c>
      <c r="B16" s="2">
        <v>45824</v>
      </c>
      <c r="C16" t="s">
        <v>40</v>
      </c>
      <c r="D16">
        <v>25</v>
      </c>
      <c r="E16" t="s">
        <v>71</v>
      </c>
      <c r="F16" t="s">
        <v>42</v>
      </c>
      <c r="G16" t="s">
        <v>72</v>
      </c>
      <c r="H16" t="s">
        <v>73</v>
      </c>
      <c r="I16" t="s">
        <v>45</v>
      </c>
      <c r="J16" s="3" t="s">
        <v>74</v>
      </c>
      <c r="K16" t="s">
        <v>75</v>
      </c>
      <c r="L16" s="4">
        <v>4</v>
      </c>
      <c r="M16" s="4">
        <v>0</v>
      </c>
      <c r="N16">
        <v>4</v>
      </c>
      <c r="O16" t="s">
        <v>76</v>
      </c>
      <c r="P16">
        <v>0</v>
      </c>
      <c r="Q16">
        <f>QtyRemaining*EstMfgMin/60</f>
        <v>0</v>
      </c>
      <c r="U16" t="e">
        <f t="shared" si="2"/>
        <v>#REF!</v>
      </c>
      <c r="V16" s="5" t="e">
        <f t="shared" si="3"/>
        <v>#REF!</v>
      </c>
    </row>
    <row r="17" spans="1:22" x14ac:dyDescent="0.25">
      <c r="A17" s="2">
        <v>45824</v>
      </c>
      <c r="B17" s="2">
        <v>45824</v>
      </c>
      <c r="C17" t="s">
        <v>40</v>
      </c>
      <c r="D17">
        <v>25</v>
      </c>
      <c r="E17" t="s">
        <v>71</v>
      </c>
      <c r="F17" t="s">
        <v>42</v>
      </c>
      <c r="G17" t="s">
        <v>72</v>
      </c>
      <c r="H17" t="s">
        <v>73</v>
      </c>
      <c r="I17" t="s">
        <v>45</v>
      </c>
      <c r="J17" s="3" t="s">
        <v>77</v>
      </c>
      <c r="K17" t="s">
        <v>78</v>
      </c>
      <c r="L17" s="4">
        <v>50</v>
      </c>
      <c r="M17" s="4">
        <v>0</v>
      </c>
      <c r="N17">
        <v>50</v>
      </c>
      <c r="P17">
        <v>0</v>
      </c>
      <c r="Q17">
        <f>QtyRemaining*EstMfgMin/60</f>
        <v>0</v>
      </c>
      <c r="U17" t="e">
        <f t="shared" si="2"/>
        <v>#REF!</v>
      </c>
      <c r="V17" s="5" t="e">
        <f t="shared" si="3"/>
        <v>#REF!</v>
      </c>
    </row>
    <row r="18" spans="1:22" x14ac:dyDescent="0.25">
      <c r="A18" s="2">
        <v>45824</v>
      </c>
      <c r="B18" s="2">
        <v>45824</v>
      </c>
      <c r="C18" t="s">
        <v>40</v>
      </c>
      <c r="D18">
        <v>25</v>
      </c>
      <c r="E18" t="s">
        <v>71</v>
      </c>
      <c r="F18" t="s">
        <v>42</v>
      </c>
      <c r="G18" t="s">
        <v>72</v>
      </c>
      <c r="H18" t="s">
        <v>73</v>
      </c>
      <c r="I18" t="s">
        <v>45</v>
      </c>
      <c r="J18" s="3" t="s">
        <v>79</v>
      </c>
      <c r="K18" t="s">
        <v>80</v>
      </c>
      <c r="L18" s="4">
        <v>1</v>
      </c>
      <c r="M18" s="4">
        <v>0</v>
      </c>
      <c r="N18">
        <v>1</v>
      </c>
      <c r="P18">
        <v>0</v>
      </c>
      <c r="Q18">
        <f>QtyRemaining*EstMfgMin/60</f>
        <v>0</v>
      </c>
      <c r="U18" t="e">
        <f t="shared" si="2"/>
        <v>#REF!</v>
      </c>
      <c r="V18" s="5" t="e">
        <f t="shared" si="3"/>
        <v>#REF!</v>
      </c>
    </row>
    <row r="19" spans="1:22" x14ac:dyDescent="0.25">
      <c r="A19" s="2">
        <v>45981</v>
      </c>
      <c r="B19" s="2">
        <v>45656</v>
      </c>
      <c r="C19" t="s">
        <v>40</v>
      </c>
      <c r="D19">
        <v>47</v>
      </c>
      <c r="E19" t="s">
        <v>81</v>
      </c>
      <c r="F19" t="s">
        <v>42</v>
      </c>
      <c r="G19" t="s">
        <v>72</v>
      </c>
      <c r="H19" t="s">
        <v>82</v>
      </c>
      <c r="I19" t="s">
        <v>83</v>
      </c>
      <c r="J19" s="3" t="s">
        <v>84</v>
      </c>
      <c r="K19" t="s">
        <v>85</v>
      </c>
      <c r="L19" s="4">
        <v>600</v>
      </c>
      <c r="M19" s="4">
        <v>0</v>
      </c>
      <c r="N19">
        <v>600</v>
      </c>
      <c r="O19" t="s">
        <v>86</v>
      </c>
      <c r="P19">
        <v>0</v>
      </c>
      <c r="Q19">
        <f>QtyRemaining*EstMfgMin/60</f>
        <v>0</v>
      </c>
      <c r="U19" t="e">
        <f t="shared" si="2"/>
        <v>#REF!</v>
      </c>
      <c r="V19" s="5" t="e">
        <f t="shared" si="3"/>
        <v>#REF!</v>
      </c>
    </row>
    <row r="20" spans="1:22" x14ac:dyDescent="0.25">
      <c r="A20" s="2">
        <v>46010</v>
      </c>
      <c r="B20" s="2">
        <v>45656</v>
      </c>
      <c r="C20" t="s">
        <v>40</v>
      </c>
      <c r="D20">
        <v>51</v>
      </c>
      <c r="E20" t="s">
        <v>81</v>
      </c>
      <c r="F20" t="s">
        <v>42</v>
      </c>
      <c r="G20" t="s">
        <v>72</v>
      </c>
      <c r="H20" t="s">
        <v>82</v>
      </c>
      <c r="I20" t="s">
        <v>83</v>
      </c>
      <c r="J20" s="3" t="s">
        <v>84</v>
      </c>
      <c r="K20" t="s">
        <v>85</v>
      </c>
      <c r="L20" s="4">
        <v>500</v>
      </c>
      <c r="M20" s="4">
        <v>0</v>
      </c>
      <c r="N20">
        <v>500</v>
      </c>
      <c r="O20" t="s">
        <v>86</v>
      </c>
      <c r="P20">
        <v>0</v>
      </c>
      <c r="Q20">
        <f>QtyRemaining*EstMfgMin/60</f>
        <v>0</v>
      </c>
      <c r="U20" t="e">
        <f t="shared" si="2"/>
        <v>#REF!</v>
      </c>
      <c r="V20" s="5" t="e">
        <f t="shared" si="3"/>
        <v>#REF!</v>
      </c>
    </row>
    <row r="21" spans="1:22" x14ac:dyDescent="0.25">
      <c r="A21" s="2">
        <v>46106</v>
      </c>
      <c r="B21" s="2">
        <v>45946</v>
      </c>
      <c r="C21" t="s">
        <v>40</v>
      </c>
      <c r="D21">
        <v>13</v>
      </c>
      <c r="E21" t="s">
        <v>87</v>
      </c>
      <c r="F21" t="s">
        <v>42</v>
      </c>
      <c r="G21" t="s">
        <v>72</v>
      </c>
      <c r="H21" t="s">
        <v>88</v>
      </c>
      <c r="I21" t="s">
        <v>83</v>
      </c>
      <c r="J21" s="3" t="s">
        <v>89</v>
      </c>
      <c r="K21" t="s">
        <v>90</v>
      </c>
      <c r="L21" s="4">
        <v>600</v>
      </c>
      <c r="M21" s="4">
        <v>0</v>
      </c>
      <c r="N21">
        <v>600</v>
      </c>
      <c r="O21" t="s">
        <v>91</v>
      </c>
      <c r="P21">
        <v>25</v>
      </c>
      <c r="Q21">
        <f>QtyRemaining*EstMfgMin/60</f>
        <v>250</v>
      </c>
      <c r="U21" t="e">
        <f t="shared" si="2"/>
        <v>#REF!</v>
      </c>
      <c r="V21" s="5" t="e">
        <f t="shared" si="3"/>
        <v>#REF!</v>
      </c>
    </row>
    <row r="22" spans="1:22" x14ac:dyDescent="0.25">
      <c r="A22" s="2">
        <v>46127</v>
      </c>
      <c r="B22" s="2">
        <v>45916</v>
      </c>
      <c r="C22" t="s">
        <v>40</v>
      </c>
      <c r="D22">
        <v>16</v>
      </c>
      <c r="E22" t="s">
        <v>92</v>
      </c>
      <c r="F22" t="s">
        <v>42</v>
      </c>
      <c r="G22" t="s">
        <v>72</v>
      </c>
      <c r="H22" t="s">
        <v>93</v>
      </c>
      <c r="I22" t="s">
        <v>83</v>
      </c>
      <c r="J22" s="3" t="s">
        <v>84</v>
      </c>
      <c r="K22" t="s">
        <v>85</v>
      </c>
      <c r="L22" s="4">
        <v>600</v>
      </c>
      <c r="M22" s="4">
        <v>0</v>
      </c>
      <c r="N22">
        <v>600</v>
      </c>
      <c r="O22" t="s">
        <v>94</v>
      </c>
      <c r="P22">
        <v>60</v>
      </c>
      <c r="Q22">
        <f>QtyRemaining*EstMfgMin/60</f>
        <v>600</v>
      </c>
      <c r="U22" t="e">
        <f t="shared" si="2"/>
        <v>#REF!</v>
      </c>
      <c r="V22" s="5" t="e">
        <f t="shared" si="3"/>
        <v>#REF!</v>
      </c>
    </row>
    <row r="23" spans="1:22" x14ac:dyDescent="0.25">
      <c r="A23" s="2">
        <v>46136</v>
      </c>
      <c r="B23" s="2">
        <v>45946</v>
      </c>
      <c r="C23" t="s">
        <v>40</v>
      </c>
      <c r="D23">
        <v>17</v>
      </c>
      <c r="E23" t="s">
        <v>87</v>
      </c>
      <c r="F23" t="s">
        <v>42</v>
      </c>
      <c r="G23" t="s">
        <v>72</v>
      </c>
      <c r="H23" t="s">
        <v>88</v>
      </c>
      <c r="I23" t="s">
        <v>83</v>
      </c>
      <c r="J23" s="3" t="s">
        <v>89</v>
      </c>
      <c r="K23" t="s">
        <v>90</v>
      </c>
      <c r="L23" s="4">
        <v>600</v>
      </c>
      <c r="M23" s="4">
        <v>0</v>
      </c>
      <c r="N23">
        <v>600</v>
      </c>
      <c r="O23" t="s">
        <v>91</v>
      </c>
      <c r="P23">
        <v>25</v>
      </c>
      <c r="Q23">
        <f>QtyRemaining*EstMfgMin/60</f>
        <v>250</v>
      </c>
      <c r="U23" t="e">
        <f t="shared" si="2"/>
        <v>#REF!</v>
      </c>
      <c r="V23" s="5" t="e">
        <f t="shared" si="3"/>
        <v>#REF!</v>
      </c>
    </row>
    <row r="24" spans="1:22" x14ac:dyDescent="0.25">
      <c r="A24" s="2">
        <v>46139</v>
      </c>
      <c r="B24" s="2">
        <v>45946</v>
      </c>
      <c r="C24" t="s">
        <v>40</v>
      </c>
      <c r="D24">
        <v>18</v>
      </c>
      <c r="E24" t="s">
        <v>95</v>
      </c>
      <c r="F24" t="s">
        <v>42</v>
      </c>
      <c r="G24" t="s">
        <v>72</v>
      </c>
      <c r="H24" t="s">
        <v>96</v>
      </c>
      <c r="I24" t="s">
        <v>83</v>
      </c>
      <c r="J24" s="3" t="s">
        <v>97</v>
      </c>
      <c r="K24" t="s">
        <v>98</v>
      </c>
      <c r="L24" s="4">
        <v>15</v>
      </c>
      <c r="M24" s="4">
        <v>0</v>
      </c>
      <c r="N24">
        <v>15</v>
      </c>
      <c r="O24" t="s">
        <v>94</v>
      </c>
      <c r="P24">
        <v>0</v>
      </c>
      <c r="Q24">
        <f>QtyRemaining*EstMfgMin/60</f>
        <v>0</v>
      </c>
      <c r="U24" t="e">
        <f t="shared" si="2"/>
        <v>#REF!</v>
      </c>
      <c r="V24" s="5" t="e">
        <f t="shared" si="3"/>
        <v>#REF!</v>
      </c>
    </row>
    <row r="25" spans="1:22" x14ac:dyDescent="0.25">
      <c r="A25" s="2">
        <v>46157</v>
      </c>
      <c r="B25" s="2">
        <v>45916</v>
      </c>
      <c r="C25" t="s">
        <v>40</v>
      </c>
      <c r="D25">
        <v>20</v>
      </c>
      <c r="E25" t="s">
        <v>92</v>
      </c>
      <c r="F25" t="s">
        <v>42</v>
      </c>
      <c r="G25" t="s">
        <v>72</v>
      </c>
      <c r="H25" t="s">
        <v>93</v>
      </c>
      <c r="I25" t="s">
        <v>83</v>
      </c>
      <c r="J25" s="3" t="s">
        <v>84</v>
      </c>
      <c r="K25" t="s">
        <v>85</v>
      </c>
      <c r="L25" s="4">
        <v>600</v>
      </c>
      <c r="M25" s="4">
        <v>0</v>
      </c>
      <c r="N25">
        <v>600</v>
      </c>
      <c r="O25" t="s">
        <v>94</v>
      </c>
      <c r="P25">
        <v>60</v>
      </c>
      <c r="Q25">
        <f>QtyRemaining*EstMfgMin/60</f>
        <v>600</v>
      </c>
      <c r="U25" t="e">
        <f t="shared" si="2"/>
        <v>#REF!</v>
      </c>
      <c r="V25" s="5" t="e">
        <f t="shared" si="3"/>
        <v>#REF!</v>
      </c>
    </row>
    <row r="26" spans="1:22" x14ac:dyDescent="0.25">
      <c r="A26" s="2">
        <v>46167</v>
      </c>
      <c r="B26" s="2">
        <v>45946</v>
      </c>
      <c r="C26" t="s">
        <v>40</v>
      </c>
      <c r="D26">
        <v>22</v>
      </c>
      <c r="E26" t="s">
        <v>87</v>
      </c>
      <c r="F26" t="s">
        <v>42</v>
      </c>
      <c r="G26" t="s">
        <v>72</v>
      </c>
      <c r="H26" t="s">
        <v>88</v>
      </c>
      <c r="I26" t="s">
        <v>83</v>
      </c>
      <c r="J26" s="3" t="s">
        <v>89</v>
      </c>
      <c r="K26" t="s">
        <v>90</v>
      </c>
      <c r="L26" s="4">
        <v>600</v>
      </c>
      <c r="M26" s="4">
        <v>0</v>
      </c>
      <c r="N26">
        <v>600</v>
      </c>
      <c r="O26" t="s">
        <v>91</v>
      </c>
      <c r="P26">
        <v>25</v>
      </c>
      <c r="Q26">
        <f>QtyRemaining*EstMfgMin/60</f>
        <v>250</v>
      </c>
      <c r="U26" t="e">
        <f t="shared" si="2"/>
        <v>#REF!</v>
      </c>
      <c r="V26" s="5" t="e">
        <f t="shared" si="3"/>
        <v>#REF!</v>
      </c>
    </row>
    <row r="27" spans="1:22" x14ac:dyDescent="0.25">
      <c r="A27" s="2">
        <v>46188</v>
      </c>
      <c r="B27" s="2">
        <v>45916</v>
      </c>
      <c r="C27" t="s">
        <v>40</v>
      </c>
      <c r="D27">
        <v>25</v>
      </c>
      <c r="E27" t="s">
        <v>92</v>
      </c>
      <c r="F27" t="s">
        <v>42</v>
      </c>
      <c r="G27" t="s">
        <v>72</v>
      </c>
      <c r="H27" t="s">
        <v>93</v>
      </c>
      <c r="I27" t="s">
        <v>83</v>
      </c>
      <c r="J27" s="3" t="s">
        <v>84</v>
      </c>
      <c r="K27" t="s">
        <v>85</v>
      </c>
      <c r="L27" s="4">
        <v>600</v>
      </c>
      <c r="M27" s="4">
        <v>0</v>
      </c>
      <c r="N27">
        <v>600</v>
      </c>
      <c r="O27" t="s">
        <v>94</v>
      </c>
      <c r="P27">
        <v>60</v>
      </c>
      <c r="Q27">
        <f>QtyRemaining*EstMfgMin/60</f>
        <v>600</v>
      </c>
      <c r="U27" t="e">
        <f t="shared" si="2"/>
        <v>#REF!</v>
      </c>
      <c r="V27" s="5" t="e">
        <f t="shared" si="3"/>
        <v>#REF!</v>
      </c>
    </row>
    <row r="28" spans="1:22" x14ac:dyDescent="0.25">
      <c r="A28" s="2">
        <v>46198</v>
      </c>
      <c r="B28" s="2">
        <v>45946</v>
      </c>
      <c r="C28" t="s">
        <v>40</v>
      </c>
      <c r="D28">
        <v>26</v>
      </c>
      <c r="E28" t="s">
        <v>87</v>
      </c>
      <c r="F28" t="s">
        <v>42</v>
      </c>
      <c r="G28" t="s">
        <v>72</v>
      </c>
      <c r="H28" t="s">
        <v>88</v>
      </c>
      <c r="I28" t="s">
        <v>83</v>
      </c>
      <c r="J28" s="3" t="s">
        <v>89</v>
      </c>
      <c r="K28" t="s">
        <v>90</v>
      </c>
      <c r="L28" s="4">
        <v>600</v>
      </c>
      <c r="M28" s="4">
        <v>0</v>
      </c>
      <c r="N28">
        <v>600</v>
      </c>
      <c r="O28" t="s">
        <v>91</v>
      </c>
      <c r="P28">
        <v>25</v>
      </c>
      <c r="Q28">
        <f>QtyRemaining*EstMfgMin/60</f>
        <v>250</v>
      </c>
      <c r="U28" t="e">
        <f t="shared" si="2"/>
        <v>#REF!</v>
      </c>
      <c r="V28" s="5" t="e">
        <f t="shared" si="3"/>
        <v>#REF!</v>
      </c>
    </row>
    <row r="29" spans="1:22" x14ac:dyDescent="0.25">
      <c r="A29" s="2">
        <v>46218</v>
      </c>
      <c r="B29" s="2">
        <v>45916</v>
      </c>
      <c r="C29" t="s">
        <v>40</v>
      </c>
      <c r="D29">
        <v>29</v>
      </c>
      <c r="E29" t="s">
        <v>92</v>
      </c>
      <c r="F29" t="s">
        <v>42</v>
      </c>
      <c r="G29" t="s">
        <v>72</v>
      </c>
      <c r="H29" t="s">
        <v>93</v>
      </c>
      <c r="I29" t="s">
        <v>83</v>
      </c>
      <c r="J29" s="3" t="s">
        <v>84</v>
      </c>
      <c r="K29" t="s">
        <v>85</v>
      </c>
      <c r="L29" s="4">
        <v>600</v>
      </c>
      <c r="M29" s="4">
        <v>0</v>
      </c>
      <c r="N29">
        <v>600</v>
      </c>
      <c r="O29" t="s">
        <v>94</v>
      </c>
      <c r="P29">
        <v>60</v>
      </c>
      <c r="Q29">
        <f>QtyRemaining*EstMfgMin/60</f>
        <v>600</v>
      </c>
      <c r="U29" t="e">
        <f t="shared" si="2"/>
        <v>#REF!</v>
      </c>
      <c r="V29" s="5" t="e">
        <f t="shared" si="3"/>
        <v>#REF!</v>
      </c>
    </row>
    <row r="30" spans="1:22" x14ac:dyDescent="0.25">
      <c r="A30" s="2">
        <v>46227</v>
      </c>
      <c r="B30" s="2">
        <v>45946</v>
      </c>
      <c r="C30" t="s">
        <v>40</v>
      </c>
      <c r="D30">
        <v>30</v>
      </c>
      <c r="E30" t="s">
        <v>87</v>
      </c>
      <c r="F30" t="s">
        <v>42</v>
      </c>
      <c r="G30" t="s">
        <v>72</v>
      </c>
      <c r="H30" t="s">
        <v>88</v>
      </c>
      <c r="I30" t="s">
        <v>83</v>
      </c>
      <c r="J30" s="3" t="s">
        <v>89</v>
      </c>
      <c r="K30" t="s">
        <v>90</v>
      </c>
      <c r="L30" s="4">
        <v>600</v>
      </c>
      <c r="M30" s="4">
        <v>0</v>
      </c>
      <c r="N30">
        <v>600</v>
      </c>
      <c r="O30" t="s">
        <v>91</v>
      </c>
      <c r="P30">
        <v>25</v>
      </c>
      <c r="Q30">
        <f>QtyRemaining*EstMfgMin/60</f>
        <v>250</v>
      </c>
      <c r="U30" t="e">
        <f t="shared" si="2"/>
        <v>#REF!</v>
      </c>
      <c r="V30" s="5" t="e">
        <f t="shared" si="3"/>
        <v>#REF!</v>
      </c>
    </row>
    <row r="31" spans="1:22" x14ac:dyDescent="0.25">
      <c r="A31" s="2">
        <v>46248</v>
      </c>
      <c r="B31" s="2">
        <v>45916</v>
      </c>
      <c r="C31" t="s">
        <v>40</v>
      </c>
      <c r="D31">
        <v>33</v>
      </c>
      <c r="E31" t="s">
        <v>92</v>
      </c>
      <c r="F31" t="s">
        <v>42</v>
      </c>
      <c r="G31" t="s">
        <v>72</v>
      </c>
      <c r="H31" t="s">
        <v>93</v>
      </c>
      <c r="I31" t="s">
        <v>83</v>
      </c>
      <c r="J31" s="3" t="s">
        <v>84</v>
      </c>
      <c r="K31" t="s">
        <v>85</v>
      </c>
      <c r="L31" s="4">
        <v>600</v>
      </c>
      <c r="M31" s="4">
        <v>0</v>
      </c>
      <c r="N31">
        <v>600</v>
      </c>
      <c r="O31" t="s">
        <v>94</v>
      </c>
      <c r="P31">
        <v>60</v>
      </c>
      <c r="Q31">
        <f>QtyRemaining*EstMfgMin/60</f>
        <v>600</v>
      </c>
      <c r="U31" t="e">
        <f t="shared" si="2"/>
        <v>#REF!</v>
      </c>
      <c r="V31" s="5" t="e">
        <f t="shared" si="3"/>
        <v>#REF!</v>
      </c>
    </row>
    <row r="32" spans="1:22" x14ac:dyDescent="0.25">
      <c r="A32" s="2">
        <v>45786</v>
      </c>
      <c r="B32" s="2">
        <v>45188</v>
      </c>
      <c r="C32" t="s">
        <v>40</v>
      </c>
      <c r="D32">
        <v>19</v>
      </c>
      <c r="E32" t="s">
        <v>99</v>
      </c>
      <c r="F32" t="s">
        <v>100</v>
      </c>
      <c r="G32" t="s">
        <v>43</v>
      </c>
      <c r="H32" t="s">
        <v>101</v>
      </c>
      <c r="I32" t="s">
        <v>45</v>
      </c>
      <c r="J32" s="3" t="s">
        <v>102</v>
      </c>
      <c r="K32" t="s">
        <v>103</v>
      </c>
      <c r="L32" s="4">
        <v>25</v>
      </c>
      <c r="M32" s="4">
        <v>0</v>
      </c>
      <c r="N32">
        <v>25</v>
      </c>
      <c r="P32">
        <v>0</v>
      </c>
      <c r="Q32">
        <f>QtyRemaining*EstMfgMin/60</f>
        <v>0</v>
      </c>
      <c r="R32" t="s">
        <v>104</v>
      </c>
      <c r="U32" t="e">
        <f t="shared" si="2"/>
        <v>#REF!</v>
      </c>
      <c r="V32" s="5" t="e">
        <f t="shared" si="3"/>
        <v>#REF!</v>
      </c>
    </row>
    <row r="33" spans="1:22" x14ac:dyDescent="0.25">
      <c r="A33" s="2">
        <v>45786</v>
      </c>
      <c r="B33" s="2">
        <v>45188</v>
      </c>
      <c r="C33" t="s">
        <v>40</v>
      </c>
      <c r="D33">
        <v>19</v>
      </c>
      <c r="E33" t="s">
        <v>99</v>
      </c>
      <c r="F33" t="s">
        <v>100</v>
      </c>
      <c r="G33" t="s">
        <v>43</v>
      </c>
      <c r="H33" t="s">
        <v>101</v>
      </c>
      <c r="I33" t="s">
        <v>45</v>
      </c>
      <c r="J33" s="3" t="s">
        <v>105</v>
      </c>
      <c r="K33" t="s">
        <v>106</v>
      </c>
      <c r="L33" s="4">
        <v>25</v>
      </c>
      <c r="M33" s="4">
        <v>0</v>
      </c>
      <c r="N33">
        <v>25</v>
      </c>
      <c r="P33">
        <v>0</v>
      </c>
      <c r="Q33">
        <f>QtyRemaining*EstMfgMin/60</f>
        <v>0</v>
      </c>
      <c r="R33" t="s">
        <v>104</v>
      </c>
      <c r="U33" t="e">
        <f t="shared" si="2"/>
        <v>#REF!</v>
      </c>
      <c r="V33" s="5" t="e">
        <f t="shared" si="3"/>
        <v>#REF!</v>
      </c>
    </row>
    <row r="34" spans="1:22" x14ac:dyDescent="0.25">
      <c r="A34" s="2">
        <v>45786</v>
      </c>
      <c r="B34" s="2">
        <v>45188</v>
      </c>
      <c r="C34" t="s">
        <v>40</v>
      </c>
      <c r="D34">
        <v>19</v>
      </c>
      <c r="E34" t="s">
        <v>99</v>
      </c>
      <c r="F34" t="s">
        <v>100</v>
      </c>
      <c r="G34" t="s">
        <v>43</v>
      </c>
      <c r="H34" t="s">
        <v>101</v>
      </c>
      <c r="I34" t="s">
        <v>45</v>
      </c>
      <c r="J34" s="3" t="s">
        <v>107</v>
      </c>
      <c r="K34" t="s">
        <v>108</v>
      </c>
      <c r="L34" s="4">
        <v>20</v>
      </c>
      <c r="M34" s="4">
        <v>0</v>
      </c>
      <c r="N34">
        <v>20</v>
      </c>
      <c r="P34">
        <v>0</v>
      </c>
      <c r="Q34">
        <f>QtyRemaining*EstMfgMin/60</f>
        <v>0</v>
      </c>
      <c r="R34" t="s">
        <v>104</v>
      </c>
      <c r="U34" t="e">
        <f t="shared" si="2"/>
        <v>#REF!</v>
      </c>
      <c r="V34" s="5" t="e">
        <f t="shared" si="3"/>
        <v>#REF!</v>
      </c>
    </row>
    <row r="35" spans="1:22" x14ac:dyDescent="0.25">
      <c r="A35" s="2">
        <v>45786</v>
      </c>
      <c r="B35" s="2">
        <v>45188</v>
      </c>
      <c r="C35" t="s">
        <v>40</v>
      </c>
      <c r="D35">
        <v>19</v>
      </c>
      <c r="E35" t="s">
        <v>99</v>
      </c>
      <c r="F35" t="s">
        <v>100</v>
      </c>
      <c r="G35" t="s">
        <v>43</v>
      </c>
      <c r="H35" t="s">
        <v>101</v>
      </c>
      <c r="I35" t="s">
        <v>45</v>
      </c>
      <c r="J35" s="3" t="s">
        <v>109</v>
      </c>
      <c r="K35" t="s">
        <v>110</v>
      </c>
      <c r="L35" s="4">
        <v>7</v>
      </c>
      <c r="M35" s="4">
        <v>0</v>
      </c>
      <c r="N35">
        <v>7</v>
      </c>
      <c r="P35">
        <v>0</v>
      </c>
      <c r="Q35">
        <f>QtyRemaining*EstMfgMin/60</f>
        <v>0</v>
      </c>
      <c r="R35" t="s">
        <v>104</v>
      </c>
      <c r="U35" t="e">
        <f t="shared" si="2"/>
        <v>#REF!</v>
      </c>
      <c r="V35" s="5" t="e">
        <f t="shared" si="3"/>
        <v>#REF!</v>
      </c>
    </row>
    <row r="36" spans="1:22" x14ac:dyDescent="0.25">
      <c r="A36" s="2">
        <v>45810</v>
      </c>
      <c r="B36" s="2">
        <v>45559</v>
      </c>
      <c r="C36" t="s">
        <v>40</v>
      </c>
      <c r="D36">
        <v>23</v>
      </c>
      <c r="E36" t="s">
        <v>111</v>
      </c>
      <c r="F36" t="s">
        <v>100</v>
      </c>
      <c r="G36" t="s">
        <v>43</v>
      </c>
      <c r="H36" t="s">
        <v>112</v>
      </c>
      <c r="I36" t="s">
        <v>45</v>
      </c>
      <c r="J36" s="3" t="s">
        <v>113</v>
      </c>
      <c r="K36" t="s">
        <v>114</v>
      </c>
      <c r="L36" s="4">
        <v>125</v>
      </c>
      <c r="M36" s="4">
        <v>0</v>
      </c>
      <c r="N36">
        <v>125</v>
      </c>
      <c r="O36" t="s">
        <v>94</v>
      </c>
      <c r="P36">
        <v>0</v>
      </c>
      <c r="Q36">
        <f>QtyRemaining*EstMfgMin/60</f>
        <v>0</v>
      </c>
      <c r="R36" t="s">
        <v>115</v>
      </c>
      <c r="U36" t="e">
        <f t="shared" si="2"/>
        <v>#REF!</v>
      </c>
      <c r="V36" s="5" t="e">
        <f t="shared" si="3"/>
        <v>#REF!</v>
      </c>
    </row>
    <row r="37" spans="1:22" x14ac:dyDescent="0.25">
      <c r="A37" s="2">
        <v>45810</v>
      </c>
      <c r="B37" s="2">
        <v>45559</v>
      </c>
      <c r="C37" t="s">
        <v>40</v>
      </c>
      <c r="D37">
        <v>23</v>
      </c>
      <c r="E37" t="s">
        <v>111</v>
      </c>
      <c r="F37" t="s">
        <v>100</v>
      </c>
      <c r="G37" t="s">
        <v>43</v>
      </c>
      <c r="H37" t="s">
        <v>112</v>
      </c>
      <c r="I37" t="s">
        <v>45</v>
      </c>
      <c r="J37" s="3" t="s">
        <v>116</v>
      </c>
      <c r="K37" t="s">
        <v>117</v>
      </c>
      <c r="L37" s="4">
        <v>330</v>
      </c>
      <c r="M37" s="4">
        <v>0</v>
      </c>
      <c r="N37">
        <v>330</v>
      </c>
      <c r="O37" t="s">
        <v>118</v>
      </c>
      <c r="P37">
        <v>0</v>
      </c>
      <c r="Q37">
        <f>QtyRemaining*EstMfgMin/60</f>
        <v>0</v>
      </c>
      <c r="R37" t="s">
        <v>119</v>
      </c>
      <c r="U37" t="e">
        <f t="shared" si="2"/>
        <v>#REF!</v>
      </c>
      <c r="V37" s="5" t="e">
        <f t="shared" si="3"/>
        <v>#REF!</v>
      </c>
    </row>
    <row r="38" spans="1:22" x14ac:dyDescent="0.25">
      <c r="A38" s="2">
        <v>45817</v>
      </c>
      <c r="B38" s="2">
        <v>45188</v>
      </c>
      <c r="C38" t="s">
        <v>40</v>
      </c>
      <c r="D38">
        <v>24</v>
      </c>
      <c r="E38" t="s">
        <v>99</v>
      </c>
      <c r="F38" t="s">
        <v>100</v>
      </c>
      <c r="G38" t="s">
        <v>43</v>
      </c>
      <c r="H38" t="s">
        <v>101</v>
      </c>
      <c r="I38" t="s">
        <v>45</v>
      </c>
      <c r="J38" s="3" t="s">
        <v>102</v>
      </c>
      <c r="K38" t="s">
        <v>103</v>
      </c>
      <c r="L38" s="4">
        <v>12</v>
      </c>
      <c r="M38" s="4">
        <v>0</v>
      </c>
      <c r="N38">
        <v>12</v>
      </c>
      <c r="P38">
        <v>0</v>
      </c>
      <c r="Q38">
        <f>QtyRemaining*EstMfgMin/60</f>
        <v>0</v>
      </c>
      <c r="R38" t="s">
        <v>104</v>
      </c>
      <c r="U38" t="e">
        <f t="shared" si="2"/>
        <v>#REF!</v>
      </c>
      <c r="V38" s="5" t="e">
        <f t="shared" si="3"/>
        <v>#REF!</v>
      </c>
    </row>
    <row r="39" spans="1:22" x14ac:dyDescent="0.25">
      <c r="A39" s="2">
        <v>45817</v>
      </c>
      <c r="B39" s="2">
        <v>45188</v>
      </c>
      <c r="C39" t="s">
        <v>40</v>
      </c>
      <c r="D39">
        <v>24</v>
      </c>
      <c r="E39" t="s">
        <v>99</v>
      </c>
      <c r="F39" t="s">
        <v>100</v>
      </c>
      <c r="G39" t="s">
        <v>43</v>
      </c>
      <c r="H39" t="s">
        <v>101</v>
      </c>
      <c r="I39" t="s">
        <v>45</v>
      </c>
      <c r="J39" s="3" t="s">
        <v>105</v>
      </c>
      <c r="K39" t="s">
        <v>106</v>
      </c>
      <c r="L39" s="4">
        <v>25</v>
      </c>
      <c r="M39" s="4">
        <v>0</v>
      </c>
      <c r="N39">
        <v>25</v>
      </c>
      <c r="P39">
        <v>0</v>
      </c>
      <c r="Q39">
        <f>QtyRemaining*EstMfgMin/60</f>
        <v>0</v>
      </c>
      <c r="R39" t="s">
        <v>104</v>
      </c>
      <c r="U39" t="e">
        <f t="shared" si="2"/>
        <v>#REF!</v>
      </c>
      <c r="V39" s="5" t="e">
        <f t="shared" si="3"/>
        <v>#REF!</v>
      </c>
    </row>
    <row r="40" spans="1:22" x14ac:dyDescent="0.25">
      <c r="A40" s="2">
        <v>45847</v>
      </c>
      <c r="B40" s="2">
        <v>45188</v>
      </c>
      <c r="C40" t="s">
        <v>40</v>
      </c>
      <c r="D40">
        <v>28</v>
      </c>
      <c r="E40" t="s">
        <v>99</v>
      </c>
      <c r="F40" t="s">
        <v>100</v>
      </c>
      <c r="G40" t="s">
        <v>43</v>
      </c>
      <c r="H40" t="s">
        <v>101</v>
      </c>
      <c r="I40" t="s">
        <v>45</v>
      </c>
      <c r="J40" s="3" t="s">
        <v>105</v>
      </c>
      <c r="K40" t="s">
        <v>106</v>
      </c>
      <c r="L40" s="4">
        <v>25</v>
      </c>
      <c r="M40" s="4">
        <v>0</v>
      </c>
      <c r="N40">
        <v>25</v>
      </c>
      <c r="P40">
        <v>0</v>
      </c>
      <c r="Q40">
        <f>QtyRemaining*EstMfgMin/60</f>
        <v>0</v>
      </c>
      <c r="R40" t="s">
        <v>104</v>
      </c>
      <c r="U40" t="e">
        <f t="shared" si="2"/>
        <v>#REF!</v>
      </c>
      <c r="V40" s="5" t="e">
        <f t="shared" si="3"/>
        <v>#REF!</v>
      </c>
    </row>
    <row r="41" spans="1:22" x14ac:dyDescent="0.25">
      <c r="A41" s="2">
        <v>45877</v>
      </c>
      <c r="B41" s="2">
        <v>45188</v>
      </c>
      <c r="C41" t="s">
        <v>40</v>
      </c>
      <c r="D41">
        <v>32</v>
      </c>
      <c r="E41" t="s">
        <v>99</v>
      </c>
      <c r="F41" t="s">
        <v>100</v>
      </c>
      <c r="G41" t="s">
        <v>43</v>
      </c>
      <c r="H41" t="s">
        <v>101</v>
      </c>
      <c r="I41" t="s">
        <v>45</v>
      </c>
      <c r="J41" s="3" t="s">
        <v>105</v>
      </c>
      <c r="K41" t="s">
        <v>106</v>
      </c>
      <c r="L41" s="4">
        <v>10</v>
      </c>
      <c r="M41" s="4">
        <v>0</v>
      </c>
      <c r="N41">
        <v>10</v>
      </c>
      <c r="P41">
        <v>0</v>
      </c>
      <c r="Q41">
        <f>QtyRemaining*EstMfgMin/60</f>
        <v>0</v>
      </c>
      <c r="R41" t="s">
        <v>104</v>
      </c>
      <c r="U41" t="e">
        <f t="shared" si="2"/>
        <v>#REF!</v>
      </c>
      <c r="V41" s="5" t="e">
        <f t="shared" si="3"/>
        <v>#REF!</v>
      </c>
    </row>
    <row r="42" spans="1:22" x14ac:dyDescent="0.25">
      <c r="A42" s="2">
        <v>45884</v>
      </c>
      <c r="B42" s="2">
        <v>45735</v>
      </c>
      <c r="C42" t="s">
        <v>40</v>
      </c>
      <c r="D42">
        <v>33</v>
      </c>
      <c r="E42" t="s">
        <v>120</v>
      </c>
      <c r="F42" t="s">
        <v>100</v>
      </c>
      <c r="G42" t="s">
        <v>43</v>
      </c>
      <c r="H42" t="s">
        <v>121</v>
      </c>
      <c r="I42" t="s">
        <v>122</v>
      </c>
      <c r="J42" s="3" t="s">
        <v>123</v>
      </c>
      <c r="K42" t="s">
        <v>124</v>
      </c>
      <c r="L42" s="4">
        <v>20</v>
      </c>
      <c r="M42" s="4">
        <v>0</v>
      </c>
      <c r="N42">
        <v>20</v>
      </c>
      <c r="P42">
        <v>0</v>
      </c>
      <c r="Q42">
        <f>QtyRemaining*EstMfgMin/60</f>
        <v>0</v>
      </c>
      <c r="R42" t="s">
        <v>125</v>
      </c>
      <c r="U42" t="e">
        <f t="shared" si="2"/>
        <v>#REF!</v>
      </c>
      <c r="V42" s="5" t="e">
        <f t="shared" si="3"/>
        <v>#REF!</v>
      </c>
    </row>
    <row r="43" spans="1:22" x14ac:dyDescent="0.25">
      <c r="A43" s="2">
        <v>45884</v>
      </c>
      <c r="B43" s="2">
        <v>45735</v>
      </c>
      <c r="C43" t="s">
        <v>40</v>
      </c>
      <c r="D43">
        <v>33</v>
      </c>
      <c r="E43" t="s">
        <v>120</v>
      </c>
      <c r="F43" t="s">
        <v>100</v>
      </c>
      <c r="G43" t="s">
        <v>43</v>
      </c>
      <c r="H43" t="s">
        <v>121</v>
      </c>
      <c r="I43" t="s">
        <v>122</v>
      </c>
      <c r="J43" s="3" t="s">
        <v>126</v>
      </c>
      <c r="K43" t="s">
        <v>124</v>
      </c>
      <c r="L43" s="4">
        <v>100</v>
      </c>
      <c r="M43" s="4">
        <v>0</v>
      </c>
      <c r="N43">
        <v>100</v>
      </c>
      <c r="P43">
        <v>0</v>
      </c>
      <c r="Q43">
        <f>QtyRemaining*EstMfgMin/60</f>
        <v>0</v>
      </c>
      <c r="U43" t="e">
        <f t="shared" si="2"/>
        <v>#REF!</v>
      </c>
      <c r="V43" s="5" t="e">
        <f t="shared" si="3"/>
        <v>#REF!</v>
      </c>
    </row>
    <row r="44" spans="1:22" x14ac:dyDescent="0.25">
      <c r="A44" s="2">
        <v>45915</v>
      </c>
      <c r="B44" s="2">
        <v>45735</v>
      </c>
      <c r="C44" t="s">
        <v>40</v>
      </c>
      <c r="D44">
        <v>38</v>
      </c>
      <c r="E44" t="s">
        <v>120</v>
      </c>
      <c r="F44" t="s">
        <v>100</v>
      </c>
      <c r="G44" t="s">
        <v>43</v>
      </c>
      <c r="H44" t="s">
        <v>121</v>
      </c>
      <c r="I44" t="s">
        <v>122</v>
      </c>
      <c r="J44" s="3" t="s">
        <v>126</v>
      </c>
      <c r="K44" t="s">
        <v>124</v>
      </c>
      <c r="L44" s="4">
        <v>100</v>
      </c>
      <c r="M44" s="4">
        <v>0</v>
      </c>
      <c r="N44">
        <v>100</v>
      </c>
      <c r="P44">
        <v>0</v>
      </c>
      <c r="Q44">
        <f>QtyRemaining*EstMfgMin/60</f>
        <v>0</v>
      </c>
      <c r="U44" t="e">
        <f t="shared" si="2"/>
        <v>#REF!</v>
      </c>
      <c r="V44" s="5" t="e">
        <f t="shared" si="3"/>
        <v>#REF!</v>
      </c>
    </row>
    <row r="45" spans="1:22" x14ac:dyDescent="0.25">
      <c r="A45" s="2">
        <v>45932</v>
      </c>
      <c r="B45" s="2">
        <v>45659</v>
      </c>
      <c r="C45" t="s">
        <v>40</v>
      </c>
      <c r="D45">
        <v>40</v>
      </c>
      <c r="E45" t="s">
        <v>127</v>
      </c>
      <c r="F45" t="s">
        <v>100</v>
      </c>
      <c r="G45" t="s">
        <v>43</v>
      </c>
      <c r="H45" t="s">
        <v>128</v>
      </c>
      <c r="I45" t="s">
        <v>122</v>
      </c>
      <c r="J45" s="3" t="s">
        <v>129</v>
      </c>
      <c r="K45" t="s">
        <v>124</v>
      </c>
      <c r="L45" s="4">
        <v>213</v>
      </c>
      <c r="M45" s="4">
        <v>0</v>
      </c>
      <c r="N45">
        <v>213</v>
      </c>
      <c r="O45" t="s">
        <v>86</v>
      </c>
      <c r="P45">
        <v>0</v>
      </c>
      <c r="Q45">
        <f>QtyRemaining*EstMfgMin/60</f>
        <v>0</v>
      </c>
      <c r="U45" t="e">
        <f t="shared" si="2"/>
        <v>#REF!</v>
      </c>
      <c r="V45" s="5" t="e">
        <f t="shared" si="3"/>
        <v>#REF!</v>
      </c>
    </row>
    <row r="46" spans="1:22" x14ac:dyDescent="0.25">
      <c r="A46" s="2">
        <v>45945</v>
      </c>
      <c r="B46" s="2">
        <v>45735</v>
      </c>
      <c r="C46" t="s">
        <v>40</v>
      </c>
      <c r="D46">
        <v>42</v>
      </c>
      <c r="E46" t="s">
        <v>120</v>
      </c>
      <c r="F46" t="s">
        <v>100</v>
      </c>
      <c r="G46" t="s">
        <v>43</v>
      </c>
      <c r="H46" t="s">
        <v>121</v>
      </c>
      <c r="I46" t="s">
        <v>122</v>
      </c>
      <c r="J46" s="3" t="s">
        <v>126</v>
      </c>
      <c r="K46" t="s">
        <v>124</v>
      </c>
      <c r="L46" s="4">
        <v>100</v>
      </c>
      <c r="M46" s="4">
        <v>0</v>
      </c>
      <c r="N46">
        <v>100</v>
      </c>
      <c r="P46">
        <v>0</v>
      </c>
      <c r="Q46">
        <f>QtyRemaining*EstMfgMin/60</f>
        <v>0</v>
      </c>
      <c r="U46" t="e">
        <f t="shared" si="2"/>
        <v>#REF!</v>
      </c>
      <c r="V46" s="5" t="e">
        <f t="shared" si="3"/>
        <v>#REF!</v>
      </c>
    </row>
    <row r="47" spans="1:22" x14ac:dyDescent="0.25">
      <c r="A47" s="2">
        <v>45964</v>
      </c>
      <c r="B47" s="2">
        <v>45659</v>
      </c>
      <c r="C47" t="s">
        <v>40</v>
      </c>
      <c r="D47">
        <v>45</v>
      </c>
      <c r="E47" t="s">
        <v>127</v>
      </c>
      <c r="F47" t="s">
        <v>100</v>
      </c>
      <c r="G47" t="s">
        <v>43</v>
      </c>
      <c r="H47" t="s">
        <v>128</v>
      </c>
      <c r="I47" t="s">
        <v>122</v>
      </c>
      <c r="J47" s="3" t="s">
        <v>130</v>
      </c>
      <c r="K47" t="s">
        <v>131</v>
      </c>
      <c r="L47" s="4">
        <v>58</v>
      </c>
      <c r="M47" s="4">
        <v>0</v>
      </c>
      <c r="N47">
        <v>58</v>
      </c>
      <c r="O47" t="s">
        <v>118</v>
      </c>
      <c r="P47">
        <v>0</v>
      </c>
      <c r="Q47">
        <f>QtyRemaining*EstMfgMin/60</f>
        <v>0</v>
      </c>
      <c r="U47" t="e">
        <f t="shared" si="2"/>
        <v>#REF!</v>
      </c>
      <c r="V47" s="5" t="e">
        <f t="shared" si="3"/>
        <v>#REF!</v>
      </c>
    </row>
    <row r="48" spans="1:22" x14ac:dyDescent="0.25">
      <c r="A48" s="2">
        <v>45975</v>
      </c>
      <c r="B48" s="2">
        <v>45735</v>
      </c>
      <c r="C48" t="s">
        <v>40</v>
      </c>
      <c r="D48">
        <v>46</v>
      </c>
      <c r="E48" t="s">
        <v>120</v>
      </c>
      <c r="F48" t="s">
        <v>100</v>
      </c>
      <c r="G48" t="s">
        <v>43</v>
      </c>
      <c r="H48" t="s">
        <v>121</v>
      </c>
      <c r="I48" t="s">
        <v>122</v>
      </c>
      <c r="J48" s="3" t="s">
        <v>126</v>
      </c>
      <c r="K48" t="s">
        <v>124</v>
      </c>
      <c r="L48" s="4">
        <v>100</v>
      </c>
      <c r="M48" s="4">
        <v>0</v>
      </c>
      <c r="N48">
        <v>100</v>
      </c>
      <c r="P48">
        <v>0</v>
      </c>
      <c r="Q48">
        <f>QtyRemaining*EstMfgMin/60</f>
        <v>0</v>
      </c>
      <c r="U48" t="e">
        <f t="shared" si="2"/>
        <v>#REF!</v>
      </c>
      <c r="V48" s="5" t="e">
        <f t="shared" si="3"/>
        <v>#REF!</v>
      </c>
    </row>
    <row r="49" spans="1:22" x14ac:dyDescent="0.25">
      <c r="A49" s="2">
        <v>45985</v>
      </c>
      <c r="B49" s="2">
        <v>45684</v>
      </c>
      <c r="C49" t="s">
        <v>40</v>
      </c>
      <c r="D49">
        <v>48</v>
      </c>
      <c r="E49" t="s">
        <v>132</v>
      </c>
      <c r="F49" t="s">
        <v>100</v>
      </c>
      <c r="G49" t="s">
        <v>43</v>
      </c>
      <c r="H49" t="s">
        <v>133</v>
      </c>
      <c r="I49" t="s">
        <v>45</v>
      </c>
      <c r="J49" s="3" t="s">
        <v>134</v>
      </c>
      <c r="K49" t="s">
        <v>135</v>
      </c>
      <c r="L49" s="4">
        <v>1255</v>
      </c>
      <c r="M49" s="4">
        <v>840</v>
      </c>
      <c r="N49">
        <v>415</v>
      </c>
      <c r="P49">
        <v>0</v>
      </c>
      <c r="Q49">
        <f>QtyRemaining*EstMfgMin/60</f>
        <v>0</v>
      </c>
      <c r="U49" t="e">
        <f t="shared" si="2"/>
        <v>#REF!</v>
      </c>
      <c r="V49" s="5" t="e">
        <f t="shared" si="3"/>
        <v>#REF!</v>
      </c>
    </row>
    <row r="50" spans="1:22" x14ac:dyDescent="0.25">
      <c r="A50" s="2">
        <v>45992</v>
      </c>
      <c r="B50" s="2">
        <v>44851</v>
      </c>
      <c r="C50" t="s">
        <v>40</v>
      </c>
      <c r="D50">
        <v>49</v>
      </c>
      <c r="E50" t="s">
        <v>136</v>
      </c>
      <c r="F50" t="s">
        <v>100</v>
      </c>
      <c r="G50" t="s">
        <v>43</v>
      </c>
      <c r="H50" t="s">
        <v>137</v>
      </c>
      <c r="I50" t="s">
        <v>45</v>
      </c>
      <c r="J50" s="3" t="s">
        <v>138</v>
      </c>
      <c r="K50" t="s">
        <v>139</v>
      </c>
      <c r="L50" s="4">
        <v>25</v>
      </c>
      <c r="M50" s="4">
        <v>0</v>
      </c>
      <c r="N50">
        <v>25</v>
      </c>
      <c r="P50">
        <v>0</v>
      </c>
      <c r="Q50">
        <f>QtyRemaining*EstMfgMin/60</f>
        <v>0</v>
      </c>
      <c r="R50" t="s">
        <v>140</v>
      </c>
      <c r="U50" t="e">
        <f t="shared" si="2"/>
        <v>#REF!</v>
      </c>
      <c r="V50" s="5" t="e">
        <f t="shared" si="3"/>
        <v>#REF!</v>
      </c>
    </row>
    <row r="51" spans="1:22" x14ac:dyDescent="0.25">
      <c r="A51" s="2">
        <v>46006</v>
      </c>
      <c r="B51" s="2">
        <v>45735</v>
      </c>
      <c r="C51" t="s">
        <v>40</v>
      </c>
      <c r="D51">
        <v>51</v>
      </c>
      <c r="E51" t="s">
        <v>120</v>
      </c>
      <c r="F51" t="s">
        <v>100</v>
      </c>
      <c r="G51" t="s">
        <v>43</v>
      </c>
      <c r="H51" t="s">
        <v>121</v>
      </c>
      <c r="I51" t="s">
        <v>122</v>
      </c>
      <c r="J51" s="3" t="s">
        <v>126</v>
      </c>
      <c r="K51" t="s">
        <v>124</v>
      </c>
      <c r="L51" s="4">
        <v>18</v>
      </c>
      <c r="M51" s="4">
        <v>0</v>
      </c>
      <c r="N51">
        <v>18</v>
      </c>
      <c r="P51">
        <v>0</v>
      </c>
      <c r="Q51">
        <f>QtyRemaining*EstMfgMin/60</f>
        <v>0</v>
      </c>
      <c r="U51" t="e">
        <f t="shared" si="2"/>
        <v>#REF!</v>
      </c>
      <c r="V51" s="5" t="e">
        <f t="shared" si="3"/>
        <v>#REF!</v>
      </c>
    </row>
    <row r="52" spans="1:22" x14ac:dyDescent="0.25">
      <c r="A52" s="2">
        <v>46024</v>
      </c>
      <c r="B52" s="2">
        <v>45559</v>
      </c>
      <c r="C52" t="s">
        <v>40</v>
      </c>
      <c r="D52">
        <v>1</v>
      </c>
      <c r="E52" t="s">
        <v>111</v>
      </c>
      <c r="F52" t="s">
        <v>100</v>
      </c>
      <c r="G52" t="s">
        <v>43</v>
      </c>
      <c r="H52" t="s">
        <v>112</v>
      </c>
      <c r="I52" t="s">
        <v>45</v>
      </c>
      <c r="J52" s="3" t="s">
        <v>141</v>
      </c>
      <c r="K52" t="s">
        <v>131</v>
      </c>
      <c r="L52" s="4">
        <v>2000</v>
      </c>
      <c r="M52" s="4">
        <v>0</v>
      </c>
      <c r="N52">
        <v>2000</v>
      </c>
      <c r="O52" t="s">
        <v>118</v>
      </c>
      <c r="P52">
        <v>0</v>
      </c>
      <c r="Q52">
        <f>QtyRemaining*EstMfgMin/60</f>
        <v>0</v>
      </c>
      <c r="R52" t="s">
        <v>115</v>
      </c>
      <c r="U52" t="e">
        <f t="shared" si="2"/>
        <v>#REF!</v>
      </c>
      <c r="V52" s="5" t="e">
        <f t="shared" si="3"/>
        <v>#REF!</v>
      </c>
    </row>
    <row r="53" spans="1:22" x14ac:dyDescent="0.25">
      <c r="A53" s="2">
        <v>46049</v>
      </c>
      <c r="B53" s="2">
        <v>45863</v>
      </c>
      <c r="C53" t="s">
        <v>40</v>
      </c>
      <c r="D53">
        <v>5</v>
      </c>
      <c r="E53" t="s">
        <v>142</v>
      </c>
      <c r="F53" t="s">
        <v>100</v>
      </c>
      <c r="G53" t="s">
        <v>43</v>
      </c>
      <c r="H53" t="s">
        <v>143</v>
      </c>
      <c r="I53" t="s">
        <v>83</v>
      </c>
      <c r="J53" s="3" t="s">
        <v>144</v>
      </c>
      <c r="K53" t="s">
        <v>145</v>
      </c>
      <c r="L53" s="4">
        <v>57</v>
      </c>
      <c r="M53" s="4">
        <v>0</v>
      </c>
      <c r="N53">
        <v>57</v>
      </c>
      <c r="O53" t="s">
        <v>146</v>
      </c>
      <c r="P53">
        <v>30</v>
      </c>
      <c r="Q53">
        <f>QtyRemaining*EstMfgMin/60</f>
        <v>28.5</v>
      </c>
      <c r="U53" t="e">
        <f t="shared" si="2"/>
        <v>#REF!</v>
      </c>
      <c r="V53" s="5" t="e">
        <f t="shared" si="3"/>
        <v>#REF!</v>
      </c>
    </row>
    <row r="54" spans="1:22" x14ac:dyDescent="0.25">
      <c r="A54" s="2">
        <v>46051</v>
      </c>
      <c r="B54" s="2">
        <v>46008</v>
      </c>
      <c r="C54" t="s">
        <v>40</v>
      </c>
      <c r="D54">
        <v>5</v>
      </c>
      <c r="E54" t="s">
        <v>147</v>
      </c>
      <c r="F54" t="s">
        <v>100</v>
      </c>
      <c r="G54" t="s">
        <v>43</v>
      </c>
      <c r="H54" t="s">
        <v>148</v>
      </c>
      <c r="I54" t="s">
        <v>45</v>
      </c>
      <c r="J54" s="3" t="s">
        <v>149</v>
      </c>
      <c r="K54" t="s">
        <v>150</v>
      </c>
      <c r="L54" s="4">
        <v>93</v>
      </c>
      <c r="M54" s="4">
        <v>0</v>
      </c>
      <c r="N54">
        <v>93</v>
      </c>
      <c r="O54" t="s">
        <v>151</v>
      </c>
      <c r="P54">
        <v>0</v>
      </c>
      <c r="Q54">
        <f>QtyRemaining*EstMfgMin/60</f>
        <v>0</v>
      </c>
      <c r="R54" t="s">
        <v>152</v>
      </c>
      <c r="U54" t="e">
        <f t="shared" si="2"/>
        <v>#REF!</v>
      </c>
      <c r="V54" s="5" t="e">
        <f t="shared" si="3"/>
        <v>#REF!</v>
      </c>
    </row>
    <row r="55" spans="1:22" x14ac:dyDescent="0.25">
      <c r="A55" s="2">
        <v>46055</v>
      </c>
      <c r="B55" s="2">
        <v>45559</v>
      </c>
      <c r="C55" t="s">
        <v>40</v>
      </c>
      <c r="D55">
        <v>6</v>
      </c>
      <c r="E55" t="s">
        <v>111</v>
      </c>
      <c r="F55" t="s">
        <v>100</v>
      </c>
      <c r="G55" t="s">
        <v>43</v>
      </c>
      <c r="H55" t="s">
        <v>112</v>
      </c>
      <c r="I55" t="s">
        <v>45</v>
      </c>
      <c r="J55" s="3" t="s">
        <v>141</v>
      </c>
      <c r="K55" t="s">
        <v>131</v>
      </c>
      <c r="L55" s="4">
        <v>2000</v>
      </c>
      <c r="M55" s="4">
        <v>0</v>
      </c>
      <c r="N55">
        <v>2000</v>
      </c>
      <c r="O55" t="s">
        <v>118</v>
      </c>
      <c r="P55">
        <v>0</v>
      </c>
      <c r="Q55">
        <f>QtyRemaining*EstMfgMin/60</f>
        <v>0</v>
      </c>
      <c r="R55" t="s">
        <v>115</v>
      </c>
      <c r="U55" t="e">
        <f t="shared" si="2"/>
        <v>#REF!</v>
      </c>
      <c r="V55" s="5" t="e">
        <f t="shared" si="3"/>
        <v>#REF!</v>
      </c>
    </row>
    <row r="56" spans="1:22" x14ac:dyDescent="0.25">
      <c r="A56" s="2">
        <v>46055</v>
      </c>
      <c r="B56" s="2">
        <v>45876</v>
      </c>
      <c r="C56" t="s">
        <v>40</v>
      </c>
      <c r="D56">
        <v>6</v>
      </c>
      <c r="E56" t="s">
        <v>153</v>
      </c>
      <c r="F56" t="s">
        <v>100</v>
      </c>
      <c r="G56" t="s">
        <v>43</v>
      </c>
      <c r="H56" t="s">
        <v>154</v>
      </c>
      <c r="I56" t="s">
        <v>155</v>
      </c>
      <c r="J56" s="3" t="s">
        <v>156</v>
      </c>
      <c r="K56" t="s">
        <v>157</v>
      </c>
      <c r="L56" s="4">
        <v>330</v>
      </c>
      <c r="M56" s="4">
        <v>0</v>
      </c>
      <c r="N56">
        <v>330</v>
      </c>
      <c r="P56">
        <v>0</v>
      </c>
      <c r="Q56">
        <f>QtyRemaining*EstMfgMin/60</f>
        <v>0</v>
      </c>
      <c r="R56" t="s">
        <v>158</v>
      </c>
      <c r="U56" t="e">
        <f t="shared" si="2"/>
        <v>#REF!</v>
      </c>
      <c r="V56" s="5" t="e">
        <f t="shared" si="3"/>
        <v>#REF!</v>
      </c>
    </row>
    <row r="57" spans="1:22" x14ac:dyDescent="0.25">
      <c r="A57" s="2">
        <v>46055</v>
      </c>
      <c r="B57" s="2">
        <v>45876</v>
      </c>
      <c r="C57" t="s">
        <v>40</v>
      </c>
      <c r="D57">
        <v>6</v>
      </c>
      <c r="E57" t="s">
        <v>153</v>
      </c>
      <c r="F57" t="s">
        <v>100</v>
      </c>
      <c r="G57" t="s">
        <v>43</v>
      </c>
      <c r="H57" t="s">
        <v>154</v>
      </c>
      <c r="I57" t="s">
        <v>155</v>
      </c>
      <c r="J57" s="3" t="s">
        <v>159</v>
      </c>
      <c r="K57" t="s">
        <v>160</v>
      </c>
      <c r="L57" s="4">
        <v>685</v>
      </c>
      <c r="M57" s="4">
        <v>0</v>
      </c>
      <c r="N57">
        <v>685</v>
      </c>
      <c r="O57" t="s">
        <v>146</v>
      </c>
      <c r="P57">
        <v>0</v>
      </c>
      <c r="Q57">
        <f>QtyRemaining*EstMfgMin/60</f>
        <v>0</v>
      </c>
      <c r="R57" t="s">
        <v>158</v>
      </c>
      <c r="U57" t="e">
        <f t="shared" si="2"/>
        <v>#REF!</v>
      </c>
      <c r="V57" s="5" t="e">
        <f t="shared" si="3"/>
        <v>#REF!</v>
      </c>
    </row>
    <row r="58" spans="1:22" x14ac:dyDescent="0.25">
      <c r="A58" s="2">
        <v>46055</v>
      </c>
      <c r="B58" s="2">
        <v>45876</v>
      </c>
      <c r="C58" t="s">
        <v>40</v>
      </c>
      <c r="D58">
        <v>6</v>
      </c>
      <c r="E58" t="s">
        <v>153</v>
      </c>
      <c r="F58" t="s">
        <v>100</v>
      </c>
      <c r="G58" t="s">
        <v>43</v>
      </c>
      <c r="H58" t="s">
        <v>154</v>
      </c>
      <c r="I58" t="s">
        <v>155</v>
      </c>
      <c r="J58" s="3" t="s">
        <v>161</v>
      </c>
      <c r="K58" t="s">
        <v>162</v>
      </c>
      <c r="L58" s="4">
        <v>151</v>
      </c>
      <c r="M58" s="4">
        <v>0</v>
      </c>
      <c r="N58">
        <v>151</v>
      </c>
      <c r="O58" t="s">
        <v>146</v>
      </c>
      <c r="P58">
        <v>0</v>
      </c>
      <c r="Q58">
        <f>QtyRemaining*EstMfgMin/60</f>
        <v>0</v>
      </c>
      <c r="R58" t="s">
        <v>158</v>
      </c>
      <c r="U58" t="e">
        <f t="shared" si="2"/>
        <v>#REF!</v>
      </c>
      <c r="V58" s="5" t="e">
        <f t="shared" si="3"/>
        <v>#REF!</v>
      </c>
    </row>
    <row r="59" spans="1:22" x14ac:dyDescent="0.25">
      <c r="A59" s="2">
        <v>46056</v>
      </c>
      <c r="B59" s="2">
        <v>45723</v>
      </c>
      <c r="C59" t="s">
        <v>40</v>
      </c>
      <c r="D59">
        <v>6</v>
      </c>
      <c r="E59" t="s">
        <v>163</v>
      </c>
      <c r="F59" t="s">
        <v>100</v>
      </c>
      <c r="G59" t="s">
        <v>43</v>
      </c>
      <c r="H59" t="s">
        <v>164</v>
      </c>
      <c r="I59" t="s">
        <v>45</v>
      </c>
      <c r="J59" s="3" t="s">
        <v>165</v>
      </c>
      <c r="K59" t="s">
        <v>166</v>
      </c>
      <c r="L59" s="4">
        <v>200</v>
      </c>
      <c r="M59" s="4">
        <v>141</v>
      </c>
      <c r="N59">
        <v>59</v>
      </c>
      <c r="O59" t="s">
        <v>94</v>
      </c>
      <c r="P59">
        <v>0</v>
      </c>
      <c r="Q59">
        <f>QtyRemaining*EstMfgMin/60</f>
        <v>0</v>
      </c>
      <c r="U59" t="e">
        <f t="shared" si="2"/>
        <v>#REF!</v>
      </c>
      <c r="V59" s="5" t="e">
        <f t="shared" si="3"/>
        <v>#REF!</v>
      </c>
    </row>
    <row r="60" spans="1:22" x14ac:dyDescent="0.25">
      <c r="A60" s="2">
        <v>46083</v>
      </c>
      <c r="B60" s="2">
        <v>45559</v>
      </c>
      <c r="C60" t="s">
        <v>40</v>
      </c>
      <c r="D60">
        <v>10</v>
      </c>
      <c r="E60" t="s">
        <v>111</v>
      </c>
      <c r="F60" t="s">
        <v>100</v>
      </c>
      <c r="G60" t="s">
        <v>43</v>
      </c>
      <c r="H60" t="s">
        <v>112</v>
      </c>
      <c r="I60" t="s">
        <v>45</v>
      </c>
      <c r="J60" s="3" t="s">
        <v>141</v>
      </c>
      <c r="K60" t="s">
        <v>131</v>
      </c>
      <c r="L60" s="4">
        <v>2000</v>
      </c>
      <c r="M60" s="4">
        <v>0</v>
      </c>
      <c r="N60">
        <v>2000</v>
      </c>
      <c r="O60" t="s">
        <v>118</v>
      </c>
      <c r="P60">
        <v>0</v>
      </c>
      <c r="Q60">
        <f>QtyRemaining*EstMfgMin/60</f>
        <v>0</v>
      </c>
      <c r="R60" t="s">
        <v>115</v>
      </c>
      <c r="U60" t="e">
        <f t="shared" si="2"/>
        <v>#REF!</v>
      </c>
      <c r="V60" s="5" t="e">
        <f t="shared" si="3"/>
        <v>#REF!</v>
      </c>
    </row>
    <row r="61" spans="1:22" x14ac:dyDescent="0.25">
      <c r="A61" s="2">
        <v>46113</v>
      </c>
      <c r="B61" s="2">
        <v>45559</v>
      </c>
      <c r="C61" t="s">
        <v>40</v>
      </c>
      <c r="D61">
        <v>14</v>
      </c>
      <c r="E61" t="s">
        <v>111</v>
      </c>
      <c r="F61" t="s">
        <v>100</v>
      </c>
      <c r="G61" t="s">
        <v>43</v>
      </c>
      <c r="H61" t="s">
        <v>112</v>
      </c>
      <c r="I61" t="s">
        <v>45</v>
      </c>
      <c r="J61" s="3" t="s">
        <v>141</v>
      </c>
      <c r="K61" t="s">
        <v>131</v>
      </c>
      <c r="L61" s="4">
        <v>2000</v>
      </c>
      <c r="M61" s="4">
        <v>0</v>
      </c>
      <c r="N61">
        <v>2000</v>
      </c>
      <c r="O61" t="s">
        <v>118</v>
      </c>
      <c r="P61">
        <v>0</v>
      </c>
      <c r="Q61">
        <f>QtyRemaining*EstMfgMin/60</f>
        <v>0</v>
      </c>
      <c r="R61" t="s">
        <v>115</v>
      </c>
      <c r="U61" t="e">
        <f t="shared" si="2"/>
        <v>#REF!</v>
      </c>
      <c r="V61" s="5" t="e">
        <f t="shared" si="3"/>
        <v>#REF!</v>
      </c>
    </row>
    <row r="62" spans="1:22" x14ac:dyDescent="0.25">
      <c r="A62" s="2">
        <v>46115</v>
      </c>
      <c r="B62" s="2">
        <v>45967</v>
      </c>
      <c r="C62" t="s">
        <v>40</v>
      </c>
      <c r="D62">
        <v>14</v>
      </c>
      <c r="E62" t="s">
        <v>167</v>
      </c>
      <c r="F62" t="s">
        <v>100</v>
      </c>
      <c r="G62" t="s">
        <v>43</v>
      </c>
      <c r="H62" t="s">
        <v>168</v>
      </c>
      <c r="I62" t="s">
        <v>45</v>
      </c>
      <c r="J62" s="3" t="s">
        <v>169</v>
      </c>
      <c r="K62" t="s">
        <v>170</v>
      </c>
      <c r="L62" s="4">
        <v>51</v>
      </c>
      <c r="M62" s="4">
        <v>0</v>
      </c>
      <c r="N62">
        <v>51</v>
      </c>
      <c r="O62" t="s">
        <v>171</v>
      </c>
      <c r="P62">
        <v>0</v>
      </c>
      <c r="Q62">
        <f>QtyRemaining*EstMfgMin/60</f>
        <v>0</v>
      </c>
      <c r="U62" t="e">
        <f t="shared" si="2"/>
        <v>#REF!</v>
      </c>
      <c r="V62" s="5" t="e">
        <f t="shared" si="3"/>
        <v>#REF!</v>
      </c>
    </row>
    <row r="63" spans="1:22" x14ac:dyDescent="0.25">
      <c r="A63" s="2">
        <v>46115</v>
      </c>
      <c r="B63" s="2">
        <v>45967</v>
      </c>
      <c r="C63" t="s">
        <v>40</v>
      </c>
      <c r="D63">
        <v>14</v>
      </c>
      <c r="E63" t="s">
        <v>167</v>
      </c>
      <c r="F63" t="s">
        <v>100</v>
      </c>
      <c r="G63" t="s">
        <v>43</v>
      </c>
      <c r="H63" t="s">
        <v>168</v>
      </c>
      <c r="I63" t="s">
        <v>45</v>
      </c>
      <c r="J63" s="3" t="s">
        <v>169</v>
      </c>
      <c r="K63" t="s">
        <v>170</v>
      </c>
      <c r="L63" s="4">
        <v>10</v>
      </c>
      <c r="M63" s="4">
        <v>0</v>
      </c>
      <c r="N63">
        <v>10</v>
      </c>
      <c r="O63" t="s">
        <v>171</v>
      </c>
      <c r="P63">
        <v>0</v>
      </c>
      <c r="Q63">
        <f>QtyRemaining*EstMfgMin/60</f>
        <v>0</v>
      </c>
      <c r="U63" t="e">
        <f t="shared" si="2"/>
        <v>#REF!</v>
      </c>
      <c r="V63" s="5" t="e">
        <f t="shared" si="3"/>
        <v>#REF!</v>
      </c>
    </row>
    <row r="64" spans="1:22" x14ac:dyDescent="0.25">
      <c r="A64" s="2">
        <v>46115</v>
      </c>
      <c r="B64" s="2">
        <v>45967</v>
      </c>
      <c r="C64" t="s">
        <v>40</v>
      </c>
      <c r="D64">
        <v>14</v>
      </c>
      <c r="E64" t="s">
        <v>167</v>
      </c>
      <c r="F64" t="s">
        <v>100</v>
      </c>
      <c r="G64" t="s">
        <v>43</v>
      </c>
      <c r="H64" t="s">
        <v>168</v>
      </c>
      <c r="I64" t="s">
        <v>45</v>
      </c>
      <c r="J64" s="3" t="s">
        <v>169</v>
      </c>
      <c r="K64" t="s">
        <v>170</v>
      </c>
      <c r="L64" s="4">
        <v>10</v>
      </c>
      <c r="M64" s="4">
        <v>0</v>
      </c>
      <c r="N64">
        <v>10</v>
      </c>
      <c r="O64" t="s">
        <v>171</v>
      </c>
      <c r="P64">
        <v>0</v>
      </c>
      <c r="Q64">
        <f>QtyRemaining*EstMfgMin/60</f>
        <v>0</v>
      </c>
      <c r="U64" t="e">
        <f t="shared" si="2"/>
        <v>#REF!</v>
      </c>
      <c r="V64" s="5" t="e">
        <f t="shared" si="3"/>
        <v>#REF!</v>
      </c>
    </row>
    <row r="65" spans="1:22" x14ac:dyDescent="0.25">
      <c r="A65" s="2">
        <v>46115</v>
      </c>
      <c r="B65" s="2">
        <v>45967</v>
      </c>
      <c r="C65" t="s">
        <v>40</v>
      </c>
      <c r="D65">
        <v>14</v>
      </c>
      <c r="E65" t="s">
        <v>167</v>
      </c>
      <c r="F65" t="s">
        <v>100</v>
      </c>
      <c r="G65" t="s">
        <v>43</v>
      </c>
      <c r="H65" t="s">
        <v>168</v>
      </c>
      <c r="I65" t="s">
        <v>45</v>
      </c>
      <c r="J65" s="3" t="s">
        <v>169</v>
      </c>
      <c r="K65" t="s">
        <v>170</v>
      </c>
      <c r="L65" s="4">
        <v>10</v>
      </c>
      <c r="M65" s="4">
        <v>0</v>
      </c>
      <c r="N65">
        <v>10</v>
      </c>
      <c r="O65" t="s">
        <v>171</v>
      </c>
      <c r="P65">
        <v>0</v>
      </c>
      <c r="Q65">
        <f>QtyRemaining*EstMfgMin/60</f>
        <v>0</v>
      </c>
      <c r="U65" t="e">
        <f t="shared" si="2"/>
        <v>#REF!</v>
      </c>
      <c r="V65" s="5" t="e">
        <f t="shared" si="3"/>
        <v>#REF!</v>
      </c>
    </row>
    <row r="66" spans="1:22" x14ac:dyDescent="0.25">
      <c r="A66" s="2">
        <v>46115</v>
      </c>
      <c r="B66" s="2">
        <v>45967</v>
      </c>
      <c r="C66" t="s">
        <v>40</v>
      </c>
      <c r="D66">
        <v>14</v>
      </c>
      <c r="E66" t="s">
        <v>167</v>
      </c>
      <c r="F66" t="s">
        <v>100</v>
      </c>
      <c r="G66" t="s">
        <v>43</v>
      </c>
      <c r="H66" t="s">
        <v>168</v>
      </c>
      <c r="I66" t="s">
        <v>45</v>
      </c>
      <c r="J66" s="3" t="s">
        <v>169</v>
      </c>
      <c r="K66" t="s">
        <v>170</v>
      </c>
      <c r="L66" s="4">
        <v>10</v>
      </c>
      <c r="M66" s="4">
        <v>0</v>
      </c>
      <c r="N66">
        <v>10</v>
      </c>
      <c r="O66" t="s">
        <v>171</v>
      </c>
      <c r="P66">
        <v>0</v>
      </c>
      <c r="Q66">
        <f>QtyRemaining*EstMfgMin/60</f>
        <v>0</v>
      </c>
      <c r="U66" t="e">
        <f t="shared" si="2"/>
        <v>#REF!</v>
      </c>
      <c r="V66" s="5" t="e">
        <f t="shared" si="3"/>
        <v>#REF!</v>
      </c>
    </row>
    <row r="67" spans="1:22" x14ac:dyDescent="0.25">
      <c r="A67" s="2">
        <v>46115</v>
      </c>
      <c r="B67" s="2">
        <v>45967</v>
      </c>
      <c r="C67" t="s">
        <v>40</v>
      </c>
      <c r="D67">
        <v>14</v>
      </c>
      <c r="E67" t="s">
        <v>167</v>
      </c>
      <c r="F67" t="s">
        <v>100</v>
      </c>
      <c r="G67" t="s">
        <v>43</v>
      </c>
      <c r="H67" t="s">
        <v>168</v>
      </c>
      <c r="I67" t="s">
        <v>45</v>
      </c>
      <c r="J67" s="3" t="s">
        <v>169</v>
      </c>
      <c r="K67" t="s">
        <v>170</v>
      </c>
      <c r="L67" s="4">
        <v>10</v>
      </c>
      <c r="M67" s="4">
        <v>0</v>
      </c>
      <c r="N67">
        <v>10</v>
      </c>
      <c r="O67" t="s">
        <v>171</v>
      </c>
      <c r="P67">
        <v>0</v>
      </c>
      <c r="Q67">
        <f>QtyRemaining*EstMfgMin/60</f>
        <v>0</v>
      </c>
      <c r="U67" t="e">
        <f t="shared" ref="U67:U130" si="4">VLOOKUP(A67,Calendar,13,FALSE)</f>
        <v>#REF!</v>
      </c>
      <c r="V67" s="5" t="e">
        <f t="shared" ref="V67:V130" si="5">VLOOKUP(A67,Calendar,14,FALSE)</f>
        <v>#REF!</v>
      </c>
    </row>
    <row r="68" spans="1:22" x14ac:dyDescent="0.25">
      <c r="A68" s="2">
        <v>46115</v>
      </c>
      <c r="B68" s="2">
        <v>45967</v>
      </c>
      <c r="C68" t="s">
        <v>40</v>
      </c>
      <c r="D68">
        <v>14</v>
      </c>
      <c r="E68" t="s">
        <v>167</v>
      </c>
      <c r="F68" t="s">
        <v>100</v>
      </c>
      <c r="G68" t="s">
        <v>43</v>
      </c>
      <c r="H68" t="s">
        <v>168</v>
      </c>
      <c r="I68" t="s">
        <v>45</v>
      </c>
      <c r="J68" s="3" t="s">
        <v>169</v>
      </c>
      <c r="K68" t="s">
        <v>170</v>
      </c>
      <c r="L68" s="4">
        <v>10</v>
      </c>
      <c r="M68" s="4">
        <v>0</v>
      </c>
      <c r="N68">
        <v>10</v>
      </c>
      <c r="O68" t="s">
        <v>171</v>
      </c>
      <c r="P68">
        <v>0</v>
      </c>
      <c r="Q68">
        <f>QtyRemaining*EstMfgMin/60</f>
        <v>0</v>
      </c>
      <c r="U68" t="e">
        <f t="shared" si="4"/>
        <v>#REF!</v>
      </c>
      <c r="V68" s="5" t="e">
        <f t="shared" si="5"/>
        <v>#REF!</v>
      </c>
    </row>
    <row r="69" spans="1:22" x14ac:dyDescent="0.25">
      <c r="A69" s="2">
        <v>46115</v>
      </c>
      <c r="B69" s="2">
        <v>45967</v>
      </c>
      <c r="C69" t="s">
        <v>40</v>
      </c>
      <c r="D69">
        <v>14</v>
      </c>
      <c r="E69" t="s">
        <v>167</v>
      </c>
      <c r="F69" t="s">
        <v>100</v>
      </c>
      <c r="G69" t="s">
        <v>43</v>
      </c>
      <c r="H69" t="s">
        <v>168</v>
      </c>
      <c r="I69" t="s">
        <v>45</v>
      </c>
      <c r="J69" s="3" t="s">
        <v>169</v>
      </c>
      <c r="K69" t="s">
        <v>170</v>
      </c>
      <c r="L69" s="4">
        <v>10</v>
      </c>
      <c r="M69" s="4">
        <v>0</v>
      </c>
      <c r="N69">
        <v>10</v>
      </c>
      <c r="O69" t="s">
        <v>171</v>
      </c>
      <c r="P69">
        <v>0</v>
      </c>
      <c r="Q69">
        <f>QtyRemaining*EstMfgMin/60</f>
        <v>0</v>
      </c>
      <c r="U69" t="e">
        <f t="shared" si="4"/>
        <v>#REF!</v>
      </c>
      <c r="V69" s="5" t="e">
        <f t="shared" si="5"/>
        <v>#REF!</v>
      </c>
    </row>
    <row r="70" spans="1:22" x14ac:dyDescent="0.25">
      <c r="A70" s="2">
        <v>46115</v>
      </c>
      <c r="B70" s="2">
        <v>45967</v>
      </c>
      <c r="C70" t="s">
        <v>40</v>
      </c>
      <c r="D70">
        <v>14</v>
      </c>
      <c r="E70" t="s">
        <v>167</v>
      </c>
      <c r="F70" t="s">
        <v>100</v>
      </c>
      <c r="G70" t="s">
        <v>43</v>
      </c>
      <c r="H70" t="s">
        <v>168</v>
      </c>
      <c r="I70" t="s">
        <v>45</v>
      </c>
      <c r="J70" s="3" t="s">
        <v>169</v>
      </c>
      <c r="K70" t="s">
        <v>170</v>
      </c>
      <c r="L70" s="4">
        <v>10</v>
      </c>
      <c r="M70" s="4">
        <v>0</v>
      </c>
      <c r="N70">
        <v>10</v>
      </c>
      <c r="O70" t="s">
        <v>171</v>
      </c>
      <c r="P70">
        <v>0</v>
      </c>
      <c r="Q70">
        <f>QtyRemaining*EstMfgMin/60</f>
        <v>0</v>
      </c>
      <c r="U70" t="e">
        <f t="shared" si="4"/>
        <v>#REF!</v>
      </c>
      <c r="V70" s="5" t="e">
        <f t="shared" si="5"/>
        <v>#REF!</v>
      </c>
    </row>
    <row r="71" spans="1:22" x14ac:dyDescent="0.25">
      <c r="A71" s="2">
        <v>46115</v>
      </c>
      <c r="B71" s="2">
        <v>45967</v>
      </c>
      <c r="C71" t="s">
        <v>40</v>
      </c>
      <c r="D71">
        <v>14</v>
      </c>
      <c r="E71" t="s">
        <v>167</v>
      </c>
      <c r="F71" t="s">
        <v>100</v>
      </c>
      <c r="G71" t="s">
        <v>43</v>
      </c>
      <c r="H71" t="s">
        <v>168</v>
      </c>
      <c r="I71" t="s">
        <v>45</v>
      </c>
      <c r="J71" s="3" t="s">
        <v>169</v>
      </c>
      <c r="K71" t="s">
        <v>170</v>
      </c>
      <c r="L71" s="4">
        <v>10</v>
      </c>
      <c r="M71" s="4">
        <v>0</v>
      </c>
      <c r="N71">
        <v>10</v>
      </c>
      <c r="O71" t="s">
        <v>171</v>
      </c>
      <c r="P71">
        <v>0</v>
      </c>
      <c r="Q71">
        <f>QtyRemaining*EstMfgMin/60</f>
        <v>0</v>
      </c>
      <c r="U71" t="e">
        <f t="shared" si="4"/>
        <v>#REF!</v>
      </c>
      <c r="V71" s="5" t="e">
        <f t="shared" si="5"/>
        <v>#REF!</v>
      </c>
    </row>
    <row r="72" spans="1:22" x14ac:dyDescent="0.25">
      <c r="A72" s="2">
        <v>46115</v>
      </c>
      <c r="B72" s="2">
        <v>45967</v>
      </c>
      <c r="C72" t="s">
        <v>40</v>
      </c>
      <c r="D72">
        <v>14</v>
      </c>
      <c r="E72" t="s">
        <v>167</v>
      </c>
      <c r="F72" t="s">
        <v>100</v>
      </c>
      <c r="G72" t="s">
        <v>43</v>
      </c>
      <c r="H72" t="s">
        <v>168</v>
      </c>
      <c r="I72" t="s">
        <v>45</v>
      </c>
      <c r="J72" s="3" t="s">
        <v>169</v>
      </c>
      <c r="K72" t="s">
        <v>170</v>
      </c>
      <c r="L72" s="4">
        <v>10</v>
      </c>
      <c r="M72" s="4">
        <v>0</v>
      </c>
      <c r="N72">
        <v>10</v>
      </c>
      <c r="O72" t="s">
        <v>171</v>
      </c>
      <c r="P72">
        <v>0</v>
      </c>
      <c r="Q72">
        <f>QtyRemaining*EstMfgMin/60</f>
        <v>0</v>
      </c>
      <c r="U72" t="e">
        <f t="shared" si="4"/>
        <v>#REF!</v>
      </c>
      <c r="V72" s="5" t="e">
        <f t="shared" si="5"/>
        <v>#REF!</v>
      </c>
    </row>
    <row r="73" spans="1:22" x14ac:dyDescent="0.25">
      <c r="A73" s="2">
        <v>46115</v>
      </c>
      <c r="B73" s="2">
        <v>45967</v>
      </c>
      <c r="C73" t="s">
        <v>40</v>
      </c>
      <c r="D73">
        <v>14</v>
      </c>
      <c r="E73" t="s">
        <v>167</v>
      </c>
      <c r="F73" t="s">
        <v>100</v>
      </c>
      <c r="G73" t="s">
        <v>43</v>
      </c>
      <c r="H73" t="s">
        <v>168</v>
      </c>
      <c r="I73" t="s">
        <v>45</v>
      </c>
      <c r="J73" s="3" t="s">
        <v>169</v>
      </c>
      <c r="K73" t="s">
        <v>170</v>
      </c>
      <c r="L73" s="4">
        <v>3</v>
      </c>
      <c r="M73" s="4">
        <v>0</v>
      </c>
      <c r="N73">
        <v>3</v>
      </c>
      <c r="O73" t="s">
        <v>171</v>
      </c>
      <c r="P73">
        <v>0</v>
      </c>
      <c r="Q73">
        <f>QtyRemaining*EstMfgMin/60</f>
        <v>0</v>
      </c>
      <c r="U73" t="e">
        <f t="shared" si="4"/>
        <v>#REF!</v>
      </c>
      <c r="V73" s="5" t="e">
        <f t="shared" si="5"/>
        <v>#REF!</v>
      </c>
    </row>
    <row r="74" spans="1:22" x14ac:dyDescent="0.25">
      <c r="A74" s="2">
        <v>46115</v>
      </c>
      <c r="B74" s="2">
        <v>45967</v>
      </c>
      <c r="C74" t="s">
        <v>40</v>
      </c>
      <c r="D74">
        <v>14</v>
      </c>
      <c r="E74" t="s">
        <v>167</v>
      </c>
      <c r="F74" t="s">
        <v>100</v>
      </c>
      <c r="G74" t="s">
        <v>43</v>
      </c>
      <c r="H74" t="s">
        <v>168</v>
      </c>
      <c r="I74" t="s">
        <v>45</v>
      </c>
      <c r="J74" s="3" t="s">
        <v>172</v>
      </c>
      <c r="K74" t="s">
        <v>173</v>
      </c>
      <c r="L74" s="4">
        <v>4</v>
      </c>
      <c r="M74" s="4">
        <v>0</v>
      </c>
      <c r="N74">
        <v>4</v>
      </c>
      <c r="O74" t="s">
        <v>118</v>
      </c>
      <c r="P74">
        <v>0</v>
      </c>
      <c r="Q74">
        <f>QtyRemaining*EstMfgMin/60</f>
        <v>0</v>
      </c>
      <c r="U74" t="e">
        <f t="shared" si="4"/>
        <v>#REF!</v>
      </c>
      <c r="V74" s="5" t="e">
        <f t="shared" si="5"/>
        <v>#REF!</v>
      </c>
    </row>
    <row r="75" spans="1:22" x14ac:dyDescent="0.25">
      <c r="A75" s="2">
        <v>46115</v>
      </c>
      <c r="B75" s="2">
        <v>45967</v>
      </c>
      <c r="C75" t="s">
        <v>40</v>
      </c>
      <c r="D75">
        <v>14</v>
      </c>
      <c r="E75" t="s">
        <v>167</v>
      </c>
      <c r="F75" t="s">
        <v>100</v>
      </c>
      <c r="G75" t="s">
        <v>43</v>
      </c>
      <c r="H75" t="s">
        <v>168</v>
      </c>
      <c r="I75" t="s">
        <v>45</v>
      </c>
      <c r="J75" s="3" t="s">
        <v>174</v>
      </c>
      <c r="K75" t="s">
        <v>175</v>
      </c>
      <c r="L75" s="4">
        <v>10</v>
      </c>
      <c r="M75" s="4">
        <v>0</v>
      </c>
      <c r="N75">
        <v>10</v>
      </c>
      <c r="O75" t="s">
        <v>176</v>
      </c>
      <c r="P75">
        <v>0</v>
      </c>
      <c r="Q75">
        <f>QtyRemaining*EstMfgMin/60</f>
        <v>0</v>
      </c>
      <c r="U75" t="e">
        <f t="shared" si="4"/>
        <v>#REF!</v>
      </c>
      <c r="V75" s="5" t="e">
        <f t="shared" si="5"/>
        <v>#REF!</v>
      </c>
    </row>
    <row r="76" spans="1:22" x14ac:dyDescent="0.25">
      <c r="A76" s="2">
        <v>46115</v>
      </c>
      <c r="B76" s="2">
        <v>45967</v>
      </c>
      <c r="C76" t="s">
        <v>40</v>
      </c>
      <c r="D76">
        <v>14</v>
      </c>
      <c r="E76" t="s">
        <v>167</v>
      </c>
      <c r="F76" t="s">
        <v>100</v>
      </c>
      <c r="G76" t="s">
        <v>43</v>
      </c>
      <c r="H76" t="s">
        <v>168</v>
      </c>
      <c r="I76" t="s">
        <v>45</v>
      </c>
      <c r="J76" s="3" t="s">
        <v>174</v>
      </c>
      <c r="K76" t="s">
        <v>175</v>
      </c>
      <c r="L76" s="4">
        <v>4</v>
      </c>
      <c r="M76" s="4">
        <v>0</v>
      </c>
      <c r="N76">
        <v>4</v>
      </c>
      <c r="O76" t="s">
        <v>176</v>
      </c>
      <c r="P76">
        <v>0</v>
      </c>
      <c r="Q76">
        <f>QtyRemaining*EstMfgMin/60</f>
        <v>0</v>
      </c>
      <c r="U76" t="e">
        <f t="shared" si="4"/>
        <v>#REF!</v>
      </c>
      <c r="V76" s="5" t="e">
        <f t="shared" si="5"/>
        <v>#REF!</v>
      </c>
    </row>
    <row r="77" spans="1:22" x14ac:dyDescent="0.25">
      <c r="A77" s="2">
        <v>46115</v>
      </c>
      <c r="B77" s="2">
        <v>45967</v>
      </c>
      <c r="C77" t="s">
        <v>40</v>
      </c>
      <c r="D77">
        <v>14</v>
      </c>
      <c r="E77" t="s">
        <v>167</v>
      </c>
      <c r="F77" t="s">
        <v>100</v>
      </c>
      <c r="G77" t="s">
        <v>43</v>
      </c>
      <c r="H77" t="s">
        <v>168</v>
      </c>
      <c r="I77" t="s">
        <v>45</v>
      </c>
      <c r="J77" s="3" t="s">
        <v>174</v>
      </c>
      <c r="K77" t="s">
        <v>175</v>
      </c>
      <c r="L77" s="4">
        <v>4</v>
      </c>
      <c r="M77" s="4">
        <v>0</v>
      </c>
      <c r="N77">
        <v>4</v>
      </c>
      <c r="O77" t="s">
        <v>176</v>
      </c>
      <c r="P77">
        <v>0</v>
      </c>
      <c r="Q77">
        <f>QtyRemaining*EstMfgMin/60</f>
        <v>0</v>
      </c>
      <c r="U77" t="e">
        <f t="shared" si="4"/>
        <v>#REF!</v>
      </c>
      <c r="V77" s="5" t="e">
        <f t="shared" si="5"/>
        <v>#REF!</v>
      </c>
    </row>
    <row r="78" spans="1:22" x14ac:dyDescent="0.25">
      <c r="A78" s="2">
        <v>46115</v>
      </c>
      <c r="B78" s="2">
        <v>45967</v>
      </c>
      <c r="C78" t="s">
        <v>40</v>
      </c>
      <c r="D78">
        <v>14</v>
      </c>
      <c r="E78" t="s">
        <v>167</v>
      </c>
      <c r="F78" t="s">
        <v>100</v>
      </c>
      <c r="G78" t="s">
        <v>43</v>
      </c>
      <c r="H78" t="s">
        <v>168</v>
      </c>
      <c r="I78" t="s">
        <v>45</v>
      </c>
      <c r="J78" s="3" t="s">
        <v>174</v>
      </c>
      <c r="K78" t="s">
        <v>175</v>
      </c>
      <c r="L78" s="4">
        <v>4</v>
      </c>
      <c r="M78" s="4">
        <v>0</v>
      </c>
      <c r="N78">
        <v>4</v>
      </c>
      <c r="O78" t="s">
        <v>176</v>
      </c>
      <c r="P78">
        <v>0</v>
      </c>
      <c r="Q78">
        <f>QtyRemaining*EstMfgMin/60</f>
        <v>0</v>
      </c>
      <c r="U78" t="e">
        <f t="shared" si="4"/>
        <v>#REF!</v>
      </c>
      <c r="V78" s="5" t="e">
        <f t="shared" si="5"/>
        <v>#REF!</v>
      </c>
    </row>
    <row r="79" spans="1:22" x14ac:dyDescent="0.25">
      <c r="A79" s="2">
        <v>46115</v>
      </c>
      <c r="B79" s="2">
        <v>45967</v>
      </c>
      <c r="C79" t="s">
        <v>40</v>
      </c>
      <c r="D79">
        <v>14</v>
      </c>
      <c r="E79" t="s">
        <v>167</v>
      </c>
      <c r="F79" t="s">
        <v>100</v>
      </c>
      <c r="G79" t="s">
        <v>43</v>
      </c>
      <c r="H79" t="s">
        <v>168</v>
      </c>
      <c r="I79" t="s">
        <v>45</v>
      </c>
      <c r="J79" s="3" t="s">
        <v>174</v>
      </c>
      <c r="K79" t="s">
        <v>175</v>
      </c>
      <c r="L79" s="4">
        <v>4</v>
      </c>
      <c r="M79" s="4">
        <v>0</v>
      </c>
      <c r="N79">
        <v>4</v>
      </c>
      <c r="O79" t="s">
        <v>171</v>
      </c>
      <c r="P79">
        <v>0</v>
      </c>
      <c r="Q79">
        <f>QtyRemaining*EstMfgMin/60</f>
        <v>0</v>
      </c>
      <c r="U79" t="e">
        <f t="shared" si="4"/>
        <v>#REF!</v>
      </c>
      <c r="V79" s="5" t="e">
        <f t="shared" si="5"/>
        <v>#REF!</v>
      </c>
    </row>
    <row r="80" spans="1:22" x14ac:dyDescent="0.25">
      <c r="A80" s="2">
        <v>46143</v>
      </c>
      <c r="B80" s="2">
        <v>45559</v>
      </c>
      <c r="C80" t="s">
        <v>40</v>
      </c>
      <c r="D80">
        <v>18</v>
      </c>
      <c r="E80" t="s">
        <v>111</v>
      </c>
      <c r="F80" t="s">
        <v>100</v>
      </c>
      <c r="G80" t="s">
        <v>43</v>
      </c>
      <c r="H80" t="s">
        <v>112</v>
      </c>
      <c r="I80" t="s">
        <v>45</v>
      </c>
      <c r="J80" s="3" t="s">
        <v>141</v>
      </c>
      <c r="K80" t="s">
        <v>131</v>
      </c>
      <c r="L80" s="4">
        <v>2000</v>
      </c>
      <c r="M80" s="4">
        <v>0</v>
      </c>
      <c r="N80">
        <v>2000</v>
      </c>
      <c r="O80" t="s">
        <v>118</v>
      </c>
      <c r="P80">
        <v>0</v>
      </c>
      <c r="Q80">
        <f>QtyRemaining*EstMfgMin/60</f>
        <v>0</v>
      </c>
      <c r="R80" t="s">
        <v>115</v>
      </c>
      <c r="U80" t="e">
        <f t="shared" si="4"/>
        <v>#REF!</v>
      </c>
      <c r="V80" s="5" t="e">
        <f t="shared" si="5"/>
        <v>#REF!</v>
      </c>
    </row>
    <row r="81" spans="1:22" x14ac:dyDescent="0.25">
      <c r="A81" s="2">
        <v>46147</v>
      </c>
      <c r="B81" s="2">
        <v>45723</v>
      </c>
      <c r="C81" t="s">
        <v>40</v>
      </c>
      <c r="D81">
        <v>19</v>
      </c>
      <c r="E81" t="s">
        <v>163</v>
      </c>
      <c r="F81" t="s">
        <v>100</v>
      </c>
      <c r="G81" t="s">
        <v>43</v>
      </c>
      <c r="H81" t="s">
        <v>164</v>
      </c>
      <c r="I81" t="s">
        <v>45</v>
      </c>
      <c r="J81" s="3" t="s">
        <v>165</v>
      </c>
      <c r="K81" t="s">
        <v>166</v>
      </c>
      <c r="L81" s="4">
        <v>1</v>
      </c>
      <c r="M81" s="4">
        <v>0</v>
      </c>
      <c r="N81">
        <v>1</v>
      </c>
      <c r="O81" t="s">
        <v>94</v>
      </c>
      <c r="P81">
        <v>0</v>
      </c>
      <c r="Q81">
        <f>QtyRemaining*EstMfgMin/60</f>
        <v>0</v>
      </c>
      <c r="U81" t="e">
        <f t="shared" si="4"/>
        <v>#REF!</v>
      </c>
      <c r="V81" s="5" t="e">
        <f t="shared" si="5"/>
        <v>#REF!</v>
      </c>
    </row>
    <row r="82" spans="1:22" x14ac:dyDescent="0.25">
      <c r="A82" s="2">
        <v>46174</v>
      </c>
      <c r="B82" s="2">
        <v>45559</v>
      </c>
      <c r="C82" t="s">
        <v>40</v>
      </c>
      <c r="D82">
        <v>23</v>
      </c>
      <c r="E82" t="s">
        <v>111</v>
      </c>
      <c r="F82" t="s">
        <v>100</v>
      </c>
      <c r="G82" t="s">
        <v>43</v>
      </c>
      <c r="H82" t="s">
        <v>112</v>
      </c>
      <c r="I82" t="s">
        <v>45</v>
      </c>
      <c r="J82" s="3" t="s">
        <v>141</v>
      </c>
      <c r="K82" t="s">
        <v>131</v>
      </c>
      <c r="L82" s="4">
        <v>2000</v>
      </c>
      <c r="M82" s="4">
        <v>0</v>
      </c>
      <c r="N82">
        <v>2000</v>
      </c>
      <c r="O82" t="s">
        <v>118</v>
      </c>
      <c r="P82">
        <v>0</v>
      </c>
      <c r="Q82">
        <f>QtyRemaining*EstMfgMin/60</f>
        <v>0</v>
      </c>
      <c r="R82" t="s">
        <v>115</v>
      </c>
      <c r="U82" t="e">
        <f t="shared" si="4"/>
        <v>#REF!</v>
      </c>
      <c r="V82" s="5" t="e">
        <f t="shared" si="5"/>
        <v>#REF!</v>
      </c>
    </row>
    <row r="83" spans="1:22" x14ac:dyDescent="0.25">
      <c r="A83" s="2">
        <v>46204</v>
      </c>
      <c r="B83" s="2">
        <v>45559</v>
      </c>
      <c r="C83" t="s">
        <v>40</v>
      </c>
      <c r="D83">
        <v>27</v>
      </c>
      <c r="E83" t="s">
        <v>111</v>
      </c>
      <c r="F83" t="s">
        <v>100</v>
      </c>
      <c r="G83" t="s">
        <v>43</v>
      </c>
      <c r="H83" t="s">
        <v>112</v>
      </c>
      <c r="I83" t="s">
        <v>45</v>
      </c>
      <c r="J83" s="3" t="s">
        <v>141</v>
      </c>
      <c r="K83" t="s">
        <v>131</v>
      </c>
      <c r="L83" s="4">
        <v>2000</v>
      </c>
      <c r="M83" s="4">
        <v>0</v>
      </c>
      <c r="N83">
        <v>2000</v>
      </c>
      <c r="O83" t="s">
        <v>118</v>
      </c>
      <c r="P83">
        <v>0</v>
      </c>
      <c r="Q83">
        <f>QtyRemaining*EstMfgMin/60</f>
        <v>0</v>
      </c>
      <c r="R83" t="s">
        <v>115</v>
      </c>
      <c r="U83" t="e">
        <f t="shared" si="4"/>
        <v>#REF!</v>
      </c>
      <c r="V83" s="5" t="e">
        <f t="shared" si="5"/>
        <v>#REF!</v>
      </c>
    </row>
    <row r="84" spans="1:22" x14ac:dyDescent="0.25">
      <c r="A84" s="2">
        <v>46226</v>
      </c>
      <c r="B84" s="2">
        <v>45971</v>
      </c>
      <c r="C84" t="s">
        <v>40</v>
      </c>
      <c r="D84">
        <v>30</v>
      </c>
      <c r="E84" t="s">
        <v>177</v>
      </c>
      <c r="F84" t="s">
        <v>100</v>
      </c>
      <c r="G84" t="s">
        <v>43</v>
      </c>
      <c r="H84" t="s">
        <v>178</v>
      </c>
      <c r="I84" t="s">
        <v>155</v>
      </c>
      <c r="J84" s="3" t="s">
        <v>179</v>
      </c>
      <c r="K84" t="s">
        <v>180</v>
      </c>
      <c r="L84" s="4">
        <v>100</v>
      </c>
      <c r="M84" s="4">
        <v>0</v>
      </c>
      <c r="N84">
        <v>100</v>
      </c>
      <c r="O84" t="s">
        <v>86</v>
      </c>
      <c r="P84">
        <v>60</v>
      </c>
      <c r="Q84">
        <f>QtyRemaining*EstMfgMin/60</f>
        <v>100</v>
      </c>
      <c r="R84" t="s">
        <v>181</v>
      </c>
      <c r="U84" t="e">
        <f t="shared" si="4"/>
        <v>#REF!</v>
      </c>
      <c r="V84" s="5" t="e">
        <f t="shared" si="5"/>
        <v>#REF!</v>
      </c>
    </row>
    <row r="85" spans="1:22" x14ac:dyDescent="0.25">
      <c r="A85" s="2">
        <v>46227</v>
      </c>
      <c r="B85" s="2">
        <v>45967</v>
      </c>
      <c r="C85" t="s">
        <v>40</v>
      </c>
      <c r="D85">
        <v>30</v>
      </c>
      <c r="E85" t="s">
        <v>182</v>
      </c>
      <c r="F85" t="s">
        <v>100</v>
      </c>
      <c r="G85" t="s">
        <v>43</v>
      </c>
      <c r="H85" t="s">
        <v>183</v>
      </c>
      <c r="I85" t="s">
        <v>155</v>
      </c>
      <c r="J85" s="3" t="s">
        <v>184</v>
      </c>
      <c r="K85" t="s">
        <v>131</v>
      </c>
      <c r="L85" s="4">
        <v>448</v>
      </c>
      <c r="M85" s="4">
        <v>0</v>
      </c>
      <c r="N85">
        <v>448</v>
      </c>
      <c r="O85" t="s">
        <v>151</v>
      </c>
      <c r="P85">
        <v>100</v>
      </c>
      <c r="Q85">
        <f>QtyRemaining*EstMfgMin/60</f>
        <v>746.66666666666663</v>
      </c>
      <c r="R85" t="s">
        <v>185</v>
      </c>
      <c r="U85" t="e">
        <f t="shared" si="4"/>
        <v>#REF!</v>
      </c>
      <c r="V85" s="5" t="e">
        <f t="shared" si="5"/>
        <v>#REF!</v>
      </c>
    </row>
    <row r="86" spans="1:22" x14ac:dyDescent="0.25">
      <c r="A86" s="2">
        <v>46237</v>
      </c>
      <c r="B86" s="2">
        <v>45559</v>
      </c>
      <c r="C86" t="s">
        <v>40</v>
      </c>
      <c r="D86">
        <v>32</v>
      </c>
      <c r="E86" t="s">
        <v>111</v>
      </c>
      <c r="F86" t="s">
        <v>100</v>
      </c>
      <c r="G86" t="s">
        <v>43</v>
      </c>
      <c r="H86" t="s">
        <v>112</v>
      </c>
      <c r="I86" t="s">
        <v>45</v>
      </c>
      <c r="J86" s="3" t="s">
        <v>141</v>
      </c>
      <c r="K86" t="s">
        <v>131</v>
      </c>
      <c r="L86" s="4">
        <v>1491</v>
      </c>
      <c r="M86" s="4">
        <v>0</v>
      </c>
      <c r="N86">
        <v>1491</v>
      </c>
      <c r="O86" t="s">
        <v>118</v>
      </c>
      <c r="P86">
        <v>0</v>
      </c>
      <c r="Q86">
        <f>QtyRemaining*EstMfgMin/60</f>
        <v>0</v>
      </c>
      <c r="R86" t="s">
        <v>115</v>
      </c>
      <c r="U86" t="e">
        <f t="shared" si="4"/>
        <v>#REF!</v>
      </c>
      <c r="V86" s="5" t="e">
        <f t="shared" si="5"/>
        <v>#REF!</v>
      </c>
    </row>
    <row r="87" spans="1:22" x14ac:dyDescent="0.25">
      <c r="A87" s="2">
        <v>46246</v>
      </c>
      <c r="B87" s="2">
        <v>46003</v>
      </c>
      <c r="C87" t="s">
        <v>40</v>
      </c>
      <c r="D87">
        <v>33</v>
      </c>
      <c r="E87" t="s">
        <v>186</v>
      </c>
      <c r="F87" t="s">
        <v>100</v>
      </c>
      <c r="G87" t="s">
        <v>43</v>
      </c>
      <c r="H87" t="s">
        <v>187</v>
      </c>
      <c r="I87" t="s">
        <v>45</v>
      </c>
      <c r="J87" s="3" t="s">
        <v>188</v>
      </c>
      <c r="K87" t="s">
        <v>189</v>
      </c>
      <c r="L87" s="4">
        <v>200</v>
      </c>
      <c r="M87" s="4">
        <v>0</v>
      </c>
      <c r="N87">
        <v>200</v>
      </c>
      <c r="P87">
        <v>0</v>
      </c>
      <c r="Q87">
        <f>QtyRemaining*EstMfgMin/60</f>
        <v>0</v>
      </c>
      <c r="U87" t="e">
        <f t="shared" si="4"/>
        <v>#REF!</v>
      </c>
      <c r="V87" s="5" t="e">
        <f t="shared" si="5"/>
        <v>#REF!</v>
      </c>
    </row>
    <row r="88" spans="1:22" x14ac:dyDescent="0.25">
      <c r="A88" s="2">
        <v>46258</v>
      </c>
      <c r="B88" s="2">
        <v>45971</v>
      </c>
      <c r="C88" t="s">
        <v>40</v>
      </c>
      <c r="D88">
        <v>35</v>
      </c>
      <c r="E88" t="s">
        <v>177</v>
      </c>
      <c r="F88" t="s">
        <v>100</v>
      </c>
      <c r="G88" t="s">
        <v>43</v>
      </c>
      <c r="H88" t="s">
        <v>178</v>
      </c>
      <c r="I88" t="s">
        <v>155</v>
      </c>
      <c r="J88" s="3" t="s">
        <v>179</v>
      </c>
      <c r="K88" t="s">
        <v>180</v>
      </c>
      <c r="L88" s="4">
        <v>92</v>
      </c>
      <c r="M88" s="4">
        <v>0</v>
      </c>
      <c r="N88">
        <v>92</v>
      </c>
      <c r="O88" t="s">
        <v>86</v>
      </c>
      <c r="P88">
        <v>60</v>
      </c>
      <c r="Q88">
        <f>QtyRemaining*EstMfgMin/60</f>
        <v>92</v>
      </c>
      <c r="R88" t="s">
        <v>181</v>
      </c>
      <c r="U88" t="e">
        <f t="shared" si="4"/>
        <v>#REF!</v>
      </c>
      <c r="V88" s="5" t="e">
        <f t="shared" si="5"/>
        <v>#REF!</v>
      </c>
    </row>
    <row r="89" spans="1:22" x14ac:dyDescent="0.25">
      <c r="A89" s="2">
        <v>46259</v>
      </c>
      <c r="B89" s="2">
        <v>46003</v>
      </c>
      <c r="C89" t="s">
        <v>40</v>
      </c>
      <c r="D89">
        <v>35</v>
      </c>
      <c r="E89" t="s">
        <v>186</v>
      </c>
      <c r="F89" t="s">
        <v>100</v>
      </c>
      <c r="G89" t="s">
        <v>43</v>
      </c>
      <c r="H89" t="s">
        <v>187</v>
      </c>
      <c r="I89" t="s">
        <v>155</v>
      </c>
      <c r="J89" s="3" t="s">
        <v>190</v>
      </c>
      <c r="K89" t="s">
        <v>191</v>
      </c>
      <c r="L89" s="4">
        <v>100</v>
      </c>
      <c r="M89" s="4">
        <v>0</v>
      </c>
      <c r="N89">
        <v>100</v>
      </c>
      <c r="O89" t="s">
        <v>118</v>
      </c>
      <c r="P89">
        <v>98</v>
      </c>
      <c r="Q89">
        <f>QtyRemaining*EstMfgMin/60</f>
        <v>163.33333333333334</v>
      </c>
      <c r="U89" t="e">
        <f t="shared" si="4"/>
        <v>#REF!</v>
      </c>
      <c r="V89" s="5" t="e">
        <f t="shared" si="5"/>
        <v>#REF!</v>
      </c>
    </row>
    <row r="90" spans="1:22" x14ac:dyDescent="0.25">
      <c r="A90" s="2">
        <v>46265</v>
      </c>
      <c r="B90" s="2">
        <v>44851</v>
      </c>
      <c r="C90" t="s">
        <v>40</v>
      </c>
      <c r="D90">
        <v>36</v>
      </c>
      <c r="E90" t="s">
        <v>136</v>
      </c>
      <c r="F90" t="s">
        <v>100</v>
      </c>
      <c r="G90" t="s">
        <v>43</v>
      </c>
      <c r="H90" t="s">
        <v>137</v>
      </c>
      <c r="I90" t="s">
        <v>45</v>
      </c>
      <c r="J90" s="3" t="s">
        <v>192</v>
      </c>
      <c r="K90" t="s">
        <v>193</v>
      </c>
      <c r="L90" s="4">
        <v>20</v>
      </c>
      <c r="M90" s="4">
        <v>0</v>
      </c>
      <c r="N90">
        <v>20</v>
      </c>
      <c r="P90">
        <v>0</v>
      </c>
      <c r="Q90">
        <f>QtyRemaining*EstMfgMin/60</f>
        <v>0</v>
      </c>
      <c r="R90" t="s">
        <v>194</v>
      </c>
      <c r="U90" t="e">
        <f t="shared" si="4"/>
        <v>#REF!</v>
      </c>
      <c r="V90" s="5" t="e">
        <f t="shared" si="5"/>
        <v>#REF!</v>
      </c>
    </row>
    <row r="91" spans="1:22" x14ac:dyDescent="0.25">
      <c r="A91" s="2">
        <v>46279</v>
      </c>
      <c r="B91" s="2">
        <v>46003</v>
      </c>
      <c r="C91" t="s">
        <v>40</v>
      </c>
      <c r="D91">
        <v>38</v>
      </c>
      <c r="E91" t="s">
        <v>186</v>
      </c>
      <c r="F91" t="s">
        <v>100</v>
      </c>
      <c r="G91" t="s">
        <v>43</v>
      </c>
      <c r="H91" t="s">
        <v>187</v>
      </c>
      <c r="I91" t="s">
        <v>45</v>
      </c>
      <c r="J91" s="3" t="s">
        <v>188</v>
      </c>
      <c r="K91" t="s">
        <v>189</v>
      </c>
      <c r="L91" s="4">
        <v>200</v>
      </c>
      <c r="M91" s="4">
        <v>0</v>
      </c>
      <c r="N91">
        <v>200</v>
      </c>
      <c r="P91">
        <v>0</v>
      </c>
      <c r="Q91">
        <f>QtyRemaining*EstMfgMin/60</f>
        <v>0</v>
      </c>
      <c r="U91" t="e">
        <f t="shared" si="4"/>
        <v>#REF!</v>
      </c>
      <c r="V91" s="5" t="e">
        <f t="shared" si="5"/>
        <v>#REF!</v>
      </c>
    </row>
    <row r="92" spans="1:22" x14ac:dyDescent="0.25">
      <c r="A92" s="2">
        <v>46290</v>
      </c>
      <c r="B92" s="2">
        <v>46003</v>
      </c>
      <c r="C92" t="s">
        <v>40</v>
      </c>
      <c r="D92">
        <v>39</v>
      </c>
      <c r="E92" t="s">
        <v>186</v>
      </c>
      <c r="F92" t="s">
        <v>100</v>
      </c>
      <c r="G92" t="s">
        <v>43</v>
      </c>
      <c r="H92" t="s">
        <v>187</v>
      </c>
      <c r="I92" t="s">
        <v>155</v>
      </c>
      <c r="J92" s="3" t="s">
        <v>190</v>
      </c>
      <c r="K92" t="s">
        <v>191</v>
      </c>
      <c r="L92" s="4">
        <v>100</v>
      </c>
      <c r="M92" s="4">
        <v>0</v>
      </c>
      <c r="N92">
        <v>100</v>
      </c>
      <c r="O92" t="s">
        <v>118</v>
      </c>
      <c r="P92">
        <v>98</v>
      </c>
      <c r="Q92">
        <f>QtyRemaining*EstMfgMin/60</f>
        <v>163.33333333333334</v>
      </c>
      <c r="U92" t="e">
        <f t="shared" si="4"/>
        <v>#REF!</v>
      </c>
      <c r="V92" s="5" t="e">
        <f t="shared" si="5"/>
        <v>#REF!</v>
      </c>
    </row>
    <row r="93" spans="1:22" x14ac:dyDescent="0.25">
      <c r="A93" s="2">
        <v>46300</v>
      </c>
      <c r="B93" s="2">
        <v>45244</v>
      </c>
      <c r="C93" t="s">
        <v>40</v>
      </c>
      <c r="D93">
        <v>41</v>
      </c>
      <c r="E93" t="s">
        <v>195</v>
      </c>
      <c r="F93" t="s">
        <v>100</v>
      </c>
      <c r="G93" t="s">
        <v>43</v>
      </c>
      <c r="H93" t="s">
        <v>196</v>
      </c>
      <c r="I93" t="s">
        <v>45</v>
      </c>
      <c r="J93" s="3" t="s">
        <v>141</v>
      </c>
      <c r="K93" t="s">
        <v>131</v>
      </c>
      <c r="L93" s="4">
        <v>500</v>
      </c>
      <c r="M93" s="4">
        <v>0</v>
      </c>
      <c r="N93">
        <v>500</v>
      </c>
      <c r="P93">
        <v>0</v>
      </c>
      <c r="Q93">
        <f>QtyRemaining*EstMfgMin/60</f>
        <v>0</v>
      </c>
      <c r="U93" t="e">
        <f t="shared" si="4"/>
        <v>#REF!</v>
      </c>
      <c r="V93" s="5" t="e">
        <f t="shared" si="5"/>
        <v>#REF!</v>
      </c>
    </row>
    <row r="94" spans="1:22" x14ac:dyDescent="0.25">
      <c r="A94" s="2">
        <v>46300</v>
      </c>
      <c r="B94" s="2">
        <v>45244</v>
      </c>
      <c r="C94" t="s">
        <v>40</v>
      </c>
      <c r="D94">
        <v>41</v>
      </c>
      <c r="E94" t="s">
        <v>195</v>
      </c>
      <c r="F94" t="s">
        <v>100</v>
      </c>
      <c r="G94" t="s">
        <v>43</v>
      </c>
      <c r="H94" t="s">
        <v>196</v>
      </c>
      <c r="I94" t="s">
        <v>45</v>
      </c>
      <c r="J94" s="3" t="s">
        <v>141</v>
      </c>
      <c r="K94" t="s">
        <v>131</v>
      </c>
      <c r="L94" s="4">
        <v>500</v>
      </c>
      <c r="M94" s="4">
        <v>0</v>
      </c>
      <c r="N94">
        <v>500</v>
      </c>
      <c r="P94">
        <v>0</v>
      </c>
      <c r="Q94">
        <f>QtyRemaining*EstMfgMin/60</f>
        <v>0</v>
      </c>
      <c r="U94" t="e">
        <f t="shared" si="4"/>
        <v>#REF!</v>
      </c>
      <c r="V94" s="5" t="e">
        <f t="shared" si="5"/>
        <v>#REF!</v>
      </c>
    </row>
    <row r="95" spans="1:22" x14ac:dyDescent="0.25">
      <c r="A95" s="2">
        <v>46300</v>
      </c>
      <c r="B95" s="2">
        <v>45244</v>
      </c>
      <c r="C95" t="s">
        <v>40</v>
      </c>
      <c r="D95">
        <v>41</v>
      </c>
      <c r="E95" t="s">
        <v>195</v>
      </c>
      <c r="F95" t="s">
        <v>100</v>
      </c>
      <c r="G95" t="s">
        <v>43</v>
      </c>
      <c r="H95" t="s">
        <v>196</v>
      </c>
      <c r="I95" t="s">
        <v>45</v>
      </c>
      <c r="J95" s="3" t="s">
        <v>141</v>
      </c>
      <c r="K95" t="s">
        <v>131</v>
      </c>
      <c r="L95" s="4">
        <v>500</v>
      </c>
      <c r="M95" s="4">
        <v>0</v>
      </c>
      <c r="N95">
        <v>500</v>
      </c>
      <c r="P95">
        <v>0</v>
      </c>
      <c r="Q95">
        <f>QtyRemaining*EstMfgMin/60</f>
        <v>0</v>
      </c>
      <c r="U95" t="e">
        <f t="shared" si="4"/>
        <v>#REF!</v>
      </c>
      <c r="V95" s="5" t="e">
        <f t="shared" si="5"/>
        <v>#REF!</v>
      </c>
    </row>
    <row r="96" spans="1:22" x14ac:dyDescent="0.25">
      <c r="A96" s="2">
        <v>46300</v>
      </c>
      <c r="B96" s="2">
        <v>45244</v>
      </c>
      <c r="C96" t="s">
        <v>40</v>
      </c>
      <c r="D96">
        <v>41</v>
      </c>
      <c r="E96" t="s">
        <v>195</v>
      </c>
      <c r="F96" t="s">
        <v>100</v>
      </c>
      <c r="G96" t="s">
        <v>43</v>
      </c>
      <c r="H96" t="s">
        <v>196</v>
      </c>
      <c r="I96" t="s">
        <v>45</v>
      </c>
      <c r="J96" s="3" t="s">
        <v>141</v>
      </c>
      <c r="K96" t="s">
        <v>131</v>
      </c>
      <c r="L96" s="4">
        <v>500</v>
      </c>
      <c r="M96" s="4">
        <v>0</v>
      </c>
      <c r="N96">
        <v>500</v>
      </c>
      <c r="P96">
        <v>0</v>
      </c>
      <c r="Q96">
        <f>QtyRemaining*EstMfgMin/60</f>
        <v>0</v>
      </c>
      <c r="U96" t="e">
        <f t="shared" si="4"/>
        <v>#REF!</v>
      </c>
      <c r="V96" s="5" t="e">
        <f t="shared" si="5"/>
        <v>#REF!</v>
      </c>
    </row>
    <row r="97" spans="1:22" x14ac:dyDescent="0.25">
      <c r="A97" s="2">
        <v>46309</v>
      </c>
      <c r="B97" s="2">
        <v>46003</v>
      </c>
      <c r="C97" t="s">
        <v>40</v>
      </c>
      <c r="D97">
        <v>42</v>
      </c>
      <c r="E97" t="s">
        <v>186</v>
      </c>
      <c r="F97" t="s">
        <v>100</v>
      </c>
      <c r="G97" t="s">
        <v>43</v>
      </c>
      <c r="H97" t="s">
        <v>187</v>
      </c>
      <c r="I97" t="s">
        <v>45</v>
      </c>
      <c r="J97" s="3" t="s">
        <v>188</v>
      </c>
      <c r="K97" t="s">
        <v>189</v>
      </c>
      <c r="L97" s="4">
        <v>200</v>
      </c>
      <c r="M97" s="4">
        <v>0</v>
      </c>
      <c r="N97">
        <v>200</v>
      </c>
      <c r="P97">
        <v>0</v>
      </c>
      <c r="Q97">
        <f>QtyRemaining*EstMfgMin/60</f>
        <v>0</v>
      </c>
      <c r="U97" t="e">
        <f t="shared" si="4"/>
        <v>#REF!</v>
      </c>
      <c r="V97" s="5" t="e">
        <f t="shared" si="5"/>
        <v>#REF!</v>
      </c>
    </row>
    <row r="98" spans="1:22" x14ac:dyDescent="0.25">
      <c r="A98" s="2">
        <v>46321</v>
      </c>
      <c r="B98" s="2">
        <v>46003</v>
      </c>
      <c r="C98" t="s">
        <v>40</v>
      </c>
      <c r="D98">
        <v>44</v>
      </c>
      <c r="E98" t="s">
        <v>186</v>
      </c>
      <c r="F98" t="s">
        <v>100</v>
      </c>
      <c r="G98" t="s">
        <v>43</v>
      </c>
      <c r="H98" t="s">
        <v>187</v>
      </c>
      <c r="I98" t="s">
        <v>155</v>
      </c>
      <c r="J98" s="3" t="s">
        <v>190</v>
      </c>
      <c r="K98" t="s">
        <v>191</v>
      </c>
      <c r="L98" s="4">
        <v>100</v>
      </c>
      <c r="M98" s="4">
        <v>0</v>
      </c>
      <c r="N98">
        <v>100</v>
      </c>
      <c r="O98" t="s">
        <v>118</v>
      </c>
      <c r="P98">
        <v>98</v>
      </c>
      <c r="Q98">
        <f>QtyRemaining*EstMfgMin/60</f>
        <v>163.33333333333334</v>
      </c>
      <c r="U98" t="e">
        <f t="shared" si="4"/>
        <v>#REF!</v>
      </c>
      <c r="V98" s="5" t="e">
        <f t="shared" si="5"/>
        <v>#REF!</v>
      </c>
    </row>
    <row r="99" spans="1:22" x14ac:dyDescent="0.25">
      <c r="A99" s="2">
        <v>46331</v>
      </c>
      <c r="B99" s="2">
        <v>45244</v>
      </c>
      <c r="C99" t="s">
        <v>40</v>
      </c>
      <c r="D99">
        <v>45</v>
      </c>
      <c r="E99" t="s">
        <v>195</v>
      </c>
      <c r="F99" t="s">
        <v>100</v>
      </c>
      <c r="G99" t="s">
        <v>43</v>
      </c>
      <c r="H99" t="s">
        <v>196</v>
      </c>
      <c r="I99" t="s">
        <v>45</v>
      </c>
      <c r="J99" s="3" t="s">
        <v>141</v>
      </c>
      <c r="K99" t="s">
        <v>131</v>
      </c>
      <c r="L99" s="4">
        <v>500</v>
      </c>
      <c r="M99" s="4">
        <v>0</v>
      </c>
      <c r="N99">
        <v>500</v>
      </c>
      <c r="P99">
        <v>0</v>
      </c>
      <c r="Q99">
        <f>QtyRemaining*EstMfgMin/60</f>
        <v>0</v>
      </c>
      <c r="U99" t="e">
        <f t="shared" si="4"/>
        <v>#REF!</v>
      </c>
      <c r="V99" s="5" t="e">
        <f t="shared" si="5"/>
        <v>#REF!</v>
      </c>
    </row>
    <row r="100" spans="1:22" x14ac:dyDescent="0.25">
      <c r="A100" s="2">
        <v>46331</v>
      </c>
      <c r="B100" s="2">
        <v>45244</v>
      </c>
      <c r="C100" t="s">
        <v>40</v>
      </c>
      <c r="D100">
        <v>45</v>
      </c>
      <c r="E100" t="s">
        <v>195</v>
      </c>
      <c r="F100" t="s">
        <v>100</v>
      </c>
      <c r="G100" t="s">
        <v>43</v>
      </c>
      <c r="H100" t="s">
        <v>196</v>
      </c>
      <c r="I100" t="s">
        <v>45</v>
      </c>
      <c r="J100" s="3" t="s">
        <v>141</v>
      </c>
      <c r="K100" t="s">
        <v>131</v>
      </c>
      <c r="L100" s="4">
        <v>500</v>
      </c>
      <c r="M100" s="4">
        <v>0</v>
      </c>
      <c r="N100">
        <v>500</v>
      </c>
      <c r="P100">
        <v>0</v>
      </c>
      <c r="Q100">
        <f>QtyRemaining*EstMfgMin/60</f>
        <v>0</v>
      </c>
      <c r="U100" t="e">
        <f t="shared" si="4"/>
        <v>#REF!</v>
      </c>
      <c r="V100" s="5" t="e">
        <f t="shared" si="5"/>
        <v>#REF!</v>
      </c>
    </row>
    <row r="101" spans="1:22" x14ac:dyDescent="0.25">
      <c r="A101" s="2">
        <v>46331</v>
      </c>
      <c r="B101" s="2">
        <v>45244</v>
      </c>
      <c r="C101" t="s">
        <v>40</v>
      </c>
      <c r="D101">
        <v>45</v>
      </c>
      <c r="E101" t="s">
        <v>195</v>
      </c>
      <c r="F101" t="s">
        <v>100</v>
      </c>
      <c r="G101" t="s">
        <v>43</v>
      </c>
      <c r="H101" t="s">
        <v>196</v>
      </c>
      <c r="I101" t="s">
        <v>45</v>
      </c>
      <c r="J101" s="3" t="s">
        <v>141</v>
      </c>
      <c r="K101" t="s">
        <v>131</v>
      </c>
      <c r="L101" s="4">
        <v>500</v>
      </c>
      <c r="M101" s="4">
        <v>0</v>
      </c>
      <c r="N101">
        <v>500</v>
      </c>
      <c r="P101">
        <v>0</v>
      </c>
      <c r="Q101">
        <f>QtyRemaining*EstMfgMin/60</f>
        <v>0</v>
      </c>
      <c r="U101" t="e">
        <f t="shared" si="4"/>
        <v>#REF!</v>
      </c>
      <c r="V101" s="5" t="e">
        <f t="shared" si="5"/>
        <v>#REF!</v>
      </c>
    </row>
    <row r="102" spans="1:22" x14ac:dyDescent="0.25">
      <c r="A102" s="2">
        <v>46331</v>
      </c>
      <c r="B102" s="2">
        <v>45244</v>
      </c>
      <c r="C102" t="s">
        <v>40</v>
      </c>
      <c r="D102">
        <v>45</v>
      </c>
      <c r="E102" t="s">
        <v>195</v>
      </c>
      <c r="F102" t="s">
        <v>100</v>
      </c>
      <c r="G102" t="s">
        <v>43</v>
      </c>
      <c r="H102" t="s">
        <v>196</v>
      </c>
      <c r="I102" t="s">
        <v>45</v>
      </c>
      <c r="J102" s="3" t="s">
        <v>141</v>
      </c>
      <c r="K102" t="s">
        <v>131</v>
      </c>
      <c r="L102" s="4">
        <v>500</v>
      </c>
      <c r="M102" s="4">
        <v>0</v>
      </c>
      <c r="N102">
        <v>500</v>
      </c>
      <c r="P102">
        <v>0</v>
      </c>
      <c r="Q102">
        <f>QtyRemaining*EstMfgMin/60</f>
        <v>0</v>
      </c>
      <c r="U102" t="e">
        <f t="shared" si="4"/>
        <v>#REF!</v>
      </c>
      <c r="V102" s="5" t="e">
        <f t="shared" si="5"/>
        <v>#REF!</v>
      </c>
    </row>
    <row r="103" spans="1:22" x14ac:dyDescent="0.25">
      <c r="A103" s="2">
        <v>46339</v>
      </c>
      <c r="B103" s="2">
        <v>46003</v>
      </c>
      <c r="C103" t="s">
        <v>40</v>
      </c>
      <c r="D103">
        <v>46</v>
      </c>
      <c r="E103" t="s">
        <v>186</v>
      </c>
      <c r="F103" t="s">
        <v>100</v>
      </c>
      <c r="G103" t="s">
        <v>43</v>
      </c>
      <c r="H103" t="s">
        <v>187</v>
      </c>
      <c r="I103" t="s">
        <v>45</v>
      </c>
      <c r="J103" s="3" t="s">
        <v>188</v>
      </c>
      <c r="K103" t="s">
        <v>189</v>
      </c>
      <c r="L103" s="4">
        <v>200</v>
      </c>
      <c r="M103" s="4">
        <v>0</v>
      </c>
      <c r="N103">
        <v>200</v>
      </c>
      <c r="P103">
        <v>0</v>
      </c>
      <c r="Q103">
        <f>QtyRemaining*EstMfgMin/60</f>
        <v>0</v>
      </c>
      <c r="U103" t="e">
        <f t="shared" si="4"/>
        <v>#REF!</v>
      </c>
      <c r="V103" s="5" t="e">
        <f t="shared" si="5"/>
        <v>#REF!</v>
      </c>
    </row>
    <row r="104" spans="1:22" x14ac:dyDescent="0.25">
      <c r="A104" s="2">
        <v>46349</v>
      </c>
      <c r="B104" s="2">
        <v>46013</v>
      </c>
      <c r="C104" t="s">
        <v>40</v>
      </c>
      <c r="D104">
        <v>48</v>
      </c>
      <c r="E104" t="s">
        <v>197</v>
      </c>
      <c r="F104" t="s">
        <v>100</v>
      </c>
      <c r="G104" t="s">
        <v>43</v>
      </c>
      <c r="H104" t="s">
        <v>198</v>
      </c>
      <c r="I104" t="s">
        <v>45</v>
      </c>
      <c r="J104" s="3" t="s">
        <v>165</v>
      </c>
      <c r="K104" t="s">
        <v>166</v>
      </c>
      <c r="L104" s="4">
        <v>200</v>
      </c>
      <c r="M104" s="4">
        <v>0</v>
      </c>
      <c r="N104">
        <v>200</v>
      </c>
      <c r="O104" t="s">
        <v>94</v>
      </c>
      <c r="P104">
        <v>0</v>
      </c>
      <c r="Q104">
        <f>QtyRemaining*EstMfgMin/60</f>
        <v>0</v>
      </c>
      <c r="U104" t="e">
        <f t="shared" si="4"/>
        <v>#REF!</v>
      </c>
      <c r="V104" s="5" t="e">
        <f t="shared" si="5"/>
        <v>#REF!</v>
      </c>
    </row>
    <row r="105" spans="1:22" x14ac:dyDescent="0.25">
      <c r="A105" s="2">
        <v>46352</v>
      </c>
      <c r="B105" s="2">
        <v>46003</v>
      </c>
      <c r="C105" t="s">
        <v>40</v>
      </c>
      <c r="D105">
        <v>48</v>
      </c>
      <c r="E105" t="s">
        <v>186</v>
      </c>
      <c r="F105" t="s">
        <v>100</v>
      </c>
      <c r="G105" t="s">
        <v>43</v>
      </c>
      <c r="H105" t="s">
        <v>187</v>
      </c>
      <c r="I105" t="s">
        <v>155</v>
      </c>
      <c r="J105" s="3" t="s">
        <v>190</v>
      </c>
      <c r="K105" t="s">
        <v>191</v>
      </c>
      <c r="L105" s="4">
        <v>6</v>
      </c>
      <c r="M105" s="4">
        <v>0</v>
      </c>
      <c r="N105">
        <v>6</v>
      </c>
      <c r="O105" t="s">
        <v>118</v>
      </c>
      <c r="P105">
        <v>98</v>
      </c>
      <c r="Q105">
        <f>QtyRemaining*EstMfgMin/60</f>
        <v>9.8000000000000007</v>
      </c>
      <c r="U105" t="e">
        <f t="shared" si="4"/>
        <v>#REF!</v>
      </c>
      <c r="V105" s="5" t="e">
        <f t="shared" si="5"/>
        <v>#REF!</v>
      </c>
    </row>
    <row r="106" spans="1:22" x14ac:dyDescent="0.25">
      <c r="A106" s="2">
        <v>46363</v>
      </c>
      <c r="B106" s="2">
        <v>45244</v>
      </c>
      <c r="C106" t="s">
        <v>40</v>
      </c>
      <c r="D106">
        <v>50</v>
      </c>
      <c r="E106" t="s">
        <v>195</v>
      </c>
      <c r="F106" t="s">
        <v>100</v>
      </c>
      <c r="G106" t="s">
        <v>43</v>
      </c>
      <c r="H106" t="s">
        <v>196</v>
      </c>
      <c r="I106" t="s">
        <v>45</v>
      </c>
      <c r="J106" s="3" t="s">
        <v>141</v>
      </c>
      <c r="K106" t="s">
        <v>131</v>
      </c>
      <c r="L106" s="4">
        <v>500</v>
      </c>
      <c r="M106" s="4">
        <v>0</v>
      </c>
      <c r="N106">
        <v>500</v>
      </c>
      <c r="P106">
        <v>0</v>
      </c>
      <c r="Q106">
        <f>QtyRemaining*EstMfgMin/60</f>
        <v>0</v>
      </c>
      <c r="U106" t="e">
        <f t="shared" si="4"/>
        <v>#REF!</v>
      </c>
      <c r="V106" s="5" t="e">
        <f t="shared" si="5"/>
        <v>#REF!</v>
      </c>
    </row>
    <row r="107" spans="1:22" x14ac:dyDescent="0.25">
      <c r="A107" s="2">
        <v>46363</v>
      </c>
      <c r="B107" s="2">
        <v>45244</v>
      </c>
      <c r="C107" t="s">
        <v>40</v>
      </c>
      <c r="D107">
        <v>50</v>
      </c>
      <c r="E107" t="s">
        <v>195</v>
      </c>
      <c r="F107" t="s">
        <v>100</v>
      </c>
      <c r="G107" t="s">
        <v>43</v>
      </c>
      <c r="H107" t="s">
        <v>196</v>
      </c>
      <c r="I107" t="s">
        <v>45</v>
      </c>
      <c r="J107" s="3" t="s">
        <v>141</v>
      </c>
      <c r="K107" t="s">
        <v>131</v>
      </c>
      <c r="L107" s="4">
        <v>500</v>
      </c>
      <c r="M107" s="4">
        <v>0</v>
      </c>
      <c r="N107">
        <v>500</v>
      </c>
      <c r="P107">
        <v>0</v>
      </c>
      <c r="Q107">
        <f>QtyRemaining*EstMfgMin/60</f>
        <v>0</v>
      </c>
      <c r="U107" t="e">
        <f t="shared" si="4"/>
        <v>#REF!</v>
      </c>
      <c r="V107" s="5" t="e">
        <f t="shared" si="5"/>
        <v>#REF!</v>
      </c>
    </row>
    <row r="108" spans="1:22" x14ac:dyDescent="0.25">
      <c r="A108" s="2">
        <v>46363</v>
      </c>
      <c r="B108" s="2">
        <v>45244</v>
      </c>
      <c r="C108" t="s">
        <v>40</v>
      </c>
      <c r="D108">
        <v>50</v>
      </c>
      <c r="E108" t="s">
        <v>195</v>
      </c>
      <c r="F108" t="s">
        <v>100</v>
      </c>
      <c r="G108" t="s">
        <v>43</v>
      </c>
      <c r="H108" t="s">
        <v>196</v>
      </c>
      <c r="I108" t="s">
        <v>45</v>
      </c>
      <c r="J108" s="3" t="s">
        <v>141</v>
      </c>
      <c r="K108" t="s">
        <v>131</v>
      </c>
      <c r="L108" s="4">
        <v>500</v>
      </c>
      <c r="M108" s="4">
        <v>0</v>
      </c>
      <c r="N108">
        <v>500</v>
      </c>
      <c r="P108">
        <v>0</v>
      </c>
      <c r="Q108">
        <f>QtyRemaining*EstMfgMin/60</f>
        <v>0</v>
      </c>
      <c r="U108" t="e">
        <f t="shared" si="4"/>
        <v>#REF!</v>
      </c>
      <c r="V108" s="5" t="e">
        <f t="shared" si="5"/>
        <v>#REF!</v>
      </c>
    </row>
    <row r="109" spans="1:22" x14ac:dyDescent="0.25">
      <c r="A109" s="2">
        <v>46363</v>
      </c>
      <c r="B109" s="2">
        <v>45244</v>
      </c>
      <c r="C109" t="s">
        <v>40</v>
      </c>
      <c r="D109">
        <v>50</v>
      </c>
      <c r="E109" t="s">
        <v>195</v>
      </c>
      <c r="F109" t="s">
        <v>100</v>
      </c>
      <c r="G109" t="s">
        <v>43</v>
      </c>
      <c r="H109" t="s">
        <v>196</v>
      </c>
      <c r="I109" t="s">
        <v>45</v>
      </c>
      <c r="J109" s="3" t="s">
        <v>141</v>
      </c>
      <c r="K109" t="s">
        <v>131</v>
      </c>
      <c r="L109" s="4">
        <v>500</v>
      </c>
      <c r="M109" s="4">
        <v>0</v>
      </c>
      <c r="N109">
        <v>500</v>
      </c>
      <c r="P109">
        <v>0</v>
      </c>
      <c r="Q109">
        <f>QtyRemaining*EstMfgMin/60</f>
        <v>0</v>
      </c>
      <c r="U109" t="e">
        <f t="shared" si="4"/>
        <v>#REF!</v>
      </c>
      <c r="V109" s="5" t="e">
        <f t="shared" si="5"/>
        <v>#REF!</v>
      </c>
    </row>
    <row r="110" spans="1:22" x14ac:dyDescent="0.25">
      <c r="A110" s="2">
        <v>46370</v>
      </c>
      <c r="B110" s="2">
        <v>46003</v>
      </c>
      <c r="C110" t="s">
        <v>40</v>
      </c>
      <c r="D110">
        <v>51</v>
      </c>
      <c r="E110" t="s">
        <v>186</v>
      </c>
      <c r="F110" t="s">
        <v>100</v>
      </c>
      <c r="G110" t="s">
        <v>43</v>
      </c>
      <c r="H110" t="s">
        <v>187</v>
      </c>
      <c r="I110" t="s">
        <v>45</v>
      </c>
      <c r="J110" s="3" t="s">
        <v>188</v>
      </c>
      <c r="K110" t="s">
        <v>189</v>
      </c>
      <c r="L110" s="4">
        <v>191</v>
      </c>
      <c r="M110" s="4">
        <v>0</v>
      </c>
      <c r="N110">
        <v>191</v>
      </c>
      <c r="P110">
        <v>0</v>
      </c>
      <c r="Q110">
        <f>QtyRemaining*EstMfgMin/60</f>
        <v>0</v>
      </c>
      <c r="U110" t="e">
        <f t="shared" si="4"/>
        <v>#REF!</v>
      </c>
      <c r="V110" s="5" t="e">
        <f t="shared" si="5"/>
        <v>#REF!</v>
      </c>
    </row>
    <row r="111" spans="1:22" x14ac:dyDescent="0.25">
      <c r="A111" s="2">
        <v>46379</v>
      </c>
      <c r="B111" s="2">
        <v>46013</v>
      </c>
      <c r="C111" t="s">
        <v>40</v>
      </c>
      <c r="D111">
        <v>52</v>
      </c>
      <c r="E111" t="s">
        <v>197</v>
      </c>
      <c r="F111" t="s">
        <v>100</v>
      </c>
      <c r="G111" t="s">
        <v>43</v>
      </c>
      <c r="H111" t="s">
        <v>198</v>
      </c>
      <c r="I111" t="s">
        <v>45</v>
      </c>
      <c r="J111" s="3" t="s">
        <v>165</v>
      </c>
      <c r="K111" t="s">
        <v>166</v>
      </c>
      <c r="L111" s="4">
        <v>200</v>
      </c>
      <c r="M111" s="4">
        <v>0</v>
      </c>
      <c r="N111">
        <v>200</v>
      </c>
      <c r="O111" t="s">
        <v>94</v>
      </c>
      <c r="P111">
        <v>0</v>
      </c>
      <c r="Q111">
        <f>QtyRemaining*EstMfgMin/60</f>
        <v>0</v>
      </c>
      <c r="U111" t="e">
        <f t="shared" si="4"/>
        <v>#REF!</v>
      </c>
      <c r="V111" s="5" t="e">
        <f t="shared" si="5"/>
        <v>#REF!</v>
      </c>
    </row>
    <row r="112" spans="1:22" x14ac:dyDescent="0.25">
      <c r="A112" s="2">
        <v>46398</v>
      </c>
      <c r="B112" s="2">
        <v>45244</v>
      </c>
      <c r="C112" t="s">
        <v>40</v>
      </c>
      <c r="D112">
        <v>3</v>
      </c>
      <c r="E112" t="s">
        <v>195</v>
      </c>
      <c r="F112" t="s">
        <v>100</v>
      </c>
      <c r="G112" t="s">
        <v>43</v>
      </c>
      <c r="H112" t="s">
        <v>196</v>
      </c>
      <c r="I112" t="s">
        <v>45</v>
      </c>
      <c r="J112" s="3" t="s">
        <v>141</v>
      </c>
      <c r="K112" t="s">
        <v>131</v>
      </c>
      <c r="L112" s="4">
        <v>500</v>
      </c>
      <c r="M112" s="4">
        <v>0</v>
      </c>
      <c r="N112">
        <v>500</v>
      </c>
      <c r="P112">
        <v>0</v>
      </c>
      <c r="Q112">
        <f>QtyRemaining*EstMfgMin/60</f>
        <v>0</v>
      </c>
      <c r="U112" t="e">
        <f t="shared" si="4"/>
        <v>#REF!</v>
      </c>
      <c r="V112" s="5" t="e">
        <f t="shared" si="5"/>
        <v>#REF!</v>
      </c>
    </row>
    <row r="113" spans="1:22" x14ac:dyDescent="0.25">
      <c r="A113" s="2">
        <v>46398</v>
      </c>
      <c r="B113" s="2">
        <v>45244</v>
      </c>
      <c r="C113" t="s">
        <v>40</v>
      </c>
      <c r="D113">
        <v>3</v>
      </c>
      <c r="E113" t="s">
        <v>195</v>
      </c>
      <c r="F113" t="s">
        <v>100</v>
      </c>
      <c r="G113" t="s">
        <v>43</v>
      </c>
      <c r="H113" t="s">
        <v>196</v>
      </c>
      <c r="I113" t="s">
        <v>45</v>
      </c>
      <c r="J113" s="3" t="s">
        <v>141</v>
      </c>
      <c r="K113" t="s">
        <v>131</v>
      </c>
      <c r="L113" s="4">
        <v>500</v>
      </c>
      <c r="M113" s="4">
        <v>0</v>
      </c>
      <c r="N113">
        <v>500</v>
      </c>
      <c r="P113">
        <v>0</v>
      </c>
      <c r="Q113">
        <f>QtyRemaining*EstMfgMin/60</f>
        <v>0</v>
      </c>
      <c r="U113" t="e">
        <f t="shared" si="4"/>
        <v>#REF!</v>
      </c>
      <c r="V113" s="5" t="e">
        <f t="shared" si="5"/>
        <v>#REF!</v>
      </c>
    </row>
    <row r="114" spans="1:22" x14ac:dyDescent="0.25">
      <c r="A114" s="2">
        <v>46398</v>
      </c>
      <c r="B114" s="2">
        <v>45244</v>
      </c>
      <c r="C114" t="s">
        <v>40</v>
      </c>
      <c r="D114">
        <v>3</v>
      </c>
      <c r="E114" t="s">
        <v>195</v>
      </c>
      <c r="F114" t="s">
        <v>100</v>
      </c>
      <c r="G114" t="s">
        <v>43</v>
      </c>
      <c r="H114" t="s">
        <v>196</v>
      </c>
      <c r="I114" t="s">
        <v>45</v>
      </c>
      <c r="J114" s="3" t="s">
        <v>141</v>
      </c>
      <c r="K114" t="s">
        <v>131</v>
      </c>
      <c r="L114" s="4">
        <v>364</v>
      </c>
      <c r="M114" s="4">
        <v>0</v>
      </c>
      <c r="N114">
        <v>364</v>
      </c>
      <c r="P114">
        <v>0</v>
      </c>
      <c r="Q114">
        <f>QtyRemaining*EstMfgMin/60</f>
        <v>0</v>
      </c>
      <c r="U114" t="e">
        <f t="shared" si="4"/>
        <v>#REF!</v>
      </c>
      <c r="V114" s="5" t="e">
        <f t="shared" si="5"/>
        <v>#REF!</v>
      </c>
    </row>
    <row r="115" spans="1:22" x14ac:dyDescent="0.25">
      <c r="A115" s="2">
        <v>46409</v>
      </c>
      <c r="B115" s="2">
        <v>46013</v>
      </c>
      <c r="C115" t="s">
        <v>40</v>
      </c>
      <c r="D115">
        <v>4</v>
      </c>
      <c r="E115" t="s">
        <v>197</v>
      </c>
      <c r="F115" t="s">
        <v>100</v>
      </c>
      <c r="G115" t="s">
        <v>43</v>
      </c>
      <c r="H115" t="s">
        <v>198</v>
      </c>
      <c r="I115" t="s">
        <v>45</v>
      </c>
      <c r="J115" s="3" t="s">
        <v>165</v>
      </c>
      <c r="K115" t="s">
        <v>166</v>
      </c>
      <c r="L115" s="4">
        <v>200</v>
      </c>
      <c r="M115" s="4">
        <v>0</v>
      </c>
      <c r="N115">
        <v>200</v>
      </c>
      <c r="O115" t="s">
        <v>94</v>
      </c>
      <c r="P115">
        <v>0</v>
      </c>
      <c r="Q115">
        <f>QtyRemaining*EstMfgMin/60</f>
        <v>0</v>
      </c>
      <c r="U115" t="e">
        <f t="shared" si="4"/>
        <v>#REF!</v>
      </c>
      <c r="V115" s="5" t="e">
        <f t="shared" si="5"/>
        <v>#REF!</v>
      </c>
    </row>
    <row r="116" spans="1:22" x14ac:dyDescent="0.25">
      <c r="A116" s="2">
        <v>46440</v>
      </c>
      <c r="B116" s="2">
        <v>46013</v>
      </c>
      <c r="C116" t="s">
        <v>40</v>
      </c>
      <c r="D116">
        <v>9</v>
      </c>
      <c r="E116" t="s">
        <v>197</v>
      </c>
      <c r="F116" t="s">
        <v>100</v>
      </c>
      <c r="G116" t="s">
        <v>43</v>
      </c>
      <c r="H116" t="s">
        <v>198</v>
      </c>
      <c r="I116" t="s">
        <v>45</v>
      </c>
      <c r="J116" s="3" t="s">
        <v>165</v>
      </c>
      <c r="K116" t="s">
        <v>166</v>
      </c>
      <c r="L116" s="4">
        <v>200</v>
      </c>
      <c r="M116" s="4">
        <v>0</v>
      </c>
      <c r="N116">
        <v>200</v>
      </c>
      <c r="O116" t="s">
        <v>94</v>
      </c>
      <c r="P116">
        <v>0</v>
      </c>
      <c r="Q116">
        <f>QtyRemaining*EstMfgMin/60</f>
        <v>0</v>
      </c>
      <c r="U116" t="e">
        <f t="shared" si="4"/>
        <v>#REF!</v>
      </c>
      <c r="V116" s="5" t="e">
        <f t="shared" si="5"/>
        <v>#REF!</v>
      </c>
    </row>
    <row r="117" spans="1:22" x14ac:dyDescent="0.25">
      <c r="A117" s="2">
        <v>46469</v>
      </c>
      <c r="B117" s="2">
        <v>46013</v>
      </c>
      <c r="C117" t="s">
        <v>40</v>
      </c>
      <c r="D117">
        <v>13</v>
      </c>
      <c r="E117" t="s">
        <v>197</v>
      </c>
      <c r="F117" t="s">
        <v>100</v>
      </c>
      <c r="G117" t="s">
        <v>43</v>
      </c>
      <c r="H117" t="s">
        <v>198</v>
      </c>
      <c r="I117" t="s">
        <v>45</v>
      </c>
      <c r="J117" s="3" t="s">
        <v>165</v>
      </c>
      <c r="K117" t="s">
        <v>166</v>
      </c>
      <c r="L117" s="4">
        <v>200</v>
      </c>
      <c r="M117" s="4">
        <v>0</v>
      </c>
      <c r="N117">
        <v>200</v>
      </c>
      <c r="O117" t="s">
        <v>94</v>
      </c>
      <c r="P117">
        <v>0</v>
      </c>
      <c r="Q117">
        <f>QtyRemaining*EstMfgMin/60</f>
        <v>0</v>
      </c>
      <c r="U117" t="e">
        <f t="shared" si="4"/>
        <v>#REF!</v>
      </c>
      <c r="V117" s="5" t="e">
        <f t="shared" si="5"/>
        <v>#REF!</v>
      </c>
    </row>
    <row r="118" spans="1:22" x14ac:dyDescent="0.25">
      <c r="A118" s="2">
        <v>46499</v>
      </c>
      <c r="B118" s="2">
        <v>46013</v>
      </c>
      <c r="C118" t="s">
        <v>40</v>
      </c>
      <c r="D118">
        <v>17</v>
      </c>
      <c r="E118" t="s">
        <v>197</v>
      </c>
      <c r="F118" t="s">
        <v>100</v>
      </c>
      <c r="G118" t="s">
        <v>43</v>
      </c>
      <c r="H118" t="s">
        <v>198</v>
      </c>
      <c r="I118" t="s">
        <v>45</v>
      </c>
      <c r="J118" s="3" t="s">
        <v>165</v>
      </c>
      <c r="K118" t="s">
        <v>166</v>
      </c>
      <c r="L118" s="4">
        <v>200</v>
      </c>
      <c r="M118" s="4">
        <v>0</v>
      </c>
      <c r="N118">
        <v>200</v>
      </c>
      <c r="O118" t="s">
        <v>94</v>
      </c>
      <c r="P118">
        <v>0</v>
      </c>
      <c r="Q118">
        <f>QtyRemaining*EstMfgMin/60</f>
        <v>0</v>
      </c>
      <c r="U118" t="e">
        <f t="shared" si="4"/>
        <v>#REF!</v>
      </c>
      <c r="V118" s="5" t="e">
        <f t="shared" si="5"/>
        <v>#REF!</v>
      </c>
    </row>
    <row r="119" spans="1:22" x14ac:dyDescent="0.25">
      <c r="A119" s="2">
        <v>46531</v>
      </c>
      <c r="B119" s="2">
        <v>46013</v>
      </c>
      <c r="C119" t="s">
        <v>40</v>
      </c>
      <c r="D119">
        <v>22</v>
      </c>
      <c r="E119" t="s">
        <v>197</v>
      </c>
      <c r="F119" t="s">
        <v>100</v>
      </c>
      <c r="G119" t="s">
        <v>43</v>
      </c>
      <c r="H119" t="s">
        <v>198</v>
      </c>
      <c r="I119" t="s">
        <v>45</v>
      </c>
      <c r="J119" s="3" t="s">
        <v>165</v>
      </c>
      <c r="K119" t="s">
        <v>166</v>
      </c>
      <c r="L119" s="4">
        <v>200</v>
      </c>
      <c r="M119" s="4">
        <v>0</v>
      </c>
      <c r="N119">
        <v>200</v>
      </c>
      <c r="O119" t="s">
        <v>94</v>
      </c>
      <c r="P119">
        <v>0</v>
      </c>
      <c r="Q119">
        <f>QtyRemaining*EstMfgMin/60</f>
        <v>0</v>
      </c>
      <c r="U119" t="e">
        <f t="shared" si="4"/>
        <v>#REF!</v>
      </c>
      <c r="V119" s="5" t="e">
        <f t="shared" si="5"/>
        <v>#REF!</v>
      </c>
    </row>
    <row r="120" spans="1:22" x14ac:dyDescent="0.25">
      <c r="A120" s="2">
        <v>46531</v>
      </c>
      <c r="B120" s="2">
        <v>46013</v>
      </c>
      <c r="C120" t="s">
        <v>40</v>
      </c>
      <c r="D120">
        <v>22</v>
      </c>
      <c r="E120" t="s">
        <v>197</v>
      </c>
      <c r="F120" t="s">
        <v>100</v>
      </c>
      <c r="G120" t="s">
        <v>43</v>
      </c>
      <c r="H120" t="s">
        <v>198</v>
      </c>
      <c r="I120" t="s">
        <v>45</v>
      </c>
      <c r="J120" s="3" t="s">
        <v>165</v>
      </c>
      <c r="K120" t="s">
        <v>166</v>
      </c>
      <c r="L120" s="4">
        <v>77</v>
      </c>
      <c r="M120" s="4">
        <v>0</v>
      </c>
      <c r="N120">
        <v>77</v>
      </c>
      <c r="O120" t="s">
        <v>94</v>
      </c>
      <c r="P120">
        <v>0</v>
      </c>
      <c r="Q120">
        <f>QtyRemaining*EstMfgMin/60</f>
        <v>0</v>
      </c>
      <c r="U120" t="e">
        <f t="shared" si="4"/>
        <v>#REF!</v>
      </c>
      <c r="V120" s="5" t="e">
        <f t="shared" si="5"/>
        <v>#REF!</v>
      </c>
    </row>
    <row r="121" spans="1:22" x14ac:dyDescent="0.25">
      <c r="A121" s="2">
        <v>2958352</v>
      </c>
      <c r="B121" s="2">
        <v>45559</v>
      </c>
      <c r="C121" t="s">
        <v>40</v>
      </c>
      <c r="D121">
        <v>37</v>
      </c>
      <c r="E121" t="s">
        <v>199</v>
      </c>
      <c r="F121" t="s">
        <v>100</v>
      </c>
      <c r="G121" t="s">
        <v>43</v>
      </c>
      <c r="H121" t="s">
        <v>200</v>
      </c>
      <c r="I121" t="s">
        <v>45</v>
      </c>
      <c r="J121" s="3" t="s">
        <v>201</v>
      </c>
      <c r="K121" t="s">
        <v>131</v>
      </c>
      <c r="L121" s="4">
        <v>327</v>
      </c>
      <c r="M121" s="4">
        <v>0</v>
      </c>
      <c r="N121">
        <v>327</v>
      </c>
      <c r="O121" t="s">
        <v>118</v>
      </c>
      <c r="P121">
        <v>60</v>
      </c>
      <c r="Q121">
        <f>QtyRemaining*EstMfgMin/60</f>
        <v>327</v>
      </c>
      <c r="R121" t="s">
        <v>202</v>
      </c>
      <c r="U121" t="e">
        <f t="shared" si="4"/>
        <v>#REF!</v>
      </c>
      <c r="V121" s="5" t="e">
        <f t="shared" si="5"/>
        <v>#REF!</v>
      </c>
    </row>
    <row r="122" spans="1:22" x14ac:dyDescent="0.25">
      <c r="A122" s="2">
        <v>2958352</v>
      </c>
      <c r="B122" s="2">
        <v>45559</v>
      </c>
      <c r="C122" t="s">
        <v>40</v>
      </c>
      <c r="D122">
        <v>37</v>
      </c>
      <c r="E122" t="s">
        <v>199</v>
      </c>
      <c r="F122" t="s">
        <v>100</v>
      </c>
      <c r="G122" t="s">
        <v>43</v>
      </c>
      <c r="H122" t="s">
        <v>200</v>
      </c>
      <c r="I122" t="s">
        <v>45</v>
      </c>
      <c r="J122" s="3" t="s">
        <v>203</v>
      </c>
      <c r="K122" t="s">
        <v>131</v>
      </c>
      <c r="L122" s="4">
        <v>2000</v>
      </c>
      <c r="M122" s="4">
        <v>0</v>
      </c>
      <c r="N122">
        <v>2000</v>
      </c>
      <c r="O122" t="s">
        <v>118</v>
      </c>
      <c r="P122">
        <v>0</v>
      </c>
      <c r="Q122">
        <f>QtyRemaining*EstMfgMin/60</f>
        <v>0</v>
      </c>
      <c r="R122" t="s">
        <v>204</v>
      </c>
      <c r="U122" t="e">
        <f t="shared" si="4"/>
        <v>#REF!</v>
      </c>
      <c r="V122" s="5" t="e">
        <f t="shared" si="5"/>
        <v>#REF!</v>
      </c>
    </row>
    <row r="123" spans="1:22" x14ac:dyDescent="0.25">
      <c r="A123" s="2">
        <v>2958352</v>
      </c>
      <c r="B123" s="2">
        <v>45559</v>
      </c>
      <c r="C123" t="s">
        <v>40</v>
      </c>
      <c r="D123">
        <v>37</v>
      </c>
      <c r="E123" t="s">
        <v>199</v>
      </c>
      <c r="F123" t="s">
        <v>100</v>
      </c>
      <c r="G123" t="s">
        <v>43</v>
      </c>
      <c r="H123" t="s">
        <v>200</v>
      </c>
      <c r="I123" t="s">
        <v>45</v>
      </c>
      <c r="J123" s="3" t="s">
        <v>203</v>
      </c>
      <c r="K123" t="s">
        <v>131</v>
      </c>
      <c r="L123" s="4">
        <v>1500</v>
      </c>
      <c r="M123" s="4">
        <v>0</v>
      </c>
      <c r="N123">
        <v>1500</v>
      </c>
      <c r="O123" t="s">
        <v>118</v>
      </c>
      <c r="P123">
        <v>0</v>
      </c>
      <c r="Q123">
        <f>QtyRemaining*EstMfgMin/60</f>
        <v>0</v>
      </c>
      <c r="R123" t="s">
        <v>204</v>
      </c>
      <c r="U123" t="e">
        <f t="shared" si="4"/>
        <v>#REF!</v>
      </c>
      <c r="V123" s="5" t="e">
        <f t="shared" si="5"/>
        <v>#REF!</v>
      </c>
    </row>
    <row r="124" spans="1:22" x14ac:dyDescent="0.25">
      <c r="A124" s="2">
        <v>2958352</v>
      </c>
      <c r="B124" s="2">
        <v>45559</v>
      </c>
      <c r="C124" t="s">
        <v>40</v>
      </c>
      <c r="D124">
        <v>37</v>
      </c>
      <c r="E124" t="s">
        <v>199</v>
      </c>
      <c r="F124" t="s">
        <v>100</v>
      </c>
      <c r="G124" t="s">
        <v>43</v>
      </c>
      <c r="H124" t="s">
        <v>200</v>
      </c>
      <c r="I124" t="s">
        <v>45</v>
      </c>
      <c r="J124" s="3" t="s">
        <v>203</v>
      </c>
      <c r="K124" t="s">
        <v>131</v>
      </c>
      <c r="L124" s="4">
        <v>1500</v>
      </c>
      <c r="M124" s="4">
        <v>0</v>
      </c>
      <c r="N124">
        <v>1500</v>
      </c>
      <c r="O124" t="s">
        <v>118</v>
      </c>
      <c r="P124">
        <v>0</v>
      </c>
      <c r="Q124">
        <f>QtyRemaining*EstMfgMin/60</f>
        <v>0</v>
      </c>
      <c r="R124" t="s">
        <v>204</v>
      </c>
      <c r="U124" t="e">
        <f t="shared" si="4"/>
        <v>#REF!</v>
      </c>
      <c r="V124" s="5" t="e">
        <f t="shared" si="5"/>
        <v>#REF!</v>
      </c>
    </row>
    <row r="125" spans="1:22" x14ac:dyDescent="0.25">
      <c r="A125" s="2">
        <v>2958352</v>
      </c>
      <c r="B125" s="2">
        <v>45559</v>
      </c>
      <c r="C125" t="s">
        <v>40</v>
      </c>
      <c r="D125">
        <v>37</v>
      </c>
      <c r="E125" t="s">
        <v>199</v>
      </c>
      <c r="F125" t="s">
        <v>100</v>
      </c>
      <c r="G125" t="s">
        <v>43</v>
      </c>
      <c r="H125" t="s">
        <v>200</v>
      </c>
      <c r="I125" t="s">
        <v>45</v>
      </c>
      <c r="J125" s="3" t="s">
        <v>203</v>
      </c>
      <c r="K125" t="s">
        <v>131</v>
      </c>
      <c r="L125" s="4">
        <v>1500</v>
      </c>
      <c r="M125" s="4">
        <v>0</v>
      </c>
      <c r="N125">
        <v>1500</v>
      </c>
      <c r="O125" t="s">
        <v>118</v>
      </c>
      <c r="P125">
        <v>0</v>
      </c>
      <c r="Q125">
        <f>QtyRemaining*EstMfgMin/60</f>
        <v>0</v>
      </c>
      <c r="R125" t="s">
        <v>204</v>
      </c>
      <c r="U125" t="e">
        <f t="shared" si="4"/>
        <v>#REF!</v>
      </c>
      <c r="V125" s="5" t="e">
        <f t="shared" si="5"/>
        <v>#REF!</v>
      </c>
    </row>
    <row r="126" spans="1:22" x14ac:dyDescent="0.25">
      <c r="A126" s="2">
        <v>2958352</v>
      </c>
      <c r="B126" s="2">
        <v>45559</v>
      </c>
      <c r="C126" t="s">
        <v>40</v>
      </c>
      <c r="D126">
        <v>37</v>
      </c>
      <c r="E126" t="s">
        <v>199</v>
      </c>
      <c r="F126" t="s">
        <v>100</v>
      </c>
      <c r="G126" t="s">
        <v>43</v>
      </c>
      <c r="H126" t="s">
        <v>200</v>
      </c>
      <c r="I126" t="s">
        <v>45</v>
      </c>
      <c r="J126" s="3" t="s">
        <v>203</v>
      </c>
      <c r="K126" t="s">
        <v>131</v>
      </c>
      <c r="L126" s="4">
        <v>1500</v>
      </c>
      <c r="M126" s="4">
        <v>0</v>
      </c>
      <c r="N126">
        <v>1500</v>
      </c>
      <c r="O126" t="s">
        <v>118</v>
      </c>
      <c r="P126">
        <v>0</v>
      </c>
      <c r="Q126">
        <f>QtyRemaining*EstMfgMin/60</f>
        <v>0</v>
      </c>
      <c r="R126" t="s">
        <v>204</v>
      </c>
      <c r="U126" t="e">
        <f t="shared" si="4"/>
        <v>#REF!</v>
      </c>
      <c r="V126" s="5" t="e">
        <f t="shared" si="5"/>
        <v>#REF!</v>
      </c>
    </row>
    <row r="127" spans="1:22" x14ac:dyDescent="0.25">
      <c r="A127" s="2">
        <v>2958352</v>
      </c>
      <c r="B127" s="2">
        <v>45559</v>
      </c>
      <c r="C127" t="s">
        <v>40</v>
      </c>
      <c r="D127">
        <v>37</v>
      </c>
      <c r="E127" t="s">
        <v>199</v>
      </c>
      <c r="F127" t="s">
        <v>100</v>
      </c>
      <c r="G127" t="s">
        <v>43</v>
      </c>
      <c r="H127" t="s">
        <v>200</v>
      </c>
      <c r="I127" t="s">
        <v>45</v>
      </c>
      <c r="J127" s="3" t="s">
        <v>203</v>
      </c>
      <c r="K127" t="s">
        <v>131</v>
      </c>
      <c r="L127" s="4">
        <v>471</v>
      </c>
      <c r="M127" s="4">
        <v>0</v>
      </c>
      <c r="N127">
        <v>471</v>
      </c>
      <c r="O127" t="s">
        <v>118</v>
      </c>
      <c r="P127">
        <v>0</v>
      </c>
      <c r="Q127">
        <f>QtyRemaining*EstMfgMin/60</f>
        <v>0</v>
      </c>
      <c r="R127" t="s">
        <v>204</v>
      </c>
      <c r="U127" t="e">
        <f t="shared" si="4"/>
        <v>#REF!</v>
      </c>
      <c r="V127" s="5" t="e">
        <f t="shared" si="5"/>
        <v>#REF!</v>
      </c>
    </row>
    <row r="128" spans="1:22" x14ac:dyDescent="0.25">
      <c r="A128" s="2">
        <v>2958352</v>
      </c>
      <c r="B128" s="2">
        <v>45559</v>
      </c>
      <c r="C128" t="s">
        <v>40</v>
      </c>
      <c r="D128">
        <v>37</v>
      </c>
      <c r="E128" t="s">
        <v>199</v>
      </c>
      <c r="F128" t="s">
        <v>100</v>
      </c>
      <c r="G128" t="s">
        <v>43</v>
      </c>
      <c r="H128" t="s">
        <v>200</v>
      </c>
      <c r="I128" t="s">
        <v>45</v>
      </c>
      <c r="J128" s="3" t="s">
        <v>205</v>
      </c>
      <c r="K128" t="s">
        <v>206</v>
      </c>
      <c r="L128" s="4">
        <v>1</v>
      </c>
      <c r="M128" s="4">
        <v>0</v>
      </c>
      <c r="N128">
        <v>1</v>
      </c>
      <c r="O128" t="s">
        <v>118</v>
      </c>
      <c r="P128">
        <v>0</v>
      </c>
      <c r="Q128">
        <f>QtyRemaining*EstMfgMin/60</f>
        <v>0</v>
      </c>
      <c r="U128" t="e">
        <f t="shared" si="4"/>
        <v>#REF!</v>
      </c>
      <c r="V128" s="5" t="e">
        <f t="shared" si="5"/>
        <v>#REF!</v>
      </c>
    </row>
    <row r="129" spans="1:22" x14ac:dyDescent="0.25">
      <c r="A129" s="2">
        <v>2958352</v>
      </c>
      <c r="B129" s="2">
        <v>45559</v>
      </c>
      <c r="C129" t="s">
        <v>40</v>
      </c>
      <c r="D129">
        <v>37</v>
      </c>
      <c r="E129" t="s">
        <v>199</v>
      </c>
      <c r="F129" t="s">
        <v>100</v>
      </c>
      <c r="G129" t="s">
        <v>43</v>
      </c>
      <c r="H129" t="s">
        <v>200</v>
      </c>
      <c r="I129" t="s">
        <v>45</v>
      </c>
      <c r="J129" s="3" t="s">
        <v>205</v>
      </c>
      <c r="K129" t="s">
        <v>207</v>
      </c>
      <c r="L129" s="4">
        <v>1</v>
      </c>
      <c r="M129" s="4">
        <v>0</v>
      </c>
      <c r="N129">
        <v>1</v>
      </c>
      <c r="O129" t="s">
        <v>118</v>
      </c>
      <c r="P129">
        <v>0</v>
      </c>
      <c r="Q129">
        <f>QtyRemaining*EstMfgMin/60</f>
        <v>0</v>
      </c>
      <c r="R129" t="s">
        <v>208</v>
      </c>
      <c r="U129" t="e">
        <f t="shared" si="4"/>
        <v>#REF!</v>
      </c>
      <c r="V129" s="5" t="e">
        <f t="shared" si="5"/>
        <v>#REF!</v>
      </c>
    </row>
    <row r="130" spans="1:22" x14ac:dyDescent="0.25">
      <c r="A130" s="2">
        <v>0</v>
      </c>
      <c r="B130" s="2">
        <v>43166</v>
      </c>
      <c r="C130" t="s">
        <v>209</v>
      </c>
      <c r="D130">
        <v>0</v>
      </c>
      <c r="E130" t="s">
        <v>210</v>
      </c>
      <c r="F130" t="s">
        <v>211</v>
      </c>
      <c r="G130" t="s">
        <v>212</v>
      </c>
      <c r="H130" t="s">
        <v>213</v>
      </c>
      <c r="I130" t="s">
        <v>214</v>
      </c>
      <c r="J130" s="3" t="s">
        <v>215</v>
      </c>
      <c r="K130" t="s">
        <v>216</v>
      </c>
      <c r="L130" s="4">
        <v>150</v>
      </c>
      <c r="M130" s="4">
        <v>0</v>
      </c>
      <c r="N130">
        <v>150</v>
      </c>
      <c r="P130">
        <v>0</v>
      </c>
      <c r="Q130">
        <f>QtyRemaining*EstMfgMin/60</f>
        <v>0</v>
      </c>
      <c r="U130" t="e">
        <f t="shared" si="4"/>
        <v>#REF!</v>
      </c>
      <c r="V130" s="5" t="e">
        <f t="shared" si="5"/>
        <v>#REF!</v>
      </c>
    </row>
    <row r="131" spans="1:22" x14ac:dyDescent="0.25">
      <c r="A131" s="2">
        <v>0</v>
      </c>
      <c r="B131" s="2">
        <v>43584</v>
      </c>
      <c r="C131" t="s">
        <v>209</v>
      </c>
      <c r="D131">
        <v>0</v>
      </c>
      <c r="E131" t="s">
        <v>217</v>
      </c>
      <c r="F131" t="s">
        <v>211</v>
      </c>
      <c r="G131" t="s">
        <v>218</v>
      </c>
      <c r="I131" t="s">
        <v>214</v>
      </c>
      <c r="J131" s="3" t="s">
        <v>219</v>
      </c>
      <c r="K131" t="s">
        <v>220</v>
      </c>
      <c r="L131" s="4">
        <v>574774.61</v>
      </c>
      <c r="M131" s="4">
        <v>442055.47</v>
      </c>
      <c r="N131">
        <v>132719.14000000001</v>
      </c>
      <c r="P131">
        <v>0</v>
      </c>
      <c r="Q131">
        <f>QtyRemaining*EstMfgMin/60</f>
        <v>0</v>
      </c>
      <c r="U131" t="e">
        <f t="shared" ref="U131:U194" si="6">VLOOKUP(A131,Calendar,13,FALSE)</f>
        <v>#REF!</v>
      </c>
      <c r="V131" s="5" t="e">
        <f t="shared" ref="V131:V194" si="7">VLOOKUP(A131,Calendar,14,FALSE)</f>
        <v>#REF!</v>
      </c>
    </row>
    <row r="132" spans="1:22" x14ac:dyDescent="0.25">
      <c r="A132" s="2">
        <v>0</v>
      </c>
      <c r="B132" s="2">
        <v>44887</v>
      </c>
      <c r="C132" t="s">
        <v>221</v>
      </c>
      <c r="D132">
        <v>0</v>
      </c>
      <c r="E132" t="s">
        <v>222</v>
      </c>
      <c r="F132" t="s">
        <v>211</v>
      </c>
      <c r="G132" t="s">
        <v>223</v>
      </c>
      <c r="I132" t="s">
        <v>224</v>
      </c>
      <c r="J132" s="3" t="s">
        <v>50</v>
      </c>
      <c r="K132" t="s">
        <v>225</v>
      </c>
      <c r="L132" s="4">
        <v>2000</v>
      </c>
      <c r="M132" s="4">
        <v>635</v>
      </c>
      <c r="N132">
        <v>1365</v>
      </c>
      <c r="P132">
        <v>0</v>
      </c>
      <c r="Q132">
        <f>QtyRemaining*EstMfgMin/60</f>
        <v>0</v>
      </c>
      <c r="U132" t="e">
        <f t="shared" si="6"/>
        <v>#REF!</v>
      </c>
      <c r="V132" s="5" t="e">
        <f t="shared" si="7"/>
        <v>#REF!</v>
      </c>
    </row>
    <row r="133" spans="1:22" x14ac:dyDescent="0.25">
      <c r="A133" s="2">
        <v>44130</v>
      </c>
      <c r="B133" s="2">
        <v>44130</v>
      </c>
      <c r="C133" t="s">
        <v>226</v>
      </c>
      <c r="D133">
        <v>44</v>
      </c>
      <c r="E133" t="s">
        <v>227</v>
      </c>
      <c r="F133" t="s">
        <v>211</v>
      </c>
      <c r="G133" t="s">
        <v>228</v>
      </c>
      <c r="H133" t="s">
        <v>229</v>
      </c>
      <c r="I133" t="s">
        <v>214</v>
      </c>
      <c r="J133" s="3" t="s">
        <v>230</v>
      </c>
      <c r="K133" t="s">
        <v>231</v>
      </c>
      <c r="L133" s="4">
        <v>2</v>
      </c>
      <c r="M133" s="4">
        <v>0</v>
      </c>
      <c r="N133">
        <v>2</v>
      </c>
      <c r="P133">
        <v>50</v>
      </c>
      <c r="Q133">
        <f>QtyRemaining*EstMfgMin/60</f>
        <v>1.6666666666666667</v>
      </c>
      <c r="U133" t="e">
        <f t="shared" si="6"/>
        <v>#REF!</v>
      </c>
      <c r="V133" s="5" t="e">
        <f t="shared" si="7"/>
        <v>#REF!</v>
      </c>
    </row>
    <row r="134" spans="1:22" x14ac:dyDescent="0.25">
      <c r="A134" s="2">
        <v>44160</v>
      </c>
      <c r="B134" s="2">
        <v>44160</v>
      </c>
      <c r="C134" t="s">
        <v>232</v>
      </c>
      <c r="D134">
        <v>48</v>
      </c>
      <c r="E134" t="s">
        <v>233</v>
      </c>
      <c r="F134" t="s">
        <v>211</v>
      </c>
      <c r="G134" t="s">
        <v>234</v>
      </c>
      <c r="H134" t="s">
        <v>235</v>
      </c>
      <c r="I134" t="s">
        <v>214</v>
      </c>
      <c r="J134" s="3" t="s">
        <v>236</v>
      </c>
      <c r="K134" t="s">
        <v>237</v>
      </c>
      <c r="L134" s="4">
        <v>10</v>
      </c>
      <c r="M134" s="4">
        <v>0</v>
      </c>
      <c r="N134">
        <v>10</v>
      </c>
      <c r="P134">
        <v>15</v>
      </c>
      <c r="Q134">
        <f>QtyRemaining*EstMfgMin/60</f>
        <v>2.5</v>
      </c>
      <c r="U134" t="e">
        <f t="shared" si="6"/>
        <v>#REF!</v>
      </c>
      <c r="V134" s="5" t="e">
        <f t="shared" si="7"/>
        <v>#REF!</v>
      </c>
    </row>
    <row r="135" spans="1:22" x14ac:dyDescent="0.25">
      <c r="A135" s="2">
        <v>44216</v>
      </c>
      <c r="B135" s="2">
        <v>44216</v>
      </c>
      <c r="C135" t="s">
        <v>226</v>
      </c>
      <c r="D135">
        <v>4</v>
      </c>
      <c r="E135" t="s">
        <v>238</v>
      </c>
      <c r="F135" t="s">
        <v>211</v>
      </c>
      <c r="G135" t="s">
        <v>228</v>
      </c>
      <c r="H135" t="s">
        <v>239</v>
      </c>
      <c r="I135" t="s">
        <v>214</v>
      </c>
      <c r="J135" s="3" t="s">
        <v>240</v>
      </c>
      <c r="K135" t="s">
        <v>241</v>
      </c>
      <c r="L135" s="4">
        <v>2</v>
      </c>
      <c r="M135" s="4">
        <v>0</v>
      </c>
      <c r="N135">
        <v>2</v>
      </c>
      <c r="P135">
        <v>14</v>
      </c>
      <c r="Q135">
        <f>QtyRemaining*EstMfgMin/60</f>
        <v>0.46666666666666667</v>
      </c>
      <c r="U135" t="e">
        <f t="shared" si="6"/>
        <v>#REF!</v>
      </c>
      <c r="V135" s="5" t="e">
        <f t="shared" si="7"/>
        <v>#REF!</v>
      </c>
    </row>
    <row r="136" spans="1:22" x14ac:dyDescent="0.25">
      <c r="A136" s="2">
        <v>44216</v>
      </c>
      <c r="B136" s="2">
        <v>44216</v>
      </c>
      <c r="C136" t="s">
        <v>226</v>
      </c>
      <c r="D136">
        <v>4</v>
      </c>
      <c r="E136" t="s">
        <v>238</v>
      </c>
      <c r="F136" t="s">
        <v>211</v>
      </c>
      <c r="G136" t="s">
        <v>228</v>
      </c>
      <c r="H136" t="s">
        <v>239</v>
      </c>
      <c r="I136" t="s">
        <v>214</v>
      </c>
      <c r="J136" s="3" t="s">
        <v>242</v>
      </c>
      <c r="K136" t="s">
        <v>243</v>
      </c>
      <c r="L136" s="4">
        <v>1</v>
      </c>
      <c r="M136" s="4">
        <v>0</v>
      </c>
      <c r="N136">
        <v>1</v>
      </c>
      <c r="P136">
        <v>56</v>
      </c>
      <c r="Q136">
        <f>QtyRemaining*EstMfgMin/60</f>
        <v>0.93333333333333335</v>
      </c>
      <c r="U136" t="e">
        <f t="shared" si="6"/>
        <v>#REF!</v>
      </c>
      <c r="V136" s="5" t="e">
        <f t="shared" si="7"/>
        <v>#REF!</v>
      </c>
    </row>
    <row r="137" spans="1:22" x14ac:dyDescent="0.25">
      <c r="A137" s="2">
        <v>44274</v>
      </c>
      <c r="B137" s="2">
        <v>44274</v>
      </c>
      <c r="C137" t="s">
        <v>226</v>
      </c>
      <c r="D137">
        <v>12</v>
      </c>
      <c r="E137" t="s">
        <v>244</v>
      </c>
      <c r="F137" t="s">
        <v>211</v>
      </c>
      <c r="G137" t="s">
        <v>228</v>
      </c>
      <c r="H137" t="s">
        <v>245</v>
      </c>
      <c r="I137" t="s">
        <v>214</v>
      </c>
      <c r="J137" s="3" t="s">
        <v>240</v>
      </c>
      <c r="K137" t="s">
        <v>241</v>
      </c>
      <c r="L137" s="4">
        <v>3</v>
      </c>
      <c r="M137" s="4">
        <v>0</v>
      </c>
      <c r="N137">
        <v>3</v>
      </c>
      <c r="O137" t="s">
        <v>86</v>
      </c>
      <c r="P137">
        <v>14</v>
      </c>
      <c r="Q137">
        <f>QtyRemaining*EstMfgMin/60</f>
        <v>0.7</v>
      </c>
      <c r="U137" t="e">
        <f t="shared" si="6"/>
        <v>#REF!</v>
      </c>
      <c r="V137" s="5" t="e">
        <f t="shared" si="7"/>
        <v>#REF!</v>
      </c>
    </row>
    <row r="138" spans="1:22" x14ac:dyDescent="0.25">
      <c r="A138" s="2">
        <v>44279</v>
      </c>
      <c r="B138" s="2">
        <v>44279</v>
      </c>
      <c r="C138" t="s">
        <v>221</v>
      </c>
      <c r="D138">
        <v>13</v>
      </c>
      <c r="E138" t="s">
        <v>246</v>
      </c>
      <c r="F138" t="s">
        <v>211</v>
      </c>
      <c r="G138" t="s">
        <v>247</v>
      </c>
      <c r="H138" t="s">
        <v>248</v>
      </c>
      <c r="I138" t="s">
        <v>214</v>
      </c>
      <c r="J138" s="3" t="s">
        <v>249</v>
      </c>
      <c r="K138" t="s">
        <v>250</v>
      </c>
      <c r="L138" s="4">
        <v>74</v>
      </c>
      <c r="M138" s="4">
        <v>27</v>
      </c>
      <c r="N138">
        <v>47</v>
      </c>
      <c r="P138">
        <v>0</v>
      </c>
      <c r="Q138">
        <f>QtyRemaining*EstMfgMin/60</f>
        <v>0</v>
      </c>
      <c r="U138" t="e">
        <f t="shared" si="6"/>
        <v>#REF!</v>
      </c>
      <c r="V138" s="5" t="e">
        <f t="shared" si="7"/>
        <v>#REF!</v>
      </c>
    </row>
    <row r="139" spans="1:22" x14ac:dyDescent="0.25">
      <c r="A139" s="2">
        <v>44279</v>
      </c>
      <c r="B139" s="2">
        <v>44279</v>
      </c>
      <c r="C139" t="s">
        <v>221</v>
      </c>
      <c r="D139">
        <v>13</v>
      </c>
      <c r="E139" t="s">
        <v>246</v>
      </c>
      <c r="F139" t="s">
        <v>211</v>
      </c>
      <c r="G139" t="s">
        <v>247</v>
      </c>
      <c r="H139" t="s">
        <v>248</v>
      </c>
      <c r="I139" t="s">
        <v>214</v>
      </c>
      <c r="J139" s="3" t="s">
        <v>251</v>
      </c>
      <c r="K139" t="s">
        <v>252</v>
      </c>
      <c r="L139" s="4">
        <v>70</v>
      </c>
      <c r="M139" s="4">
        <v>50</v>
      </c>
      <c r="N139">
        <v>20</v>
      </c>
      <c r="P139">
        <v>0</v>
      </c>
      <c r="Q139">
        <f>QtyRemaining*EstMfgMin/60</f>
        <v>0</v>
      </c>
      <c r="U139" t="e">
        <f t="shared" si="6"/>
        <v>#REF!</v>
      </c>
      <c r="V139" s="5" t="e">
        <f t="shared" si="7"/>
        <v>#REF!</v>
      </c>
    </row>
    <row r="140" spans="1:22" x14ac:dyDescent="0.25">
      <c r="A140" s="2">
        <v>44846</v>
      </c>
      <c r="B140" s="2">
        <v>44624</v>
      </c>
      <c r="C140" t="s">
        <v>221</v>
      </c>
      <c r="D140">
        <v>42</v>
      </c>
      <c r="E140" t="s">
        <v>253</v>
      </c>
      <c r="F140" t="s">
        <v>211</v>
      </c>
      <c r="G140" t="s">
        <v>254</v>
      </c>
      <c r="H140" t="s">
        <v>255</v>
      </c>
      <c r="I140" t="s">
        <v>256</v>
      </c>
      <c r="J140" s="3" t="s">
        <v>257</v>
      </c>
      <c r="K140" t="s">
        <v>258</v>
      </c>
      <c r="L140" s="4">
        <v>160</v>
      </c>
      <c r="M140" s="4">
        <v>0</v>
      </c>
      <c r="N140">
        <v>160</v>
      </c>
      <c r="O140" t="s">
        <v>86</v>
      </c>
      <c r="P140">
        <v>0</v>
      </c>
      <c r="Q140">
        <f>QtyRemaining*EstMfgMin/60</f>
        <v>0</v>
      </c>
      <c r="U140" t="e">
        <f t="shared" si="6"/>
        <v>#REF!</v>
      </c>
      <c r="V140" s="5" t="e">
        <f t="shared" si="7"/>
        <v>#REF!</v>
      </c>
    </row>
    <row r="141" spans="1:22" x14ac:dyDescent="0.25">
      <c r="A141" s="2">
        <v>44861</v>
      </c>
      <c r="B141" s="2">
        <v>44728</v>
      </c>
      <c r="C141" t="s">
        <v>259</v>
      </c>
      <c r="D141">
        <v>44</v>
      </c>
      <c r="E141" t="s">
        <v>260</v>
      </c>
      <c r="F141" t="s">
        <v>261</v>
      </c>
      <c r="G141" t="s">
        <v>262</v>
      </c>
      <c r="H141" t="s">
        <v>263</v>
      </c>
      <c r="I141" t="s">
        <v>83</v>
      </c>
      <c r="J141" s="3" t="s">
        <v>264</v>
      </c>
      <c r="K141" t="s">
        <v>265</v>
      </c>
      <c r="L141" s="4">
        <v>5</v>
      </c>
      <c r="M141" s="4">
        <v>0</v>
      </c>
      <c r="N141">
        <v>5</v>
      </c>
      <c r="O141" t="s">
        <v>266</v>
      </c>
      <c r="P141">
        <v>0</v>
      </c>
      <c r="Q141">
        <f>QtyRemaining*EstMfgMin/60</f>
        <v>0</v>
      </c>
      <c r="R141" t="s">
        <v>267</v>
      </c>
      <c r="S141" t="s">
        <v>268</v>
      </c>
      <c r="U141" t="e">
        <f t="shared" si="6"/>
        <v>#REF!</v>
      </c>
      <c r="V141" s="5" t="e">
        <f t="shared" si="7"/>
        <v>#REF!</v>
      </c>
    </row>
    <row r="142" spans="1:22" x14ac:dyDescent="0.25">
      <c r="A142" s="2">
        <v>44938</v>
      </c>
      <c r="B142" s="2">
        <v>44938</v>
      </c>
      <c r="C142" t="s">
        <v>232</v>
      </c>
      <c r="D142">
        <v>2</v>
      </c>
      <c r="E142" t="s">
        <v>269</v>
      </c>
      <c r="F142" t="s">
        <v>211</v>
      </c>
      <c r="G142" t="s">
        <v>270</v>
      </c>
      <c r="H142" t="s">
        <v>271</v>
      </c>
      <c r="I142" t="s">
        <v>214</v>
      </c>
      <c r="J142" s="3" t="s">
        <v>272</v>
      </c>
      <c r="K142" t="s">
        <v>273</v>
      </c>
      <c r="L142" s="4">
        <v>50</v>
      </c>
      <c r="M142" s="4">
        <v>49</v>
      </c>
      <c r="N142">
        <v>1</v>
      </c>
      <c r="P142">
        <v>0</v>
      </c>
      <c r="Q142">
        <f>QtyRemaining*EstMfgMin/60</f>
        <v>0</v>
      </c>
      <c r="U142" t="e">
        <f t="shared" si="6"/>
        <v>#REF!</v>
      </c>
      <c r="V142" s="5" t="e">
        <f t="shared" si="7"/>
        <v>#REF!</v>
      </c>
    </row>
    <row r="143" spans="1:22" x14ac:dyDescent="0.25">
      <c r="A143" s="2">
        <v>44942</v>
      </c>
      <c r="B143" s="2">
        <v>44886</v>
      </c>
      <c r="C143" t="s">
        <v>274</v>
      </c>
      <c r="D143">
        <v>3</v>
      </c>
      <c r="E143" t="s">
        <v>275</v>
      </c>
      <c r="F143" t="s">
        <v>211</v>
      </c>
      <c r="G143" t="s">
        <v>276</v>
      </c>
      <c r="H143" t="s">
        <v>277</v>
      </c>
      <c r="I143" t="s">
        <v>83</v>
      </c>
      <c r="J143" s="3" t="s">
        <v>278</v>
      </c>
      <c r="K143" t="s">
        <v>279</v>
      </c>
      <c r="L143" s="4">
        <v>25</v>
      </c>
      <c r="M143" s="4">
        <v>0</v>
      </c>
      <c r="N143">
        <v>25</v>
      </c>
      <c r="P143">
        <v>400</v>
      </c>
      <c r="Q143">
        <f>QtyRemaining*EstMfgMin/60</f>
        <v>166.66666666666666</v>
      </c>
      <c r="S143" t="s">
        <v>280</v>
      </c>
      <c r="U143" t="e">
        <f t="shared" si="6"/>
        <v>#REF!</v>
      </c>
      <c r="V143" s="5" t="e">
        <f t="shared" si="7"/>
        <v>#REF!</v>
      </c>
    </row>
    <row r="144" spans="1:22" x14ac:dyDescent="0.25">
      <c r="A144" s="2">
        <v>44942</v>
      </c>
      <c r="B144" s="2">
        <v>44886</v>
      </c>
      <c r="C144" t="s">
        <v>274</v>
      </c>
      <c r="D144">
        <v>3</v>
      </c>
      <c r="E144" t="s">
        <v>275</v>
      </c>
      <c r="F144" t="s">
        <v>211</v>
      </c>
      <c r="G144" t="s">
        <v>276</v>
      </c>
      <c r="H144" t="s">
        <v>277</v>
      </c>
      <c r="I144" t="s">
        <v>83</v>
      </c>
      <c r="J144" s="3" t="s">
        <v>278</v>
      </c>
      <c r="K144" t="s">
        <v>279</v>
      </c>
      <c r="L144" s="4">
        <v>2</v>
      </c>
      <c r="M144" s="4">
        <v>0</v>
      </c>
      <c r="N144">
        <v>2</v>
      </c>
      <c r="P144">
        <v>400</v>
      </c>
      <c r="Q144">
        <f>QtyRemaining*EstMfgMin/60</f>
        <v>13.333333333333334</v>
      </c>
      <c r="S144" t="s">
        <v>280</v>
      </c>
      <c r="U144" t="e">
        <f t="shared" si="6"/>
        <v>#REF!</v>
      </c>
      <c r="V144" s="5" t="e">
        <f t="shared" si="7"/>
        <v>#REF!</v>
      </c>
    </row>
    <row r="145" spans="1:22" x14ac:dyDescent="0.25">
      <c r="A145" s="2">
        <v>44942</v>
      </c>
      <c r="B145" s="2">
        <v>44886</v>
      </c>
      <c r="C145" t="s">
        <v>274</v>
      </c>
      <c r="D145">
        <v>3</v>
      </c>
      <c r="E145" t="s">
        <v>275</v>
      </c>
      <c r="F145" t="s">
        <v>211</v>
      </c>
      <c r="G145" t="s">
        <v>276</v>
      </c>
      <c r="H145" t="s">
        <v>277</v>
      </c>
      <c r="I145" t="s">
        <v>83</v>
      </c>
      <c r="J145" s="3" t="s">
        <v>281</v>
      </c>
      <c r="K145" t="s">
        <v>279</v>
      </c>
      <c r="L145" s="4">
        <v>25</v>
      </c>
      <c r="M145" s="4">
        <v>0</v>
      </c>
      <c r="N145">
        <v>25</v>
      </c>
      <c r="P145">
        <v>500</v>
      </c>
      <c r="Q145">
        <f>QtyRemaining*EstMfgMin/60</f>
        <v>208.33333333333334</v>
      </c>
      <c r="S145" t="s">
        <v>280</v>
      </c>
      <c r="U145" t="e">
        <f t="shared" si="6"/>
        <v>#REF!</v>
      </c>
      <c r="V145" s="5" t="e">
        <f t="shared" si="7"/>
        <v>#REF!</v>
      </c>
    </row>
    <row r="146" spans="1:22" x14ac:dyDescent="0.25">
      <c r="A146" s="2">
        <v>44957</v>
      </c>
      <c r="B146" s="2">
        <v>44893</v>
      </c>
      <c r="C146" t="s">
        <v>209</v>
      </c>
      <c r="D146">
        <v>5</v>
      </c>
      <c r="E146" t="s">
        <v>282</v>
      </c>
      <c r="F146" t="s">
        <v>283</v>
      </c>
      <c r="G146" t="s">
        <v>284</v>
      </c>
      <c r="I146" t="s">
        <v>83</v>
      </c>
      <c r="J146" s="3" t="s">
        <v>285</v>
      </c>
      <c r="K146" t="s">
        <v>286</v>
      </c>
      <c r="L146" s="4">
        <v>75</v>
      </c>
      <c r="M146" s="4">
        <v>0</v>
      </c>
      <c r="N146">
        <v>75</v>
      </c>
      <c r="O146" t="s">
        <v>118</v>
      </c>
      <c r="P146">
        <v>0</v>
      </c>
      <c r="Q146">
        <f>QtyRemaining*EstMfgMin/60</f>
        <v>0</v>
      </c>
      <c r="U146" t="e">
        <f t="shared" si="6"/>
        <v>#REF!</v>
      </c>
      <c r="V146" s="5" t="e">
        <f t="shared" si="7"/>
        <v>#REF!</v>
      </c>
    </row>
    <row r="147" spans="1:22" x14ac:dyDescent="0.25">
      <c r="A147" s="2">
        <v>44974</v>
      </c>
      <c r="B147" s="2">
        <v>44693</v>
      </c>
      <c r="C147" t="s">
        <v>287</v>
      </c>
      <c r="D147">
        <v>7</v>
      </c>
      <c r="E147" t="s">
        <v>288</v>
      </c>
      <c r="F147" t="s">
        <v>211</v>
      </c>
      <c r="G147" t="s">
        <v>289</v>
      </c>
      <c r="H147" t="s">
        <v>290</v>
      </c>
      <c r="I147" t="s">
        <v>291</v>
      </c>
      <c r="J147" s="3" t="s">
        <v>292</v>
      </c>
      <c r="K147" t="s">
        <v>293</v>
      </c>
      <c r="L147" s="4">
        <v>2500</v>
      </c>
      <c r="M147" s="4">
        <v>100</v>
      </c>
      <c r="N147">
        <v>2400</v>
      </c>
      <c r="P147">
        <v>0</v>
      </c>
      <c r="Q147">
        <f>QtyRemaining*EstMfgMin/60</f>
        <v>0</v>
      </c>
      <c r="U147" t="e">
        <f t="shared" si="6"/>
        <v>#REF!</v>
      </c>
      <c r="V147" s="5" t="e">
        <f t="shared" si="7"/>
        <v>#REF!</v>
      </c>
    </row>
    <row r="148" spans="1:22" x14ac:dyDescent="0.25">
      <c r="A148" s="2">
        <v>44984</v>
      </c>
      <c r="B148" s="2">
        <v>44946</v>
      </c>
      <c r="C148" t="s">
        <v>221</v>
      </c>
      <c r="D148">
        <v>9</v>
      </c>
      <c r="E148" t="s">
        <v>294</v>
      </c>
      <c r="F148" t="s">
        <v>211</v>
      </c>
      <c r="G148" t="s">
        <v>223</v>
      </c>
      <c r="H148" t="s">
        <v>295</v>
      </c>
      <c r="I148" t="s">
        <v>214</v>
      </c>
      <c r="J148" s="3" t="s">
        <v>296</v>
      </c>
      <c r="K148" t="s">
        <v>297</v>
      </c>
      <c r="L148" s="4">
        <v>6</v>
      </c>
      <c r="M148" s="4">
        <v>0</v>
      </c>
      <c r="N148">
        <v>6</v>
      </c>
      <c r="P148">
        <v>10</v>
      </c>
      <c r="Q148">
        <f>QtyRemaining*EstMfgMin/60</f>
        <v>1</v>
      </c>
      <c r="U148" t="e">
        <f t="shared" si="6"/>
        <v>#REF!</v>
      </c>
      <c r="V148" s="5" t="e">
        <f t="shared" si="7"/>
        <v>#REF!</v>
      </c>
    </row>
    <row r="149" spans="1:22" x14ac:dyDescent="0.25">
      <c r="A149" s="2">
        <v>44984</v>
      </c>
      <c r="B149" s="2">
        <v>44946</v>
      </c>
      <c r="C149" t="s">
        <v>221</v>
      </c>
      <c r="D149">
        <v>9</v>
      </c>
      <c r="E149" t="s">
        <v>294</v>
      </c>
      <c r="F149" t="s">
        <v>211</v>
      </c>
      <c r="G149" t="s">
        <v>223</v>
      </c>
      <c r="H149" t="s">
        <v>295</v>
      </c>
      <c r="I149" t="s">
        <v>214</v>
      </c>
      <c r="J149" s="3" t="s">
        <v>296</v>
      </c>
      <c r="K149" t="s">
        <v>297</v>
      </c>
      <c r="L149" s="4">
        <v>9</v>
      </c>
      <c r="M149" s="4">
        <v>0</v>
      </c>
      <c r="N149">
        <v>9</v>
      </c>
      <c r="P149">
        <v>10</v>
      </c>
      <c r="Q149">
        <f>QtyRemaining*EstMfgMin/60</f>
        <v>1.5</v>
      </c>
      <c r="U149" t="e">
        <f t="shared" si="6"/>
        <v>#REF!</v>
      </c>
      <c r="V149" s="5" t="e">
        <f t="shared" si="7"/>
        <v>#REF!</v>
      </c>
    </row>
    <row r="150" spans="1:22" x14ac:dyDescent="0.25">
      <c r="A150" s="2">
        <v>44984</v>
      </c>
      <c r="B150" s="2">
        <v>44946</v>
      </c>
      <c r="C150" t="s">
        <v>221</v>
      </c>
      <c r="D150">
        <v>9</v>
      </c>
      <c r="E150" t="s">
        <v>294</v>
      </c>
      <c r="F150" t="s">
        <v>211</v>
      </c>
      <c r="G150" t="s">
        <v>223</v>
      </c>
      <c r="H150" t="s">
        <v>295</v>
      </c>
      <c r="I150" t="s">
        <v>214</v>
      </c>
      <c r="J150" s="3" t="s">
        <v>296</v>
      </c>
      <c r="K150" t="s">
        <v>297</v>
      </c>
      <c r="L150" s="4">
        <v>1</v>
      </c>
      <c r="M150" s="4">
        <v>0</v>
      </c>
      <c r="N150">
        <v>1</v>
      </c>
      <c r="P150">
        <v>10</v>
      </c>
      <c r="Q150">
        <f>QtyRemaining*EstMfgMin/60</f>
        <v>0.16666666666666666</v>
      </c>
      <c r="U150" t="e">
        <f t="shared" si="6"/>
        <v>#REF!</v>
      </c>
      <c r="V150" s="5" t="e">
        <f t="shared" si="7"/>
        <v>#REF!</v>
      </c>
    </row>
    <row r="151" spans="1:22" x14ac:dyDescent="0.25">
      <c r="A151" s="2">
        <v>44984</v>
      </c>
      <c r="B151" s="2">
        <v>44946</v>
      </c>
      <c r="C151" t="s">
        <v>221</v>
      </c>
      <c r="D151">
        <v>9</v>
      </c>
      <c r="E151" t="s">
        <v>294</v>
      </c>
      <c r="F151" t="s">
        <v>211</v>
      </c>
      <c r="G151" t="s">
        <v>223</v>
      </c>
      <c r="H151" t="s">
        <v>295</v>
      </c>
      <c r="I151" t="s">
        <v>214</v>
      </c>
      <c r="J151" s="3" t="s">
        <v>296</v>
      </c>
      <c r="K151" t="s">
        <v>297</v>
      </c>
      <c r="L151" s="4">
        <v>1</v>
      </c>
      <c r="M151" s="4">
        <v>0</v>
      </c>
      <c r="N151">
        <v>1</v>
      </c>
      <c r="P151">
        <v>10</v>
      </c>
      <c r="Q151">
        <f>QtyRemaining*EstMfgMin/60</f>
        <v>0.16666666666666666</v>
      </c>
      <c r="U151" t="e">
        <f t="shared" si="6"/>
        <v>#REF!</v>
      </c>
      <c r="V151" s="5" t="e">
        <f t="shared" si="7"/>
        <v>#REF!</v>
      </c>
    </row>
    <row r="152" spans="1:22" x14ac:dyDescent="0.25">
      <c r="A152" s="2">
        <v>44984</v>
      </c>
      <c r="B152" s="2">
        <v>44946</v>
      </c>
      <c r="C152" t="s">
        <v>221</v>
      </c>
      <c r="D152">
        <v>9</v>
      </c>
      <c r="E152" t="s">
        <v>294</v>
      </c>
      <c r="F152" t="s">
        <v>211</v>
      </c>
      <c r="G152" t="s">
        <v>223</v>
      </c>
      <c r="H152" t="s">
        <v>295</v>
      </c>
      <c r="I152" t="s">
        <v>214</v>
      </c>
      <c r="J152" s="3" t="s">
        <v>296</v>
      </c>
      <c r="K152" t="s">
        <v>297</v>
      </c>
      <c r="L152" s="4">
        <v>4</v>
      </c>
      <c r="M152" s="4">
        <v>0</v>
      </c>
      <c r="N152">
        <v>4</v>
      </c>
      <c r="P152">
        <v>10</v>
      </c>
      <c r="Q152">
        <f>QtyRemaining*EstMfgMin/60</f>
        <v>0.66666666666666663</v>
      </c>
      <c r="U152" t="e">
        <f t="shared" si="6"/>
        <v>#REF!</v>
      </c>
      <c r="V152" s="5" t="e">
        <f t="shared" si="7"/>
        <v>#REF!</v>
      </c>
    </row>
    <row r="153" spans="1:22" x14ac:dyDescent="0.25">
      <c r="A153" s="2">
        <v>44984</v>
      </c>
      <c r="B153" s="2">
        <v>44946</v>
      </c>
      <c r="C153" t="s">
        <v>221</v>
      </c>
      <c r="D153">
        <v>9</v>
      </c>
      <c r="E153" t="s">
        <v>294</v>
      </c>
      <c r="F153" t="s">
        <v>211</v>
      </c>
      <c r="G153" t="s">
        <v>223</v>
      </c>
      <c r="H153" t="s">
        <v>295</v>
      </c>
      <c r="I153" t="s">
        <v>214</v>
      </c>
      <c r="J153" s="3" t="s">
        <v>296</v>
      </c>
      <c r="K153" t="s">
        <v>297</v>
      </c>
      <c r="L153" s="4">
        <v>4</v>
      </c>
      <c r="M153" s="4">
        <v>0</v>
      </c>
      <c r="N153">
        <v>4</v>
      </c>
      <c r="P153">
        <v>10</v>
      </c>
      <c r="Q153">
        <f>QtyRemaining*EstMfgMin/60</f>
        <v>0.66666666666666663</v>
      </c>
      <c r="U153" t="e">
        <f t="shared" si="6"/>
        <v>#REF!</v>
      </c>
      <c r="V153" s="5" t="e">
        <f t="shared" si="7"/>
        <v>#REF!</v>
      </c>
    </row>
    <row r="154" spans="1:22" x14ac:dyDescent="0.25">
      <c r="A154" s="2">
        <v>44984</v>
      </c>
      <c r="B154" s="2">
        <v>44946</v>
      </c>
      <c r="C154" t="s">
        <v>221</v>
      </c>
      <c r="D154">
        <v>9</v>
      </c>
      <c r="E154" t="s">
        <v>294</v>
      </c>
      <c r="F154" t="s">
        <v>211</v>
      </c>
      <c r="G154" t="s">
        <v>223</v>
      </c>
      <c r="H154" t="s">
        <v>295</v>
      </c>
      <c r="I154" t="s">
        <v>214</v>
      </c>
      <c r="J154" s="3" t="s">
        <v>296</v>
      </c>
      <c r="K154" t="s">
        <v>297</v>
      </c>
      <c r="L154" s="4">
        <v>2</v>
      </c>
      <c r="M154" s="4">
        <v>0</v>
      </c>
      <c r="N154">
        <v>2</v>
      </c>
      <c r="P154">
        <v>10</v>
      </c>
      <c r="Q154">
        <f>QtyRemaining*EstMfgMin/60</f>
        <v>0.33333333333333331</v>
      </c>
      <c r="U154" t="e">
        <f t="shared" si="6"/>
        <v>#REF!</v>
      </c>
      <c r="V154" s="5" t="e">
        <f t="shared" si="7"/>
        <v>#REF!</v>
      </c>
    </row>
    <row r="155" spans="1:22" x14ac:dyDescent="0.25">
      <c r="A155" s="2">
        <v>44984</v>
      </c>
      <c r="B155" s="2">
        <v>44946</v>
      </c>
      <c r="C155" t="s">
        <v>221</v>
      </c>
      <c r="D155">
        <v>9</v>
      </c>
      <c r="E155" t="s">
        <v>294</v>
      </c>
      <c r="F155" t="s">
        <v>211</v>
      </c>
      <c r="G155" t="s">
        <v>223</v>
      </c>
      <c r="H155" t="s">
        <v>295</v>
      </c>
      <c r="I155" t="s">
        <v>214</v>
      </c>
      <c r="J155" s="3" t="s">
        <v>296</v>
      </c>
      <c r="K155" t="s">
        <v>297</v>
      </c>
      <c r="L155" s="4">
        <v>20</v>
      </c>
      <c r="M155" s="4">
        <v>0</v>
      </c>
      <c r="N155">
        <v>20</v>
      </c>
      <c r="P155">
        <v>10</v>
      </c>
      <c r="Q155">
        <f>QtyRemaining*EstMfgMin/60</f>
        <v>3.3333333333333335</v>
      </c>
      <c r="U155" t="e">
        <f t="shared" si="6"/>
        <v>#REF!</v>
      </c>
      <c r="V155" s="5" t="e">
        <f t="shared" si="7"/>
        <v>#REF!</v>
      </c>
    </row>
    <row r="156" spans="1:22" x14ac:dyDescent="0.25">
      <c r="A156" s="2">
        <v>44984</v>
      </c>
      <c r="B156" s="2">
        <v>44946</v>
      </c>
      <c r="C156" t="s">
        <v>221</v>
      </c>
      <c r="D156">
        <v>9</v>
      </c>
      <c r="E156" t="s">
        <v>294</v>
      </c>
      <c r="F156" t="s">
        <v>211</v>
      </c>
      <c r="G156" t="s">
        <v>223</v>
      </c>
      <c r="H156" t="s">
        <v>295</v>
      </c>
      <c r="I156" t="s">
        <v>214</v>
      </c>
      <c r="J156" s="3" t="s">
        <v>296</v>
      </c>
      <c r="K156" t="s">
        <v>297</v>
      </c>
      <c r="L156" s="4">
        <v>3</v>
      </c>
      <c r="M156" s="4">
        <v>0</v>
      </c>
      <c r="N156">
        <v>3</v>
      </c>
      <c r="P156">
        <v>10</v>
      </c>
      <c r="Q156">
        <f>QtyRemaining*EstMfgMin/60</f>
        <v>0.5</v>
      </c>
      <c r="U156" t="e">
        <f t="shared" si="6"/>
        <v>#REF!</v>
      </c>
      <c r="V156" s="5" t="e">
        <f t="shared" si="7"/>
        <v>#REF!</v>
      </c>
    </row>
    <row r="157" spans="1:22" x14ac:dyDescent="0.25">
      <c r="A157" s="2">
        <v>44984</v>
      </c>
      <c r="B157" s="2">
        <v>44946</v>
      </c>
      <c r="C157" t="s">
        <v>221</v>
      </c>
      <c r="D157">
        <v>9</v>
      </c>
      <c r="E157" t="s">
        <v>294</v>
      </c>
      <c r="F157" t="s">
        <v>211</v>
      </c>
      <c r="G157" t="s">
        <v>223</v>
      </c>
      <c r="H157" t="s">
        <v>295</v>
      </c>
      <c r="I157" t="s">
        <v>214</v>
      </c>
      <c r="J157" s="3" t="s">
        <v>296</v>
      </c>
      <c r="K157" t="s">
        <v>297</v>
      </c>
      <c r="L157" s="4">
        <v>14</v>
      </c>
      <c r="M157" s="4">
        <v>0</v>
      </c>
      <c r="N157">
        <v>14</v>
      </c>
      <c r="P157">
        <v>10</v>
      </c>
      <c r="Q157">
        <f>QtyRemaining*EstMfgMin/60</f>
        <v>2.3333333333333335</v>
      </c>
      <c r="U157" t="e">
        <f t="shared" si="6"/>
        <v>#REF!</v>
      </c>
      <c r="V157" s="5" t="e">
        <f t="shared" si="7"/>
        <v>#REF!</v>
      </c>
    </row>
    <row r="158" spans="1:22" x14ac:dyDescent="0.25">
      <c r="A158" s="2">
        <v>44984</v>
      </c>
      <c r="B158" s="2">
        <v>44946</v>
      </c>
      <c r="C158" t="s">
        <v>221</v>
      </c>
      <c r="D158">
        <v>9</v>
      </c>
      <c r="E158" t="s">
        <v>294</v>
      </c>
      <c r="F158" t="s">
        <v>211</v>
      </c>
      <c r="G158" t="s">
        <v>223</v>
      </c>
      <c r="H158" t="s">
        <v>295</v>
      </c>
      <c r="I158" t="s">
        <v>214</v>
      </c>
      <c r="J158" s="3" t="s">
        <v>296</v>
      </c>
      <c r="K158" t="s">
        <v>297</v>
      </c>
      <c r="L158" s="4">
        <v>12</v>
      </c>
      <c r="M158" s="4">
        <v>0</v>
      </c>
      <c r="N158">
        <v>12</v>
      </c>
      <c r="P158">
        <v>10</v>
      </c>
      <c r="Q158">
        <f>QtyRemaining*EstMfgMin/60</f>
        <v>2</v>
      </c>
      <c r="U158" t="e">
        <f t="shared" si="6"/>
        <v>#REF!</v>
      </c>
      <c r="V158" s="5" t="e">
        <f t="shared" si="7"/>
        <v>#REF!</v>
      </c>
    </row>
    <row r="159" spans="1:22" x14ac:dyDescent="0.25">
      <c r="A159" s="2">
        <v>44984</v>
      </c>
      <c r="B159" s="2">
        <v>44946</v>
      </c>
      <c r="C159" t="s">
        <v>221</v>
      </c>
      <c r="D159">
        <v>9</v>
      </c>
      <c r="E159" t="s">
        <v>294</v>
      </c>
      <c r="F159" t="s">
        <v>211</v>
      </c>
      <c r="G159" t="s">
        <v>223</v>
      </c>
      <c r="H159" t="s">
        <v>295</v>
      </c>
      <c r="I159" t="s">
        <v>214</v>
      </c>
      <c r="J159" s="3" t="s">
        <v>296</v>
      </c>
      <c r="K159" t="s">
        <v>297</v>
      </c>
      <c r="L159" s="4">
        <v>3</v>
      </c>
      <c r="M159" s="4">
        <v>0</v>
      </c>
      <c r="N159">
        <v>3</v>
      </c>
      <c r="P159">
        <v>10</v>
      </c>
      <c r="Q159">
        <f>QtyRemaining*EstMfgMin/60</f>
        <v>0.5</v>
      </c>
      <c r="U159" t="e">
        <f t="shared" si="6"/>
        <v>#REF!</v>
      </c>
      <c r="V159" s="5" t="e">
        <f t="shared" si="7"/>
        <v>#REF!</v>
      </c>
    </row>
    <row r="160" spans="1:22" x14ac:dyDescent="0.25">
      <c r="A160" s="2">
        <v>45000</v>
      </c>
      <c r="B160" s="2">
        <v>45001</v>
      </c>
      <c r="C160" t="s">
        <v>209</v>
      </c>
      <c r="D160">
        <v>11</v>
      </c>
      <c r="E160" t="s">
        <v>298</v>
      </c>
      <c r="F160" t="s">
        <v>283</v>
      </c>
      <c r="G160" t="s">
        <v>299</v>
      </c>
      <c r="H160" t="s">
        <v>300</v>
      </c>
      <c r="I160" t="s">
        <v>214</v>
      </c>
      <c r="J160" s="3" t="s">
        <v>301</v>
      </c>
      <c r="K160" t="s">
        <v>302</v>
      </c>
      <c r="L160" s="4">
        <v>24</v>
      </c>
      <c r="M160" s="4">
        <v>0</v>
      </c>
      <c r="N160">
        <v>24</v>
      </c>
      <c r="P160">
        <v>0</v>
      </c>
      <c r="Q160">
        <f>QtyRemaining*EstMfgMin/60</f>
        <v>0</v>
      </c>
      <c r="U160" t="e">
        <f t="shared" si="6"/>
        <v>#REF!</v>
      </c>
      <c r="V160" s="5" t="e">
        <f t="shared" si="7"/>
        <v>#REF!</v>
      </c>
    </row>
    <row r="161" spans="1:22" x14ac:dyDescent="0.25">
      <c r="A161" s="2">
        <v>45000</v>
      </c>
      <c r="B161" s="2">
        <v>45001</v>
      </c>
      <c r="C161" t="s">
        <v>209</v>
      </c>
      <c r="D161">
        <v>11</v>
      </c>
      <c r="E161" t="s">
        <v>298</v>
      </c>
      <c r="F161" t="s">
        <v>283</v>
      </c>
      <c r="G161" t="s">
        <v>299</v>
      </c>
      <c r="H161" t="s">
        <v>300</v>
      </c>
      <c r="I161" t="s">
        <v>214</v>
      </c>
      <c r="J161" s="3" t="s">
        <v>303</v>
      </c>
      <c r="K161" t="s">
        <v>304</v>
      </c>
      <c r="L161" s="4">
        <v>2</v>
      </c>
      <c r="M161" s="4">
        <v>0</v>
      </c>
      <c r="N161">
        <v>2</v>
      </c>
      <c r="P161">
        <v>0</v>
      </c>
      <c r="Q161">
        <f>QtyRemaining*EstMfgMin/60</f>
        <v>0</v>
      </c>
      <c r="U161" t="e">
        <f t="shared" si="6"/>
        <v>#REF!</v>
      </c>
      <c r="V161" s="5" t="e">
        <f t="shared" si="7"/>
        <v>#REF!</v>
      </c>
    </row>
    <row r="162" spans="1:22" x14ac:dyDescent="0.25">
      <c r="A162" s="2">
        <v>45000</v>
      </c>
      <c r="B162" s="2">
        <v>45001</v>
      </c>
      <c r="C162" t="s">
        <v>209</v>
      </c>
      <c r="D162">
        <v>11</v>
      </c>
      <c r="E162" t="s">
        <v>298</v>
      </c>
      <c r="F162" t="s">
        <v>283</v>
      </c>
      <c r="G162" t="s">
        <v>299</v>
      </c>
      <c r="H162" t="s">
        <v>300</v>
      </c>
      <c r="I162" t="s">
        <v>214</v>
      </c>
      <c r="J162" s="3" t="s">
        <v>305</v>
      </c>
      <c r="K162" t="s">
        <v>306</v>
      </c>
      <c r="L162" s="4">
        <v>4</v>
      </c>
      <c r="M162" s="4">
        <v>0</v>
      </c>
      <c r="N162">
        <v>4</v>
      </c>
      <c r="P162">
        <v>0</v>
      </c>
      <c r="Q162">
        <f>QtyRemaining*EstMfgMin/60</f>
        <v>0</v>
      </c>
      <c r="U162" t="e">
        <f t="shared" si="6"/>
        <v>#REF!</v>
      </c>
      <c r="V162" s="5" t="e">
        <f t="shared" si="7"/>
        <v>#REF!</v>
      </c>
    </row>
    <row r="163" spans="1:22" x14ac:dyDescent="0.25">
      <c r="A163" s="2">
        <v>45000</v>
      </c>
      <c r="B163" s="2">
        <v>45001</v>
      </c>
      <c r="C163" t="s">
        <v>209</v>
      </c>
      <c r="D163">
        <v>11</v>
      </c>
      <c r="E163" t="s">
        <v>298</v>
      </c>
      <c r="F163" t="s">
        <v>283</v>
      </c>
      <c r="G163" t="s">
        <v>299</v>
      </c>
      <c r="H163" t="s">
        <v>300</v>
      </c>
      <c r="I163" t="s">
        <v>214</v>
      </c>
      <c r="J163" s="3" t="s">
        <v>307</v>
      </c>
      <c r="K163" t="s">
        <v>306</v>
      </c>
      <c r="L163" s="4">
        <v>4</v>
      </c>
      <c r="M163" s="4">
        <v>0</v>
      </c>
      <c r="N163">
        <v>4</v>
      </c>
      <c r="P163">
        <v>0</v>
      </c>
      <c r="Q163">
        <f>QtyRemaining*EstMfgMin/60</f>
        <v>0</v>
      </c>
      <c r="U163" t="e">
        <f t="shared" si="6"/>
        <v>#REF!</v>
      </c>
      <c r="V163" s="5" t="e">
        <f t="shared" si="7"/>
        <v>#REF!</v>
      </c>
    </row>
    <row r="164" spans="1:22" x14ac:dyDescent="0.25">
      <c r="A164" s="2">
        <v>45000</v>
      </c>
      <c r="B164" s="2">
        <v>45001</v>
      </c>
      <c r="C164" t="s">
        <v>209</v>
      </c>
      <c r="D164">
        <v>11</v>
      </c>
      <c r="E164" t="s">
        <v>298</v>
      </c>
      <c r="F164" t="s">
        <v>283</v>
      </c>
      <c r="G164" t="s">
        <v>299</v>
      </c>
      <c r="H164" t="s">
        <v>300</v>
      </c>
      <c r="I164" t="s">
        <v>214</v>
      </c>
      <c r="J164" s="3" t="s">
        <v>308</v>
      </c>
      <c r="K164" t="s">
        <v>309</v>
      </c>
      <c r="L164" s="4">
        <v>2</v>
      </c>
      <c r="M164" s="4">
        <v>0</v>
      </c>
      <c r="N164">
        <v>2</v>
      </c>
      <c r="P164">
        <v>0</v>
      </c>
      <c r="Q164">
        <f>QtyRemaining*EstMfgMin/60</f>
        <v>0</v>
      </c>
      <c r="U164" t="e">
        <f t="shared" si="6"/>
        <v>#REF!</v>
      </c>
      <c r="V164" s="5" t="e">
        <f t="shared" si="7"/>
        <v>#REF!</v>
      </c>
    </row>
    <row r="165" spans="1:22" x14ac:dyDescent="0.25">
      <c r="A165" s="2">
        <v>45000</v>
      </c>
      <c r="B165" s="2">
        <v>45001</v>
      </c>
      <c r="C165" t="s">
        <v>209</v>
      </c>
      <c r="D165">
        <v>11</v>
      </c>
      <c r="E165" t="s">
        <v>298</v>
      </c>
      <c r="F165" t="s">
        <v>283</v>
      </c>
      <c r="G165" t="s">
        <v>299</v>
      </c>
      <c r="H165" t="s">
        <v>300</v>
      </c>
      <c r="I165" t="s">
        <v>214</v>
      </c>
      <c r="J165" s="3" t="s">
        <v>310</v>
      </c>
      <c r="K165" t="s">
        <v>311</v>
      </c>
      <c r="L165" s="4">
        <v>2</v>
      </c>
      <c r="M165" s="4">
        <v>0</v>
      </c>
      <c r="N165">
        <v>2</v>
      </c>
      <c r="P165">
        <v>0</v>
      </c>
      <c r="Q165">
        <f>QtyRemaining*EstMfgMin/60</f>
        <v>0</v>
      </c>
      <c r="U165" t="e">
        <f t="shared" si="6"/>
        <v>#REF!</v>
      </c>
      <c r="V165" s="5" t="e">
        <f t="shared" si="7"/>
        <v>#REF!</v>
      </c>
    </row>
    <row r="166" spans="1:22" x14ac:dyDescent="0.25">
      <c r="A166" s="2">
        <v>45000</v>
      </c>
      <c r="B166" s="2">
        <v>45001</v>
      </c>
      <c r="C166" t="s">
        <v>209</v>
      </c>
      <c r="D166">
        <v>11</v>
      </c>
      <c r="E166" t="s">
        <v>298</v>
      </c>
      <c r="F166" t="s">
        <v>283</v>
      </c>
      <c r="G166" t="s">
        <v>299</v>
      </c>
      <c r="H166" t="s">
        <v>300</v>
      </c>
      <c r="I166" t="s">
        <v>214</v>
      </c>
      <c r="J166" s="3" t="s">
        <v>312</v>
      </c>
      <c r="K166" t="s">
        <v>313</v>
      </c>
      <c r="L166" s="4">
        <v>4</v>
      </c>
      <c r="M166" s="4">
        <v>0</v>
      </c>
      <c r="N166">
        <v>4</v>
      </c>
      <c r="P166">
        <v>0</v>
      </c>
      <c r="Q166">
        <f>QtyRemaining*EstMfgMin/60</f>
        <v>0</v>
      </c>
      <c r="U166" t="e">
        <f t="shared" si="6"/>
        <v>#REF!</v>
      </c>
      <c r="V166" s="5" t="e">
        <f t="shared" si="7"/>
        <v>#REF!</v>
      </c>
    </row>
    <row r="167" spans="1:22" x14ac:dyDescent="0.25">
      <c r="A167" s="2">
        <v>45000</v>
      </c>
      <c r="B167" s="2">
        <v>45001</v>
      </c>
      <c r="C167" t="s">
        <v>209</v>
      </c>
      <c r="D167">
        <v>11</v>
      </c>
      <c r="E167" t="s">
        <v>298</v>
      </c>
      <c r="F167" t="s">
        <v>283</v>
      </c>
      <c r="G167" t="s">
        <v>299</v>
      </c>
      <c r="H167" t="s">
        <v>300</v>
      </c>
      <c r="I167" t="s">
        <v>214</v>
      </c>
      <c r="J167" s="3" t="s">
        <v>314</v>
      </c>
      <c r="K167" t="s">
        <v>315</v>
      </c>
      <c r="L167" s="4">
        <v>2</v>
      </c>
      <c r="M167" s="4">
        <v>0</v>
      </c>
      <c r="N167">
        <v>2</v>
      </c>
      <c r="P167">
        <v>0</v>
      </c>
      <c r="Q167">
        <f>QtyRemaining*EstMfgMin/60</f>
        <v>0</v>
      </c>
      <c r="U167" t="e">
        <f t="shared" si="6"/>
        <v>#REF!</v>
      </c>
      <c r="V167" s="5" t="e">
        <f t="shared" si="7"/>
        <v>#REF!</v>
      </c>
    </row>
    <row r="168" spans="1:22" x14ac:dyDescent="0.25">
      <c r="A168" s="2">
        <v>45000</v>
      </c>
      <c r="B168" s="2">
        <v>45001</v>
      </c>
      <c r="C168" t="s">
        <v>209</v>
      </c>
      <c r="D168">
        <v>11</v>
      </c>
      <c r="E168" t="s">
        <v>298</v>
      </c>
      <c r="F168" t="s">
        <v>283</v>
      </c>
      <c r="G168" t="s">
        <v>299</v>
      </c>
      <c r="H168" t="s">
        <v>300</v>
      </c>
      <c r="I168" t="s">
        <v>214</v>
      </c>
      <c r="J168" s="3" t="s">
        <v>316</v>
      </c>
      <c r="K168" t="s">
        <v>317</v>
      </c>
      <c r="L168" s="4">
        <v>10</v>
      </c>
      <c r="M168" s="4">
        <v>0</v>
      </c>
      <c r="N168">
        <v>10</v>
      </c>
      <c r="P168">
        <v>0</v>
      </c>
      <c r="Q168">
        <f>QtyRemaining*EstMfgMin/60</f>
        <v>0</v>
      </c>
      <c r="U168" t="e">
        <f t="shared" si="6"/>
        <v>#REF!</v>
      </c>
      <c r="V168" s="5" t="e">
        <f t="shared" si="7"/>
        <v>#REF!</v>
      </c>
    </row>
    <row r="169" spans="1:22" x14ac:dyDescent="0.25">
      <c r="A169" s="2">
        <v>45000</v>
      </c>
      <c r="B169" s="2">
        <v>45001</v>
      </c>
      <c r="C169" t="s">
        <v>209</v>
      </c>
      <c r="D169">
        <v>11</v>
      </c>
      <c r="E169" t="s">
        <v>298</v>
      </c>
      <c r="F169" t="s">
        <v>283</v>
      </c>
      <c r="G169" t="s">
        <v>299</v>
      </c>
      <c r="H169" t="s">
        <v>300</v>
      </c>
      <c r="I169" t="s">
        <v>214</v>
      </c>
      <c r="J169" s="3" t="s">
        <v>318</v>
      </c>
      <c r="K169" t="s">
        <v>319</v>
      </c>
      <c r="L169" s="4">
        <v>2</v>
      </c>
      <c r="M169" s="4">
        <v>0</v>
      </c>
      <c r="N169">
        <v>2</v>
      </c>
      <c r="P169">
        <v>0</v>
      </c>
      <c r="Q169">
        <f>QtyRemaining*EstMfgMin/60</f>
        <v>0</v>
      </c>
      <c r="U169" t="e">
        <f t="shared" si="6"/>
        <v>#REF!</v>
      </c>
      <c r="V169" s="5" t="e">
        <f t="shared" si="7"/>
        <v>#REF!</v>
      </c>
    </row>
    <row r="170" spans="1:22" x14ac:dyDescent="0.25">
      <c r="A170" s="2">
        <v>45000</v>
      </c>
      <c r="B170" s="2">
        <v>45001</v>
      </c>
      <c r="C170" t="s">
        <v>209</v>
      </c>
      <c r="D170">
        <v>11</v>
      </c>
      <c r="E170" t="s">
        <v>298</v>
      </c>
      <c r="F170" t="s">
        <v>283</v>
      </c>
      <c r="G170" t="s">
        <v>299</v>
      </c>
      <c r="H170" t="s">
        <v>300</v>
      </c>
      <c r="I170" t="s">
        <v>214</v>
      </c>
      <c r="J170" s="3" t="s">
        <v>320</v>
      </c>
      <c r="K170" t="s">
        <v>321</v>
      </c>
      <c r="L170" s="4">
        <v>4</v>
      </c>
      <c r="M170" s="4">
        <v>0</v>
      </c>
      <c r="N170">
        <v>4</v>
      </c>
      <c r="P170">
        <v>0</v>
      </c>
      <c r="Q170">
        <f>QtyRemaining*EstMfgMin/60</f>
        <v>0</v>
      </c>
      <c r="U170" t="e">
        <f t="shared" si="6"/>
        <v>#REF!</v>
      </c>
      <c r="V170" s="5" t="e">
        <f t="shared" si="7"/>
        <v>#REF!</v>
      </c>
    </row>
    <row r="171" spans="1:22" x14ac:dyDescent="0.25">
      <c r="A171" s="2">
        <v>45000</v>
      </c>
      <c r="B171" s="2">
        <v>45001</v>
      </c>
      <c r="C171" t="s">
        <v>209</v>
      </c>
      <c r="D171">
        <v>11</v>
      </c>
      <c r="E171" t="s">
        <v>298</v>
      </c>
      <c r="F171" t="s">
        <v>283</v>
      </c>
      <c r="G171" t="s">
        <v>299</v>
      </c>
      <c r="H171" t="s">
        <v>300</v>
      </c>
      <c r="I171" t="s">
        <v>214</v>
      </c>
      <c r="J171" s="3" t="s">
        <v>322</v>
      </c>
      <c r="K171" t="s">
        <v>323</v>
      </c>
      <c r="L171" s="4">
        <v>64</v>
      </c>
      <c r="M171" s="4">
        <v>0</v>
      </c>
      <c r="N171">
        <v>64</v>
      </c>
      <c r="P171">
        <v>0</v>
      </c>
      <c r="Q171">
        <f>QtyRemaining*EstMfgMin/60</f>
        <v>0</v>
      </c>
      <c r="U171" t="e">
        <f t="shared" si="6"/>
        <v>#REF!</v>
      </c>
      <c r="V171" s="5" t="e">
        <f t="shared" si="7"/>
        <v>#REF!</v>
      </c>
    </row>
    <row r="172" spans="1:22" x14ac:dyDescent="0.25">
      <c r="A172" s="2">
        <v>45000</v>
      </c>
      <c r="B172" s="2">
        <v>45001</v>
      </c>
      <c r="C172" t="s">
        <v>209</v>
      </c>
      <c r="D172">
        <v>11</v>
      </c>
      <c r="E172" t="s">
        <v>298</v>
      </c>
      <c r="F172" t="s">
        <v>283</v>
      </c>
      <c r="G172" t="s">
        <v>299</v>
      </c>
      <c r="H172" t="s">
        <v>300</v>
      </c>
      <c r="I172" t="s">
        <v>214</v>
      </c>
      <c r="J172" s="3" t="s">
        <v>324</v>
      </c>
      <c r="K172" t="s">
        <v>325</v>
      </c>
      <c r="L172" s="4">
        <v>18</v>
      </c>
      <c r="M172" s="4">
        <v>0</v>
      </c>
      <c r="N172">
        <v>18</v>
      </c>
      <c r="P172">
        <v>0</v>
      </c>
      <c r="Q172">
        <f>QtyRemaining*EstMfgMin/60</f>
        <v>0</v>
      </c>
      <c r="U172" t="e">
        <f t="shared" si="6"/>
        <v>#REF!</v>
      </c>
      <c r="V172" s="5" t="e">
        <f t="shared" si="7"/>
        <v>#REF!</v>
      </c>
    </row>
    <row r="173" spans="1:22" x14ac:dyDescent="0.25">
      <c r="A173" s="2">
        <v>45000</v>
      </c>
      <c r="B173" s="2">
        <v>45001</v>
      </c>
      <c r="C173" t="s">
        <v>209</v>
      </c>
      <c r="D173">
        <v>11</v>
      </c>
      <c r="E173" t="s">
        <v>298</v>
      </c>
      <c r="F173" t="s">
        <v>283</v>
      </c>
      <c r="G173" t="s">
        <v>299</v>
      </c>
      <c r="H173" t="s">
        <v>300</v>
      </c>
      <c r="I173" t="s">
        <v>214</v>
      </c>
      <c r="J173" s="3" t="s">
        <v>326</v>
      </c>
      <c r="K173" t="s">
        <v>327</v>
      </c>
      <c r="L173" s="4">
        <v>12</v>
      </c>
      <c r="M173" s="4">
        <v>0</v>
      </c>
      <c r="N173">
        <v>12</v>
      </c>
      <c r="P173">
        <v>0</v>
      </c>
      <c r="Q173">
        <f>QtyRemaining*EstMfgMin/60</f>
        <v>0</v>
      </c>
      <c r="U173" t="e">
        <f t="shared" si="6"/>
        <v>#REF!</v>
      </c>
      <c r="V173" s="5" t="e">
        <f t="shared" si="7"/>
        <v>#REF!</v>
      </c>
    </row>
    <row r="174" spans="1:22" x14ac:dyDescent="0.25">
      <c r="A174" s="2">
        <v>45000</v>
      </c>
      <c r="B174" s="2">
        <v>45001</v>
      </c>
      <c r="C174" t="s">
        <v>209</v>
      </c>
      <c r="D174">
        <v>11</v>
      </c>
      <c r="E174" t="s">
        <v>298</v>
      </c>
      <c r="F174" t="s">
        <v>283</v>
      </c>
      <c r="G174" t="s">
        <v>299</v>
      </c>
      <c r="H174" t="s">
        <v>300</v>
      </c>
      <c r="I174" t="s">
        <v>214</v>
      </c>
      <c r="J174" s="3" t="s">
        <v>328</v>
      </c>
      <c r="K174" t="s">
        <v>329</v>
      </c>
      <c r="L174" s="4">
        <v>2</v>
      </c>
      <c r="M174" s="4">
        <v>0</v>
      </c>
      <c r="N174">
        <v>2</v>
      </c>
      <c r="P174">
        <v>0</v>
      </c>
      <c r="Q174">
        <f>QtyRemaining*EstMfgMin/60</f>
        <v>0</v>
      </c>
      <c r="U174" t="e">
        <f t="shared" si="6"/>
        <v>#REF!</v>
      </c>
      <c r="V174" s="5" t="e">
        <f t="shared" si="7"/>
        <v>#REF!</v>
      </c>
    </row>
    <row r="175" spans="1:22" x14ac:dyDescent="0.25">
      <c r="A175" s="2">
        <v>45000</v>
      </c>
      <c r="B175" s="2">
        <v>45001</v>
      </c>
      <c r="C175" t="s">
        <v>209</v>
      </c>
      <c r="D175">
        <v>11</v>
      </c>
      <c r="E175" t="s">
        <v>298</v>
      </c>
      <c r="F175" t="s">
        <v>283</v>
      </c>
      <c r="G175" t="s">
        <v>299</v>
      </c>
      <c r="H175" t="s">
        <v>300</v>
      </c>
      <c r="I175" t="s">
        <v>214</v>
      </c>
      <c r="J175" s="3" t="s">
        <v>330</v>
      </c>
      <c r="K175" t="s">
        <v>331</v>
      </c>
      <c r="L175" s="4">
        <v>2</v>
      </c>
      <c r="M175" s="4">
        <v>0</v>
      </c>
      <c r="N175">
        <v>2</v>
      </c>
      <c r="P175">
        <v>0</v>
      </c>
      <c r="Q175">
        <f>QtyRemaining*EstMfgMin/60</f>
        <v>0</v>
      </c>
      <c r="U175" t="e">
        <f t="shared" si="6"/>
        <v>#REF!</v>
      </c>
      <c r="V175" s="5" t="e">
        <f t="shared" si="7"/>
        <v>#REF!</v>
      </c>
    </row>
    <row r="176" spans="1:22" x14ac:dyDescent="0.25">
      <c r="A176" s="2">
        <v>45000</v>
      </c>
      <c r="B176" s="2">
        <v>45001</v>
      </c>
      <c r="C176" t="s">
        <v>209</v>
      </c>
      <c r="D176">
        <v>11</v>
      </c>
      <c r="E176" t="s">
        <v>298</v>
      </c>
      <c r="F176" t="s">
        <v>283</v>
      </c>
      <c r="G176" t="s">
        <v>299</v>
      </c>
      <c r="H176" t="s">
        <v>300</v>
      </c>
      <c r="I176" t="s">
        <v>214</v>
      </c>
      <c r="J176" s="3" t="s">
        <v>332</v>
      </c>
      <c r="K176" t="s">
        <v>333</v>
      </c>
      <c r="L176" s="4">
        <v>2</v>
      </c>
      <c r="M176" s="4">
        <v>0</v>
      </c>
      <c r="N176">
        <v>2</v>
      </c>
      <c r="P176">
        <v>0</v>
      </c>
      <c r="Q176">
        <f>QtyRemaining*EstMfgMin/60</f>
        <v>0</v>
      </c>
      <c r="U176" t="e">
        <f t="shared" si="6"/>
        <v>#REF!</v>
      </c>
      <c r="V176" s="5" t="e">
        <f t="shared" si="7"/>
        <v>#REF!</v>
      </c>
    </row>
    <row r="177" spans="1:22" x14ac:dyDescent="0.25">
      <c r="A177" s="2">
        <v>45000</v>
      </c>
      <c r="B177" s="2">
        <v>45001</v>
      </c>
      <c r="C177" t="s">
        <v>209</v>
      </c>
      <c r="D177">
        <v>11</v>
      </c>
      <c r="E177" t="s">
        <v>298</v>
      </c>
      <c r="F177" t="s">
        <v>283</v>
      </c>
      <c r="G177" t="s">
        <v>299</v>
      </c>
      <c r="H177" t="s">
        <v>300</v>
      </c>
      <c r="I177" t="s">
        <v>214</v>
      </c>
      <c r="J177" s="3" t="s">
        <v>334</v>
      </c>
      <c r="K177" t="s">
        <v>335</v>
      </c>
      <c r="L177" s="4">
        <v>2</v>
      </c>
      <c r="M177" s="4">
        <v>0</v>
      </c>
      <c r="N177">
        <v>2</v>
      </c>
      <c r="P177">
        <v>0</v>
      </c>
      <c r="Q177">
        <f>QtyRemaining*EstMfgMin/60</f>
        <v>0</v>
      </c>
      <c r="U177" t="e">
        <f t="shared" si="6"/>
        <v>#REF!</v>
      </c>
      <c r="V177" s="5" t="e">
        <f t="shared" si="7"/>
        <v>#REF!</v>
      </c>
    </row>
    <row r="178" spans="1:22" x14ac:dyDescent="0.25">
      <c r="A178" s="2">
        <v>45000</v>
      </c>
      <c r="B178" s="2">
        <v>45001</v>
      </c>
      <c r="C178" t="s">
        <v>209</v>
      </c>
      <c r="D178">
        <v>11</v>
      </c>
      <c r="E178" t="s">
        <v>298</v>
      </c>
      <c r="F178" t="s">
        <v>283</v>
      </c>
      <c r="G178" t="s">
        <v>299</v>
      </c>
      <c r="H178" t="s">
        <v>300</v>
      </c>
      <c r="I178" t="s">
        <v>214</v>
      </c>
      <c r="J178" s="3" t="s">
        <v>336</v>
      </c>
      <c r="K178" t="s">
        <v>337</v>
      </c>
      <c r="L178" s="4">
        <v>2</v>
      </c>
      <c r="M178" s="4">
        <v>0</v>
      </c>
      <c r="N178">
        <v>2</v>
      </c>
      <c r="P178">
        <v>0</v>
      </c>
      <c r="Q178">
        <f>QtyRemaining*EstMfgMin/60</f>
        <v>0</v>
      </c>
      <c r="U178" t="e">
        <f t="shared" si="6"/>
        <v>#REF!</v>
      </c>
      <c r="V178" s="5" t="e">
        <f t="shared" si="7"/>
        <v>#REF!</v>
      </c>
    </row>
    <row r="179" spans="1:22" x14ac:dyDescent="0.25">
      <c r="A179" s="2">
        <v>45000</v>
      </c>
      <c r="B179" s="2">
        <v>45001</v>
      </c>
      <c r="C179" t="s">
        <v>209</v>
      </c>
      <c r="D179">
        <v>11</v>
      </c>
      <c r="E179" t="s">
        <v>298</v>
      </c>
      <c r="F179" t="s">
        <v>283</v>
      </c>
      <c r="G179" t="s">
        <v>299</v>
      </c>
      <c r="H179" t="s">
        <v>300</v>
      </c>
      <c r="I179" t="s">
        <v>214</v>
      </c>
      <c r="J179" s="3" t="s">
        <v>338</v>
      </c>
      <c r="K179" t="s">
        <v>339</v>
      </c>
      <c r="L179" s="4">
        <v>2</v>
      </c>
      <c r="M179" s="4">
        <v>0</v>
      </c>
      <c r="N179">
        <v>2</v>
      </c>
      <c r="P179">
        <v>0</v>
      </c>
      <c r="Q179">
        <f>QtyRemaining*EstMfgMin/60</f>
        <v>0</v>
      </c>
      <c r="U179" t="e">
        <f t="shared" si="6"/>
        <v>#REF!</v>
      </c>
      <c r="V179" s="5" t="e">
        <f t="shared" si="7"/>
        <v>#REF!</v>
      </c>
    </row>
    <row r="180" spans="1:22" x14ac:dyDescent="0.25">
      <c r="A180" s="2">
        <v>45000</v>
      </c>
      <c r="B180" s="2">
        <v>45001</v>
      </c>
      <c r="C180" t="s">
        <v>209</v>
      </c>
      <c r="D180">
        <v>11</v>
      </c>
      <c r="E180" t="s">
        <v>298</v>
      </c>
      <c r="F180" t="s">
        <v>283</v>
      </c>
      <c r="G180" t="s">
        <v>299</v>
      </c>
      <c r="H180" t="s">
        <v>300</v>
      </c>
      <c r="I180" t="s">
        <v>214</v>
      </c>
      <c r="J180" s="3" t="s">
        <v>340</v>
      </c>
      <c r="K180" t="s">
        <v>313</v>
      </c>
      <c r="L180" s="4">
        <v>4</v>
      </c>
      <c r="M180" s="4">
        <v>0</v>
      </c>
      <c r="N180">
        <v>4</v>
      </c>
      <c r="P180">
        <v>0</v>
      </c>
      <c r="Q180">
        <f>QtyRemaining*EstMfgMin/60</f>
        <v>0</v>
      </c>
      <c r="U180" t="e">
        <f t="shared" si="6"/>
        <v>#REF!</v>
      </c>
      <c r="V180" s="5" t="e">
        <f t="shared" si="7"/>
        <v>#REF!</v>
      </c>
    </row>
    <row r="181" spans="1:22" x14ac:dyDescent="0.25">
      <c r="A181" s="2">
        <v>45000</v>
      </c>
      <c r="B181" s="2">
        <v>45001</v>
      </c>
      <c r="C181" t="s">
        <v>209</v>
      </c>
      <c r="D181">
        <v>11</v>
      </c>
      <c r="E181" t="s">
        <v>298</v>
      </c>
      <c r="F181" t="s">
        <v>283</v>
      </c>
      <c r="G181" t="s">
        <v>299</v>
      </c>
      <c r="H181" t="s">
        <v>300</v>
      </c>
      <c r="I181" t="s">
        <v>214</v>
      </c>
      <c r="J181" s="3" t="s">
        <v>341</v>
      </c>
      <c r="K181" t="s">
        <v>342</v>
      </c>
      <c r="L181" s="4">
        <v>8</v>
      </c>
      <c r="M181" s="4">
        <v>0</v>
      </c>
      <c r="N181">
        <v>8</v>
      </c>
      <c r="P181">
        <v>0</v>
      </c>
      <c r="Q181">
        <f>QtyRemaining*EstMfgMin/60</f>
        <v>0</v>
      </c>
      <c r="U181" t="e">
        <f t="shared" si="6"/>
        <v>#REF!</v>
      </c>
      <c r="V181" s="5" t="e">
        <f t="shared" si="7"/>
        <v>#REF!</v>
      </c>
    </row>
    <row r="182" spans="1:22" x14ac:dyDescent="0.25">
      <c r="A182" s="2">
        <v>45000</v>
      </c>
      <c r="B182" s="2">
        <v>45001</v>
      </c>
      <c r="C182" t="s">
        <v>209</v>
      </c>
      <c r="D182">
        <v>11</v>
      </c>
      <c r="E182" t="s">
        <v>298</v>
      </c>
      <c r="F182" t="s">
        <v>283</v>
      </c>
      <c r="G182" t="s">
        <v>299</v>
      </c>
      <c r="H182" t="s">
        <v>300</v>
      </c>
      <c r="I182" t="s">
        <v>214</v>
      </c>
      <c r="J182" s="3" t="s">
        <v>343</v>
      </c>
      <c r="K182" t="s">
        <v>344</v>
      </c>
      <c r="L182" s="4">
        <v>8</v>
      </c>
      <c r="M182" s="4">
        <v>0</v>
      </c>
      <c r="N182">
        <v>8</v>
      </c>
      <c r="P182">
        <v>0</v>
      </c>
      <c r="Q182">
        <f>QtyRemaining*EstMfgMin/60</f>
        <v>0</v>
      </c>
      <c r="U182" t="e">
        <f t="shared" si="6"/>
        <v>#REF!</v>
      </c>
      <c r="V182" s="5" t="e">
        <f t="shared" si="7"/>
        <v>#REF!</v>
      </c>
    </row>
    <row r="183" spans="1:22" x14ac:dyDescent="0.25">
      <c r="A183" s="2">
        <v>45000</v>
      </c>
      <c r="B183" s="2">
        <v>45001</v>
      </c>
      <c r="C183" t="s">
        <v>209</v>
      </c>
      <c r="D183">
        <v>11</v>
      </c>
      <c r="E183" t="s">
        <v>298</v>
      </c>
      <c r="F183" t="s">
        <v>283</v>
      </c>
      <c r="G183" t="s">
        <v>299</v>
      </c>
      <c r="H183" t="s">
        <v>300</v>
      </c>
      <c r="I183" t="s">
        <v>214</v>
      </c>
      <c r="J183" s="3" t="s">
        <v>345</v>
      </c>
      <c r="K183" t="s">
        <v>346</v>
      </c>
      <c r="L183" s="4">
        <v>104</v>
      </c>
      <c r="M183" s="4">
        <v>0</v>
      </c>
      <c r="N183">
        <v>104</v>
      </c>
      <c r="P183">
        <v>0</v>
      </c>
      <c r="Q183">
        <f>QtyRemaining*EstMfgMin/60</f>
        <v>0</v>
      </c>
      <c r="U183" t="e">
        <f t="shared" si="6"/>
        <v>#REF!</v>
      </c>
      <c r="V183" s="5" t="e">
        <f t="shared" si="7"/>
        <v>#REF!</v>
      </c>
    </row>
    <row r="184" spans="1:22" x14ac:dyDescent="0.25">
      <c r="A184" s="2">
        <v>45000</v>
      </c>
      <c r="B184" s="2">
        <v>45001</v>
      </c>
      <c r="C184" t="s">
        <v>209</v>
      </c>
      <c r="D184">
        <v>11</v>
      </c>
      <c r="E184" t="s">
        <v>298</v>
      </c>
      <c r="F184" t="s">
        <v>283</v>
      </c>
      <c r="G184" t="s">
        <v>299</v>
      </c>
      <c r="H184" t="s">
        <v>300</v>
      </c>
      <c r="I184" t="s">
        <v>214</v>
      </c>
      <c r="J184" s="3" t="s">
        <v>347</v>
      </c>
      <c r="K184" t="s">
        <v>348</v>
      </c>
      <c r="L184" s="4">
        <v>100</v>
      </c>
      <c r="M184" s="4">
        <v>0</v>
      </c>
      <c r="N184">
        <v>100</v>
      </c>
      <c r="P184">
        <v>0</v>
      </c>
      <c r="Q184">
        <f>QtyRemaining*EstMfgMin/60</f>
        <v>0</v>
      </c>
      <c r="U184" t="e">
        <f t="shared" si="6"/>
        <v>#REF!</v>
      </c>
      <c r="V184" s="5" t="e">
        <f t="shared" si="7"/>
        <v>#REF!</v>
      </c>
    </row>
    <row r="185" spans="1:22" x14ac:dyDescent="0.25">
      <c r="A185" s="2">
        <v>45000</v>
      </c>
      <c r="B185" s="2">
        <v>45001</v>
      </c>
      <c r="C185" t="s">
        <v>209</v>
      </c>
      <c r="D185">
        <v>11</v>
      </c>
      <c r="E185" t="s">
        <v>298</v>
      </c>
      <c r="F185" t="s">
        <v>283</v>
      </c>
      <c r="G185" t="s">
        <v>299</v>
      </c>
      <c r="H185" t="s">
        <v>300</v>
      </c>
      <c r="I185" t="s">
        <v>214</v>
      </c>
      <c r="J185" s="3" t="s">
        <v>349</v>
      </c>
      <c r="K185" t="s">
        <v>350</v>
      </c>
      <c r="L185" s="4">
        <v>32</v>
      </c>
      <c r="M185" s="4">
        <v>0</v>
      </c>
      <c r="N185">
        <v>32</v>
      </c>
      <c r="P185">
        <v>0</v>
      </c>
      <c r="Q185">
        <f>QtyRemaining*EstMfgMin/60</f>
        <v>0</v>
      </c>
      <c r="U185" t="e">
        <f t="shared" si="6"/>
        <v>#REF!</v>
      </c>
      <c r="V185" s="5" t="e">
        <f t="shared" si="7"/>
        <v>#REF!</v>
      </c>
    </row>
    <row r="186" spans="1:22" x14ac:dyDescent="0.25">
      <c r="A186" s="2">
        <v>45000</v>
      </c>
      <c r="B186" s="2">
        <v>45001</v>
      </c>
      <c r="C186" t="s">
        <v>209</v>
      </c>
      <c r="D186">
        <v>11</v>
      </c>
      <c r="E186" t="s">
        <v>298</v>
      </c>
      <c r="F186" t="s">
        <v>283</v>
      </c>
      <c r="G186" t="s">
        <v>299</v>
      </c>
      <c r="H186" t="s">
        <v>300</v>
      </c>
      <c r="I186" t="s">
        <v>214</v>
      </c>
      <c r="J186" s="3" t="s">
        <v>351</v>
      </c>
      <c r="K186" t="s">
        <v>352</v>
      </c>
      <c r="L186" s="4">
        <v>72</v>
      </c>
      <c r="M186" s="4">
        <v>0</v>
      </c>
      <c r="N186">
        <v>72</v>
      </c>
      <c r="P186">
        <v>0</v>
      </c>
      <c r="Q186">
        <f>QtyRemaining*EstMfgMin/60</f>
        <v>0</v>
      </c>
      <c r="U186" t="e">
        <f t="shared" si="6"/>
        <v>#REF!</v>
      </c>
      <c r="V186" s="5" t="e">
        <f t="shared" si="7"/>
        <v>#REF!</v>
      </c>
    </row>
    <row r="187" spans="1:22" x14ac:dyDescent="0.25">
      <c r="A187" s="2">
        <v>45000</v>
      </c>
      <c r="B187" s="2">
        <v>45001</v>
      </c>
      <c r="C187" t="s">
        <v>209</v>
      </c>
      <c r="D187">
        <v>11</v>
      </c>
      <c r="E187" t="s">
        <v>298</v>
      </c>
      <c r="F187" t="s">
        <v>283</v>
      </c>
      <c r="G187" t="s">
        <v>299</v>
      </c>
      <c r="H187" t="s">
        <v>300</v>
      </c>
      <c r="I187" t="s">
        <v>214</v>
      </c>
      <c r="J187" s="3" t="s">
        <v>353</v>
      </c>
      <c r="K187" t="s">
        <v>354</v>
      </c>
      <c r="L187" s="4">
        <v>16</v>
      </c>
      <c r="M187" s="4">
        <v>0</v>
      </c>
      <c r="N187">
        <v>16</v>
      </c>
      <c r="P187">
        <v>0</v>
      </c>
      <c r="Q187">
        <f>QtyRemaining*EstMfgMin/60</f>
        <v>0</v>
      </c>
      <c r="U187" t="e">
        <f t="shared" si="6"/>
        <v>#REF!</v>
      </c>
      <c r="V187" s="5" t="e">
        <f t="shared" si="7"/>
        <v>#REF!</v>
      </c>
    </row>
    <row r="188" spans="1:22" x14ac:dyDescent="0.25">
      <c r="A188" s="2">
        <v>45000</v>
      </c>
      <c r="B188" s="2">
        <v>45001</v>
      </c>
      <c r="C188" t="s">
        <v>209</v>
      </c>
      <c r="D188">
        <v>11</v>
      </c>
      <c r="E188" t="s">
        <v>298</v>
      </c>
      <c r="F188" t="s">
        <v>283</v>
      </c>
      <c r="G188" t="s">
        <v>299</v>
      </c>
      <c r="H188" t="s">
        <v>300</v>
      </c>
      <c r="I188" t="s">
        <v>214</v>
      </c>
      <c r="J188" s="3" t="s">
        <v>355</v>
      </c>
      <c r="K188" t="s">
        <v>356</v>
      </c>
      <c r="L188" s="4">
        <v>4</v>
      </c>
      <c r="M188" s="4">
        <v>0</v>
      </c>
      <c r="N188">
        <v>4</v>
      </c>
      <c r="P188">
        <v>0</v>
      </c>
      <c r="Q188">
        <f>QtyRemaining*EstMfgMin/60</f>
        <v>0</v>
      </c>
      <c r="U188" t="e">
        <f t="shared" si="6"/>
        <v>#REF!</v>
      </c>
      <c r="V188" s="5" t="e">
        <f t="shared" si="7"/>
        <v>#REF!</v>
      </c>
    </row>
    <row r="189" spans="1:22" x14ac:dyDescent="0.25">
      <c r="A189" s="2">
        <v>45000</v>
      </c>
      <c r="B189" s="2">
        <v>45001</v>
      </c>
      <c r="C189" t="s">
        <v>209</v>
      </c>
      <c r="D189">
        <v>11</v>
      </c>
      <c r="E189" t="s">
        <v>298</v>
      </c>
      <c r="F189" t="s">
        <v>283</v>
      </c>
      <c r="G189" t="s">
        <v>299</v>
      </c>
      <c r="H189" t="s">
        <v>300</v>
      </c>
      <c r="I189" t="s">
        <v>214</v>
      </c>
      <c r="J189" s="3" t="s">
        <v>357</v>
      </c>
      <c r="K189" t="s">
        <v>329</v>
      </c>
      <c r="L189" s="4">
        <v>2</v>
      </c>
      <c r="M189" s="4">
        <v>0</v>
      </c>
      <c r="N189">
        <v>2</v>
      </c>
      <c r="P189">
        <v>0</v>
      </c>
      <c r="Q189">
        <f>QtyRemaining*EstMfgMin/60</f>
        <v>0</v>
      </c>
      <c r="U189" t="e">
        <f t="shared" si="6"/>
        <v>#REF!</v>
      </c>
      <c r="V189" s="5" t="e">
        <f t="shared" si="7"/>
        <v>#REF!</v>
      </c>
    </row>
    <row r="190" spans="1:22" x14ac:dyDescent="0.25">
      <c r="A190" s="2">
        <v>45000</v>
      </c>
      <c r="B190" s="2">
        <v>45001</v>
      </c>
      <c r="C190" t="s">
        <v>209</v>
      </c>
      <c r="D190">
        <v>11</v>
      </c>
      <c r="E190" t="s">
        <v>298</v>
      </c>
      <c r="F190" t="s">
        <v>283</v>
      </c>
      <c r="G190" t="s">
        <v>299</v>
      </c>
      <c r="H190" t="s">
        <v>300</v>
      </c>
      <c r="I190" t="s">
        <v>214</v>
      </c>
      <c r="J190" s="3" t="s">
        <v>358</v>
      </c>
      <c r="K190" t="s">
        <v>359</v>
      </c>
      <c r="L190" s="4">
        <v>2</v>
      </c>
      <c r="M190" s="4">
        <v>0</v>
      </c>
      <c r="N190">
        <v>2</v>
      </c>
      <c r="P190">
        <v>0</v>
      </c>
      <c r="Q190">
        <f>QtyRemaining*EstMfgMin/60</f>
        <v>0</v>
      </c>
      <c r="U190" t="e">
        <f t="shared" si="6"/>
        <v>#REF!</v>
      </c>
      <c r="V190" s="5" t="e">
        <f t="shared" si="7"/>
        <v>#REF!</v>
      </c>
    </row>
    <row r="191" spans="1:22" x14ac:dyDescent="0.25">
      <c r="A191" s="2">
        <v>45000</v>
      </c>
      <c r="B191" s="2">
        <v>45001</v>
      </c>
      <c r="C191" t="s">
        <v>209</v>
      </c>
      <c r="D191">
        <v>11</v>
      </c>
      <c r="E191" t="s">
        <v>298</v>
      </c>
      <c r="F191" t="s">
        <v>283</v>
      </c>
      <c r="G191" t="s">
        <v>299</v>
      </c>
      <c r="H191" t="s">
        <v>300</v>
      </c>
      <c r="I191" t="s">
        <v>214</v>
      </c>
      <c r="J191" s="3" t="s">
        <v>360</v>
      </c>
      <c r="K191" t="s">
        <v>361</v>
      </c>
      <c r="L191" s="4">
        <v>2</v>
      </c>
      <c r="M191" s="4">
        <v>0</v>
      </c>
      <c r="N191">
        <v>2</v>
      </c>
      <c r="P191">
        <v>0</v>
      </c>
      <c r="Q191">
        <f>QtyRemaining*EstMfgMin/60</f>
        <v>0</v>
      </c>
      <c r="U191" t="e">
        <f t="shared" si="6"/>
        <v>#REF!</v>
      </c>
      <c r="V191" s="5" t="e">
        <f t="shared" si="7"/>
        <v>#REF!</v>
      </c>
    </row>
    <row r="192" spans="1:22" x14ac:dyDescent="0.25">
      <c r="A192" s="2">
        <v>45000</v>
      </c>
      <c r="B192" s="2">
        <v>45001</v>
      </c>
      <c r="C192" t="s">
        <v>209</v>
      </c>
      <c r="D192">
        <v>11</v>
      </c>
      <c r="E192" t="s">
        <v>298</v>
      </c>
      <c r="F192" t="s">
        <v>283</v>
      </c>
      <c r="G192" t="s">
        <v>299</v>
      </c>
      <c r="H192" t="s">
        <v>300</v>
      </c>
      <c r="I192" t="s">
        <v>214</v>
      </c>
      <c r="J192" s="3" t="s">
        <v>362</v>
      </c>
      <c r="K192" t="s">
        <v>363</v>
      </c>
      <c r="L192" s="4">
        <v>2</v>
      </c>
      <c r="M192" s="4">
        <v>0</v>
      </c>
      <c r="N192">
        <v>2</v>
      </c>
      <c r="P192">
        <v>0</v>
      </c>
      <c r="Q192">
        <f>QtyRemaining*EstMfgMin/60</f>
        <v>0</v>
      </c>
      <c r="U192" t="e">
        <f t="shared" si="6"/>
        <v>#REF!</v>
      </c>
      <c r="V192" s="5" t="e">
        <f t="shared" si="7"/>
        <v>#REF!</v>
      </c>
    </row>
    <row r="193" spans="1:22" x14ac:dyDescent="0.25">
      <c r="A193" s="2">
        <v>45000</v>
      </c>
      <c r="B193" s="2">
        <v>45001</v>
      </c>
      <c r="C193" t="s">
        <v>209</v>
      </c>
      <c r="D193">
        <v>11</v>
      </c>
      <c r="E193" t="s">
        <v>298</v>
      </c>
      <c r="F193" t="s">
        <v>283</v>
      </c>
      <c r="G193" t="s">
        <v>299</v>
      </c>
      <c r="H193" t="s">
        <v>300</v>
      </c>
      <c r="I193" t="s">
        <v>214</v>
      </c>
      <c r="J193" s="3" t="s">
        <v>364</v>
      </c>
      <c r="K193" t="s">
        <v>365</v>
      </c>
      <c r="L193" s="4">
        <v>2</v>
      </c>
      <c r="M193" s="4">
        <v>0</v>
      </c>
      <c r="N193">
        <v>2</v>
      </c>
      <c r="P193">
        <v>0</v>
      </c>
      <c r="Q193">
        <f>QtyRemaining*EstMfgMin/60</f>
        <v>0</v>
      </c>
      <c r="U193" t="e">
        <f t="shared" si="6"/>
        <v>#REF!</v>
      </c>
      <c r="V193" s="5" t="e">
        <f t="shared" si="7"/>
        <v>#REF!</v>
      </c>
    </row>
    <row r="194" spans="1:22" x14ac:dyDescent="0.25">
      <c r="A194" s="2">
        <v>45000</v>
      </c>
      <c r="B194" s="2">
        <v>45001</v>
      </c>
      <c r="C194" t="s">
        <v>209</v>
      </c>
      <c r="D194">
        <v>11</v>
      </c>
      <c r="E194" t="s">
        <v>298</v>
      </c>
      <c r="F194" t="s">
        <v>283</v>
      </c>
      <c r="G194" t="s">
        <v>299</v>
      </c>
      <c r="H194" t="s">
        <v>300</v>
      </c>
      <c r="I194" t="s">
        <v>214</v>
      </c>
      <c r="J194" s="3" t="s">
        <v>366</v>
      </c>
      <c r="K194" t="s">
        <v>367</v>
      </c>
      <c r="L194" s="4">
        <v>2</v>
      </c>
      <c r="M194" s="4">
        <v>0</v>
      </c>
      <c r="N194">
        <v>2</v>
      </c>
      <c r="P194">
        <v>0</v>
      </c>
      <c r="Q194">
        <f>QtyRemaining*EstMfgMin/60</f>
        <v>0</v>
      </c>
      <c r="U194" t="e">
        <f t="shared" si="6"/>
        <v>#REF!</v>
      </c>
      <c r="V194" s="5" t="e">
        <f t="shared" si="7"/>
        <v>#REF!</v>
      </c>
    </row>
    <row r="195" spans="1:22" x14ac:dyDescent="0.25">
      <c r="A195" s="2">
        <v>45000</v>
      </c>
      <c r="B195" s="2">
        <v>45001</v>
      </c>
      <c r="C195" t="s">
        <v>209</v>
      </c>
      <c r="D195">
        <v>11</v>
      </c>
      <c r="E195" t="s">
        <v>298</v>
      </c>
      <c r="F195" t="s">
        <v>283</v>
      </c>
      <c r="G195" t="s">
        <v>299</v>
      </c>
      <c r="H195" t="s">
        <v>300</v>
      </c>
      <c r="I195" t="s">
        <v>214</v>
      </c>
      <c r="J195" s="3" t="s">
        <v>368</v>
      </c>
      <c r="K195" t="s">
        <v>369</v>
      </c>
      <c r="L195" s="4">
        <v>2</v>
      </c>
      <c r="M195" s="4">
        <v>0</v>
      </c>
      <c r="N195">
        <v>2</v>
      </c>
      <c r="P195">
        <v>0</v>
      </c>
      <c r="Q195">
        <f>QtyRemaining*EstMfgMin/60</f>
        <v>0</v>
      </c>
      <c r="U195" t="e">
        <f t="shared" ref="U195:U258" si="8">VLOOKUP(A195,Calendar,13,FALSE)</f>
        <v>#REF!</v>
      </c>
      <c r="V195" s="5" t="e">
        <f t="shared" ref="V195:V258" si="9">VLOOKUP(A195,Calendar,14,FALSE)</f>
        <v>#REF!</v>
      </c>
    </row>
    <row r="196" spans="1:22" x14ac:dyDescent="0.25">
      <c r="A196" s="2">
        <v>45000</v>
      </c>
      <c r="B196" s="2">
        <v>45001</v>
      </c>
      <c r="C196" t="s">
        <v>209</v>
      </c>
      <c r="D196">
        <v>11</v>
      </c>
      <c r="E196" t="s">
        <v>298</v>
      </c>
      <c r="F196" t="s">
        <v>283</v>
      </c>
      <c r="G196" t="s">
        <v>299</v>
      </c>
      <c r="H196" t="s">
        <v>300</v>
      </c>
      <c r="I196" t="s">
        <v>214</v>
      </c>
      <c r="J196" s="3" t="s">
        <v>370</v>
      </c>
      <c r="K196" t="s">
        <v>325</v>
      </c>
      <c r="L196" s="4">
        <v>8</v>
      </c>
      <c r="M196" s="4">
        <v>0</v>
      </c>
      <c r="N196">
        <v>8</v>
      </c>
      <c r="P196">
        <v>0</v>
      </c>
      <c r="Q196">
        <f>QtyRemaining*EstMfgMin/60</f>
        <v>0</v>
      </c>
      <c r="U196" t="e">
        <f t="shared" si="8"/>
        <v>#REF!</v>
      </c>
      <c r="V196" s="5" t="e">
        <f t="shared" si="9"/>
        <v>#REF!</v>
      </c>
    </row>
    <row r="197" spans="1:22" x14ac:dyDescent="0.25">
      <c r="A197" s="2">
        <v>45000</v>
      </c>
      <c r="B197" s="2">
        <v>45001</v>
      </c>
      <c r="C197" t="s">
        <v>209</v>
      </c>
      <c r="D197">
        <v>11</v>
      </c>
      <c r="E197" t="s">
        <v>298</v>
      </c>
      <c r="F197" t="s">
        <v>283</v>
      </c>
      <c r="G197" t="s">
        <v>299</v>
      </c>
      <c r="H197" t="s">
        <v>300</v>
      </c>
      <c r="I197" t="s">
        <v>214</v>
      </c>
      <c r="J197" s="3" t="s">
        <v>371</v>
      </c>
      <c r="K197" t="s">
        <v>372</v>
      </c>
      <c r="L197" s="4">
        <v>2</v>
      </c>
      <c r="M197" s="4">
        <v>0</v>
      </c>
      <c r="N197">
        <v>2</v>
      </c>
      <c r="P197">
        <v>0</v>
      </c>
      <c r="Q197">
        <f>QtyRemaining*EstMfgMin/60</f>
        <v>0</v>
      </c>
      <c r="U197" t="e">
        <f t="shared" si="8"/>
        <v>#REF!</v>
      </c>
      <c r="V197" s="5" t="e">
        <f t="shared" si="9"/>
        <v>#REF!</v>
      </c>
    </row>
    <row r="198" spans="1:22" x14ac:dyDescent="0.25">
      <c r="A198" s="2">
        <v>45000</v>
      </c>
      <c r="B198" s="2">
        <v>45001</v>
      </c>
      <c r="C198" t="s">
        <v>209</v>
      </c>
      <c r="D198">
        <v>11</v>
      </c>
      <c r="E198" t="s">
        <v>298</v>
      </c>
      <c r="F198" t="s">
        <v>283</v>
      </c>
      <c r="G198" t="s">
        <v>299</v>
      </c>
      <c r="H198" t="s">
        <v>300</v>
      </c>
      <c r="I198" t="s">
        <v>214</v>
      </c>
      <c r="J198" s="3" t="s">
        <v>373</v>
      </c>
      <c r="K198" t="s">
        <v>374</v>
      </c>
      <c r="L198" s="4">
        <v>4</v>
      </c>
      <c r="M198" s="4">
        <v>0</v>
      </c>
      <c r="N198">
        <v>4</v>
      </c>
      <c r="P198">
        <v>0</v>
      </c>
      <c r="Q198">
        <f>QtyRemaining*EstMfgMin/60</f>
        <v>0</v>
      </c>
      <c r="U198" t="e">
        <f t="shared" si="8"/>
        <v>#REF!</v>
      </c>
      <c r="V198" s="5" t="e">
        <f t="shared" si="9"/>
        <v>#REF!</v>
      </c>
    </row>
    <row r="199" spans="1:22" x14ac:dyDescent="0.25">
      <c r="A199" s="2">
        <v>45000</v>
      </c>
      <c r="B199" s="2">
        <v>45001</v>
      </c>
      <c r="C199" t="s">
        <v>209</v>
      </c>
      <c r="D199">
        <v>11</v>
      </c>
      <c r="E199" t="s">
        <v>298</v>
      </c>
      <c r="F199" t="s">
        <v>283</v>
      </c>
      <c r="G199" t="s">
        <v>299</v>
      </c>
      <c r="H199" t="s">
        <v>300</v>
      </c>
      <c r="I199" t="s">
        <v>214</v>
      </c>
      <c r="J199" s="3" t="s">
        <v>375</v>
      </c>
      <c r="K199" t="s">
        <v>329</v>
      </c>
      <c r="L199" s="4">
        <v>2</v>
      </c>
      <c r="M199" s="4">
        <v>0</v>
      </c>
      <c r="N199">
        <v>2</v>
      </c>
      <c r="P199">
        <v>0</v>
      </c>
      <c r="Q199">
        <f>QtyRemaining*EstMfgMin/60</f>
        <v>0</v>
      </c>
      <c r="U199" t="e">
        <f t="shared" si="8"/>
        <v>#REF!</v>
      </c>
      <c r="V199" s="5" t="e">
        <f t="shared" si="9"/>
        <v>#REF!</v>
      </c>
    </row>
    <row r="200" spans="1:22" x14ac:dyDescent="0.25">
      <c r="A200" s="2">
        <v>45000</v>
      </c>
      <c r="B200" s="2">
        <v>45001</v>
      </c>
      <c r="C200" t="s">
        <v>209</v>
      </c>
      <c r="D200">
        <v>11</v>
      </c>
      <c r="E200" t="s">
        <v>298</v>
      </c>
      <c r="F200" t="s">
        <v>283</v>
      </c>
      <c r="G200" t="s">
        <v>299</v>
      </c>
      <c r="H200" t="s">
        <v>300</v>
      </c>
      <c r="I200" t="s">
        <v>214</v>
      </c>
      <c r="J200" s="3" t="s">
        <v>376</v>
      </c>
      <c r="K200" t="s">
        <v>377</v>
      </c>
      <c r="L200" s="4">
        <v>2</v>
      </c>
      <c r="M200" s="4">
        <v>0</v>
      </c>
      <c r="N200">
        <v>2</v>
      </c>
      <c r="P200">
        <v>0</v>
      </c>
      <c r="Q200">
        <f>QtyRemaining*EstMfgMin/60</f>
        <v>0</v>
      </c>
      <c r="U200" t="e">
        <f t="shared" si="8"/>
        <v>#REF!</v>
      </c>
      <c r="V200" s="5" t="e">
        <f t="shared" si="9"/>
        <v>#REF!</v>
      </c>
    </row>
    <row r="201" spans="1:22" x14ac:dyDescent="0.25">
      <c r="A201" s="2">
        <v>45000</v>
      </c>
      <c r="B201" s="2">
        <v>45001</v>
      </c>
      <c r="C201" t="s">
        <v>209</v>
      </c>
      <c r="D201">
        <v>11</v>
      </c>
      <c r="E201" t="s">
        <v>298</v>
      </c>
      <c r="F201" t="s">
        <v>283</v>
      </c>
      <c r="G201" t="s">
        <v>299</v>
      </c>
      <c r="H201" t="s">
        <v>300</v>
      </c>
      <c r="I201" t="s">
        <v>214</v>
      </c>
      <c r="J201" s="3" t="s">
        <v>378</v>
      </c>
      <c r="K201" t="s">
        <v>379</v>
      </c>
      <c r="L201" s="4">
        <v>2</v>
      </c>
      <c r="M201" s="4">
        <v>0</v>
      </c>
      <c r="N201">
        <v>2</v>
      </c>
      <c r="P201">
        <v>0</v>
      </c>
      <c r="Q201">
        <f>QtyRemaining*EstMfgMin/60</f>
        <v>0</v>
      </c>
      <c r="U201" t="e">
        <f t="shared" si="8"/>
        <v>#REF!</v>
      </c>
      <c r="V201" s="5" t="e">
        <f t="shared" si="9"/>
        <v>#REF!</v>
      </c>
    </row>
    <row r="202" spans="1:22" x14ac:dyDescent="0.25">
      <c r="A202" s="2">
        <v>45000</v>
      </c>
      <c r="B202" s="2">
        <v>45001</v>
      </c>
      <c r="C202" t="s">
        <v>209</v>
      </c>
      <c r="D202">
        <v>11</v>
      </c>
      <c r="E202" t="s">
        <v>298</v>
      </c>
      <c r="F202" t="s">
        <v>283</v>
      </c>
      <c r="G202" t="s">
        <v>299</v>
      </c>
      <c r="H202" t="s">
        <v>300</v>
      </c>
      <c r="I202" t="s">
        <v>214</v>
      </c>
      <c r="J202" s="3" t="s">
        <v>380</v>
      </c>
      <c r="K202" t="s">
        <v>313</v>
      </c>
      <c r="L202" s="4">
        <v>2</v>
      </c>
      <c r="M202" s="4">
        <v>0</v>
      </c>
      <c r="N202">
        <v>2</v>
      </c>
      <c r="P202">
        <v>0</v>
      </c>
      <c r="Q202">
        <f>QtyRemaining*EstMfgMin/60</f>
        <v>0</v>
      </c>
      <c r="U202" t="e">
        <f t="shared" si="8"/>
        <v>#REF!</v>
      </c>
      <c r="V202" s="5" t="e">
        <f t="shared" si="9"/>
        <v>#REF!</v>
      </c>
    </row>
    <row r="203" spans="1:22" x14ac:dyDescent="0.25">
      <c r="A203" s="2">
        <v>45000</v>
      </c>
      <c r="B203" s="2">
        <v>45001</v>
      </c>
      <c r="C203" t="s">
        <v>209</v>
      </c>
      <c r="D203">
        <v>11</v>
      </c>
      <c r="E203" t="s">
        <v>298</v>
      </c>
      <c r="F203" t="s">
        <v>283</v>
      </c>
      <c r="G203" t="s">
        <v>299</v>
      </c>
      <c r="H203" t="s">
        <v>300</v>
      </c>
      <c r="I203" t="s">
        <v>214</v>
      </c>
      <c r="J203" s="3" t="s">
        <v>381</v>
      </c>
      <c r="K203" t="s">
        <v>313</v>
      </c>
      <c r="L203" s="4">
        <v>2</v>
      </c>
      <c r="M203" s="4">
        <v>0</v>
      </c>
      <c r="N203">
        <v>2</v>
      </c>
      <c r="P203">
        <v>0</v>
      </c>
      <c r="Q203">
        <f>QtyRemaining*EstMfgMin/60</f>
        <v>0</v>
      </c>
      <c r="U203" t="e">
        <f t="shared" si="8"/>
        <v>#REF!</v>
      </c>
      <c r="V203" s="5" t="e">
        <f t="shared" si="9"/>
        <v>#REF!</v>
      </c>
    </row>
    <row r="204" spans="1:22" x14ac:dyDescent="0.25">
      <c r="A204" s="2">
        <v>45000</v>
      </c>
      <c r="B204" s="2">
        <v>45001</v>
      </c>
      <c r="C204" t="s">
        <v>209</v>
      </c>
      <c r="D204">
        <v>11</v>
      </c>
      <c r="E204" t="s">
        <v>298</v>
      </c>
      <c r="F204" t="s">
        <v>283</v>
      </c>
      <c r="G204" t="s">
        <v>299</v>
      </c>
      <c r="H204" t="s">
        <v>300</v>
      </c>
      <c r="I204" t="s">
        <v>214</v>
      </c>
      <c r="J204" s="3" t="s">
        <v>382</v>
      </c>
      <c r="K204" t="s">
        <v>383</v>
      </c>
      <c r="L204" s="4">
        <v>6</v>
      </c>
      <c r="M204" s="4">
        <v>0</v>
      </c>
      <c r="N204">
        <v>6</v>
      </c>
      <c r="P204">
        <v>0</v>
      </c>
      <c r="Q204">
        <f>QtyRemaining*EstMfgMin/60</f>
        <v>0</v>
      </c>
      <c r="U204" t="e">
        <f t="shared" si="8"/>
        <v>#REF!</v>
      </c>
      <c r="V204" s="5" t="e">
        <f t="shared" si="9"/>
        <v>#REF!</v>
      </c>
    </row>
    <row r="205" spans="1:22" x14ac:dyDescent="0.25">
      <c r="A205" s="2">
        <v>45000</v>
      </c>
      <c r="B205" s="2">
        <v>45001</v>
      </c>
      <c r="C205" t="s">
        <v>209</v>
      </c>
      <c r="D205">
        <v>11</v>
      </c>
      <c r="E205" t="s">
        <v>298</v>
      </c>
      <c r="F205" t="s">
        <v>283</v>
      </c>
      <c r="G205" t="s">
        <v>299</v>
      </c>
      <c r="H205" t="s">
        <v>300</v>
      </c>
      <c r="I205" t="s">
        <v>214</v>
      </c>
      <c r="J205" s="3" t="s">
        <v>384</v>
      </c>
      <c r="K205" t="s">
        <v>383</v>
      </c>
      <c r="L205" s="4">
        <v>6</v>
      </c>
      <c r="M205" s="4">
        <v>0</v>
      </c>
      <c r="N205">
        <v>6</v>
      </c>
      <c r="P205">
        <v>0</v>
      </c>
      <c r="Q205">
        <f>QtyRemaining*EstMfgMin/60</f>
        <v>0</v>
      </c>
      <c r="U205" t="e">
        <f t="shared" si="8"/>
        <v>#REF!</v>
      </c>
      <c r="V205" s="5" t="e">
        <f t="shared" si="9"/>
        <v>#REF!</v>
      </c>
    </row>
    <row r="206" spans="1:22" x14ac:dyDescent="0.25">
      <c r="A206" s="2">
        <v>45000</v>
      </c>
      <c r="B206" s="2">
        <v>45001</v>
      </c>
      <c r="C206" t="s">
        <v>209</v>
      </c>
      <c r="D206">
        <v>11</v>
      </c>
      <c r="E206" t="s">
        <v>298</v>
      </c>
      <c r="F206" t="s">
        <v>283</v>
      </c>
      <c r="G206" t="s">
        <v>299</v>
      </c>
      <c r="H206" t="s">
        <v>300</v>
      </c>
      <c r="I206" t="s">
        <v>214</v>
      </c>
      <c r="J206" s="3" t="s">
        <v>385</v>
      </c>
      <c r="K206" t="s">
        <v>386</v>
      </c>
      <c r="L206" s="4">
        <v>36</v>
      </c>
      <c r="M206" s="4">
        <v>0</v>
      </c>
      <c r="N206">
        <v>36</v>
      </c>
      <c r="P206">
        <v>0</v>
      </c>
      <c r="Q206">
        <f>QtyRemaining*EstMfgMin/60</f>
        <v>0</v>
      </c>
      <c r="U206" t="e">
        <f t="shared" si="8"/>
        <v>#REF!</v>
      </c>
      <c r="V206" s="5" t="e">
        <f t="shared" si="9"/>
        <v>#REF!</v>
      </c>
    </row>
    <row r="207" spans="1:22" x14ac:dyDescent="0.25">
      <c r="A207" s="2">
        <v>45000</v>
      </c>
      <c r="B207" s="2">
        <v>45001</v>
      </c>
      <c r="C207" t="s">
        <v>209</v>
      </c>
      <c r="D207">
        <v>11</v>
      </c>
      <c r="E207" t="s">
        <v>298</v>
      </c>
      <c r="F207" t="s">
        <v>283</v>
      </c>
      <c r="G207" t="s">
        <v>299</v>
      </c>
      <c r="H207" t="s">
        <v>300</v>
      </c>
      <c r="I207" t="s">
        <v>214</v>
      </c>
      <c r="J207" s="3" t="s">
        <v>387</v>
      </c>
      <c r="K207" t="s">
        <v>388</v>
      </c>
      <c r="L207" s="4">
        <v>6</v>
      </c>
      <c r="M207" s="4">
        <v>0</v>
      </c>
      <c r="N207">
        <v>6</v>
      </c>
      <c r="P207">
        <v>0</v>
      </c>
      <c r="Q207">
        <f>QtyRemaining*EstMfgMin/60</f>
        <v>0</v>
      </c>
      <c r="U207" t="e">
        <f t="shared" si="8"/>
        <v>#REF!</v>
      </c>
      <c r="V207" s="5" t="e">
        <f t="shared" si="9"/>
        <v>#REF!</v>
      </c>
    </row>
    <row r="208" spans="1:22" x14ac:dyDescent="0.25">
      <c r="A208" s="2">
        <v>45000</v>
      </c>
      <c r="B208" s="2">
        <v>45001</v>
      </c>
      <c r="C208" t="s">
        <v>209</v>
      </c>
      <c r="D208">
        <v>11</v>
      </c>
      <c r="E208" t="s">
        <v>298</v>
      </c>
      <c r="F208" t="s">
        <v>283</v>
      </c>
      <c r="G208" t="s">
        <v>299</v>
      </c>
      <c r="H208" t="s">
        <v>300</v>
      </c>
      <c r="I208" t="s">
        <v>214</v>
      </c>
      <c r="J208" s="3" t="s">
        <v>389</v>
      </c>
      <c r="K208" t="s">
        <v>390</v>
      </c>
      <c r="L208" s="4">
        <v>161</v>
      </c>
      <c r="M208" s="4">
        <v>0</v>
      </c>
      <c r="N208">
        <v>161</v>
      </c>
      <c r="P208">
        <v>0</v>
      </c>
      <c r="Q208">
        <f>QtyRemaining*EstMfgMin/60</f>
        <v>0</v>
      </c>
      <c r="U208" t="e">
        <f t="shared" si="8"/>
        <v>#REF!</v>
      </c>
      <c r="V208" s="5" t="e">
        <f t="shared" si="9"/>
        <v>#REF!</v>
      </c>
    </row>
    <row r="209" spans="1:22" x14ac:dyDescent="0.25">
      <c r="A209" s="2">
        <v>45000</v>
      </c>
      <c r="B209" s="2">
        <v>45001</v>
      </c>
      <c r="C209" t="s">
        <v>209</v>
      </c>
      <c r="D209">
        <v>11</v>
      </c>
      <c r="E209" t="s">
        <v>298</v>
      </c>
      <c r="F209" t="s">
        <v>283</v>
      </c>
      <c r="G209" t="s">
        <v>299</v>
      </c>
      <c r="H209" t="s">
        <v>300</v>
      </c>
      <c r="I209" t="s">
        <v>214</v>
      </c>
      <c r="J209" s="3" t="s">
        <v>391</v>
      </c>
      <c r="K209" t="s">
        <v>392</v>
      </c>
      <c r="L209" s="4">
        <v>11</v>
      </c>
      <c r="M209" s="4">
        <v>0</v>
      </c>
      <c r="N209">
        <v>11</v>
      </c>
      <c r="P209">
        <v>0</v>
      </c>
      <c r="Q209">
        <f>QtyRemaining*EstMfgMin/60</f>
        <v>0</v>
      </c>
      <c r="U209" t="e">
        <f t="shared" si="8"/>
        <v>#REF!</v>
      </c>
      <c r="V209" s="5" t="e">
        <f t="shared" si="9"/>
        <v>#REF!</v>
      </c>
    </row>
    <row r="210" spans="1:22" x14ac:dyDescent="0.25">
      <c r="A210" s="2">
        <v>45000</v>
      </c>
      <c r="B210" s="2">
        <v>45001</v>
      </c>
      <c r="C210" t="s">
        <v>209</v>
      </c>
      <c r="D210">
        <v>11</v>
      </c>
      <c r="E210" t="s">
        <v>298</v>
      </c>
      <c r="F210" t="s">
        <v>283</v>
      </c>
      <c r="G210" t="s">
        <v>299</v>
      </c>
      <c r="H210" t="s">
        <v>300</v>
      </c>
      <c r="I210" t="s">
        <v>214</v>
      </c>
      <c r="J210" s="3" t="s">
        <v>393</v>
      </c>
      <c r="K210" t="s">
        <v>394</v>
      </c>
      <c r="L210" s="4">
        <v>4</v>
      </c>
      <c r="M210" s="4">
        <v>0</v>
      </c>
      <c r="N210">
        <v>4</v>
      </c>
      <c r="P210">
        <v>0</v>
      </c>
      <c r="Q210">
        <f>QtyRemaining*EstMfgMin/60</f>
        <v>0</v>
      </c>
      <c r="U210" t="e">
        <f t="shared" si="8"/>
        <v>#REF!</v>
      </c>
      <c r="V210" s="5" t="e">
        <f t="shared" si="9"/>
        <v>#REF!</v>
      </c>
    </row>
    <row r="211" spans="1:22" x14ac:dyDescent="0.25">
      <c r="A211" s="2">
        <v>45000</v>
      </c>
      <c r="B211" s="2">
        <v>45001</v>
      </c>
      <c r="C211" t="s">
        <v>209</v>
      </c>
      <c r="D211">
        <v>11</v>
      </c>
      <c r="E211" t="s">
        <v>298</v>
      </c>
      <c r="F211" t="s">
        <v>283</v>
      </c>
      <c r="G211" t="s">
        <v>299</v>
      </c>
      <c r="H211" t="s">
        <v>300</v>
      </c>
      <c r="I211" t="s">
        <v>214</v>
      </c>
      <c r="J211" s="3" t="s">
        <v>395</v>
      </c>
      <c r="K211" t="s">
        <v>396</v>
      </c>
      <c r="L211" s="4">
        <v>2</v>
      </c>
      <c r="M211" s="4">
        <v>0</v>
      </c>
      <c r="N211">
        <v>2</v>
      </c>
      <c r="P211">
        <v>0</v>
      </c>
      <c r="Q211">
        <f>QtyRemaining*EstMfgMin/60</f>
        <v>0</v>
      </c>
      <c r="U211" t="e">
        <f t="shared" si="8"/>
        <v>#REF!</v>
      </c>
      <c r="V211" s="5" t="e">
        <f t="shared" si="9"/>
        <v>#REF!</v>
      </c>
    </row>
    <row r="212" spans="1:22" x14ac:dyDescent="0.25">
      <c r="A212" s="2">
        <v>45000</v>
      </c>
      <c r="B212" s="2">
        <v>45001</v>
      </c>
      <c r="C212" t="s">
        <v>209</v>
      </c>
      <c r="D212">
        <v>11</v>
      </c>
      <c r="E212" t="s">
        <v>298</v>
      </c>
      <c r="F212" t="s">
        <v>283</v>
      </c>
      <c r="G212" t="s">
        <v>299</v>
      </c>
      <c r="H212" t="s">
        <v>300</v>
      </c>
      <c r="I212" t="s">
        <v>214</v>
      </c>
      <c r="J212" s="3" t="s">
        <v>397</v>
      </c>
      <c r="K212" t="s">
        <v>398</v>
      </c>
      <c r="L212" s="4">
        <v>2</v>
      </c>
      <c r="M212" s="4">
        <v>0</v>
      </c>
      <c r="N212">
        <v>2</v>
      </c>
      <c r="P212">
        <v>0</v>
      </c>
      <c r="Q212">
        <f>QtyRemaining*EstMfgMin/60</f>
        <v>0</v>
      </c>
      <c r="U212" t="e">
        <f t="shared" si="8"/>
        <v>#REF!</v>
      </c>
      <c r="V212" s="5" t="e">
        <f t="shared" si="9"/>
        <v>#REF!</v>
      </c>
    </row>
    <row r="213" spans="1:22" x14ac:dyDescent="0.25">
      <c r="A213" s="2">
        <v>45000</v>
      </c>
      <c r="B213" s="2">
        <v>45001</v>
      </c>
      <c r="C213" t="s">
        <v>209</v>
      </c>
      <c r="D213">
        <v>11</v>
      </c>
      <c r="E213" t="s">
        <v>298</v>
      </c>
      <c r="F213" t="s">
        <v>283</v>
      </c>
      <c r="G213" t="s">
        <v>299</v>
      </c>
      <c r="H213" t="s">
        <v>300</v>
      </c>
      <c r="I213" t="s">
        <v>214</v>
      </c>
      <c r="J213" s="3" t="s">
        <v>399</v>
      </c>
      <c r="K213" t="s">
        <v>400</v>
      </c>
      <c r="L213" s="4">
        <v>6</v>
      </c>
      <c r="M213" s="4">
        <v>0</v>
      </c>
      <c r="N213">
        <v>6</v>
      </c>
      <c r="P213">
        <v>0</v>
      </c>
      <c r="Q213">
        <f>QtyRemaining*EstMfgMin/60</f>
        <v>0</v>
      </c>
      <c r="U213" t="e">
        <f t="shared" si="8"/>
        <v>#REF!</v>
      </c>
      <c r="V213" s="5" t="e">
        <f t="shared" si="9"/>
        <v>#REF!</v>
      </c>
    </row>
    <row r="214" spans="1:22" x14ac:dyDescent="0.25">
      <c r="A214" s="2">
        <v>45000</v>
      </c>
      <c r="B214" s="2">
        <v>45001</v>
      </c>
      <c r="C214" t="s">
        <v>209</v>
      </c>
      <c r="D214">
        <v>11</v>
      </c>
      <c r="E214" t="s">
        <v>298</v>
      </c>
      <c r="F214" t="s">
        <v>283</v>
      </c>
      <c r="G214" t="s">
        <v>299</v>
      </c>
      <c r="H214" t="s">
        <v>300</v>
      </c>
      <c r="I214" t="s">
        <v>214</v>
      </c>
      <c r="J214" s="3" t="s">
        <v>401</v>
      </c>
      <c r="K214" t="s">
        <v>402</v>
      </c>
      <c r="L214" s="4">
        <v>6</v>
      </c>
      <c r="M214" s="4">
        <v>0</v>
      </c>
      <c r="N214">
        <v>6</v>
      </c>
      <c r="P214">
        <v>0</v>
      </c>
      <c r="Q214">
        <f>QtyRemaining*EstMfgMin/60</f>
        <v>0</v>
      </c>
      <c r="U214" t="e">
        <f t="shared" si="8"/>
        <v>#REF!</v>
      </c>
      <c r="V214" s="5" t="e">
        <f t="shared" si="9"/>
        <v>#REF!</v>
      </c>
    </row>
    <row r="215" spans="1:22" x14ac:dyDescent="0.25">
      <c r="A215" s="2">
        <v>45000</v>
      </c>
      <c r="B215" s="2">
        <v>45001</v>
      </c>
      <c r="C215" t="s">
        <v>209</v>
      </c>
      <c r="D215">
        <v>11</v>
      </c>
      <c r="E215" t="s">
        <v>298</v>
      </c>
      <c r="F215" t="s">
        <v>283</v>
      </c>
      <c r="G215" t="s">
        <v>299</v>
      </c>
      <c r="H215" t="s">
        <v>300</v>
      </c>
      <c r="I215" t="s">
        <v>214</v>
      </c>
      <c r="J215" s="3" t="s">
        <v>403</v>
      </c>
      <c r="K215" t="s">
        <v>404</v>
      </c>
      <c r="L215" s="4">
        <v>19</v>
      </c>
      <c r="M215" s="4">
        <v>0</v>
      </c>
      <c r="N215">
        <v>19</v>
      </c>
      <c r="P215">
        <v>0</v>
      </c>
      <c r="Q215">
        <f>QtyRemaining*EstMfgMin/60</f>
        <v>0</v>
      </c>
      <c r="U215" t="e">
        <f t="shared" si="8"/>
        <v>#REF!</v>
      </c>
      <c r="V215" s="5" t="e">
        <f t="shared" si="9"/>
        <v>#REF!</v>
      </c>
    </row>
    <row r="216" spans="1:22" x14ac:dyDescent="0.25">
      <c r="A216" s="2">
        <v>45000</v>
      </c>
      <c r="B216" s="2">
        <v>45001</v>
      </c>
      <c r="C216" t="s">
        <v>209</v>
      </c>
      <c r="D216">
        <v>11</v>
      </c>
      <c r="E216" t="s">
        <v>298</v>
      </c>
      <c r="F216" t="s">
        <v>283</v>
      </c>
      <c r="G216" t="s">
        <v>299</v>
      </c>
      <c r="H216" t="s">
        <v>300</v>
      </c>
      <c r="I216" t="s">
        <v>214</v>
      </c>
      <c r="J216" s="3" t="s">
        <v>405</v>
      </c>
      <c r="K216" t="s">
        <v>406</v>
      </c>
      <c r="L216" s="4">
        <v>35</v>
      </c>
      <c r="M216" s="4">
        <v>0</v>
      </c>
      <c r="N216">
        <v>35</v>
      </c>
      <c r="P216">
        <v>0</v>
      </c>
      <c r="Q216">
        <f>QtyRemaining*EstMfgMin/60</f>
        <v>0</v>
      </c>
      <c r="U216" t="e">
        <f t="shared" si="8"/>
        <v>#REF!</v>
      </c>
      <c r="V216" s="5" t="e">
        <f t="shared" si="9"/>
        <v>#REF!</v>
      </c>
    </row>
    <row r="217" spans="1:22" x14ac:dyDescent="0.25">
      <c r="A217" s="2">
        <v>45000</v>
      </c>
      <c r="B217" s="2">
        <v>45001</v>
      </c>
      <c r="C217" t="s">
        <v>209</v>
      </c>
      <c r="D217">
        <v>11</v>
      </c>
      <c r="E217" t="s">
        <v>298</v>
      </c>
      <c r="F217" t="s">
        <v>283</v>
      </c>
      <c r="G217" t="s">
        <v>299</v>
      </c>
      <c r="H217" t="s">
        <v>300</v>
      </c>
      <c r="I217" t="s">
        <v>214</v>
      </c>
      <c r="J217" s="3" t="s">
        <v>407</v>
      </c>
      <c r="K217" t="s">
        <v>408</v>
      </c>
      <c r="L217" s="4">
        <v>92</v>
      </c>
      <c r="M217" s="4">
        <v>0</v>
      </c>
      <c r="N217">
        <v>92</v>
      </c>
      <c r="P217">
        <v>0</v>
      </c>
      <c r="Q217">
        <f>QtyRemaining*EstMfgMin/60</f>
        <v>0</v>
      </c>
      <c r="U217" t="e">
        <f t="shared" si="8"/>
        <v>#REF!</v>
      </c>
      <c r="V217" s="5" t="e">
        <f t="shared" si="9"/>
        <v>#REF!</v>
      </c>
    </row>
    <row r="218" spans="1:22" x14ac:dyDescent="0.25">
      <c r="A218" s="2">
        <v>45000</v>
      </c>
      <c r="B218" s="2">
        <v>45001</v>
      </c>
      <c r="C218" t="s">
        <v>209</v>
      </c>
      <c r="D218">
        <v>11</v>
      </c>
      <c r="E218" t="s">
        <v>298</v>
      </c>
      <c r="F218" t="s">
        <v>283</v>
      </c>
      <c r="G218" t="s">
        <v>299</v>
      </c>
      <c r="H218" t="s">
        <v>300</v>
      </c>
      <c r="I218" t="s">
        <v>214</v>
      </c>
      <c r="J218" s="3" t="s">
        <v>409</v>
      </c>
      <c r="K218" t="s">
        <v>410</v>
      </c>
      <c r="L218" s="4">
        <v>33.5</v>
      </c>
      <c r="M218" s="4">
        <v>0</v>
      </c>
      <c r="N218">
        <v>33.5</v>
      </c>
      <c r="P218">
        <v>0</v>
      </c>
      <c r="Q218">
        <f>QtyRemaining*EstMfgMin/60</f>
        <v>0</v>
      </c>
      <c r="U218" t="e">
        <f t="shared" si="8"/>
        <v>#REF!</v>
      </c>
      <c r="V218" s="5" t="e">
        <f t="shared" si="9"/>
        <v>#REF!</v>
      </c>
    </row>
    <row r="219" spans="1:22" x14ac:dyDescent="0.25">
      <c r="A219" s="2">
        <v>45000</v>
      </c>
      <c r="B219" s="2">
        <v>45001</v>
      </c>
      <c r="C219" t="s">
        <v>209</v>
      </c>
      <c r="D219">
        <v>11</v>
      </c>
      <c r="E219" t="s">
        <v>298</v>
      </c>
      <c r="F219" t="s">
        <v>283</v>
      </c>
      <c r="G219" t="s">
        <v>299</v>
      </c>
      <c r="H219" t="s">
        <v>300</v>
      </c>
      <c r="I219" t="s">
        <v>214</v>
      </c>
      <c r="J219" s="3" t="s">
        <v>411</v>
      </c>
      <c r="K219" t="s">
        <v>412</v>
      </c>
      <c r="L219" s="4">
        <v>47</v>
      </c>
      <c r="M219" s="4">
        <v>0</v>
      </c>
      <c r="N219">
        <v>47</v>
      </c>
      <c r="P219">
        <v>0</v>
      </c>
      <c r="Q219">
        <f>QtyRemaining*EstMfgMin/60</f>
        <v>0</v>
      </c>
      <c r="U219" t="e">
        <f t="shared" si="8"/>
        <v>#REF!</v>
      </c>
      <c r="V219" s="5" t="e">
        <f t="shared" si="9"/>
        <v>#REF!</v>
      </c>
    </row>
    <row r="220" spans="1:22" x14ac:dyDescent="0.25">
      <c r="A220" s="2">
        <v>45000</v>
      </c>
      <c r="B220" s="2">
        <v>45001</v>
      </c>
      <c r="C220" t="s">
        <v>209</v>
      </c>
      <c r="D220">
        <v>11</v>
      </c>
      <c r="E220" t="s">
        <v>298</v>
      </c>
      <c r="F220" t="s">
        <v>283</v>
      </c>
      <c r="G220" t="s">
        <v>299</v>
      </c>
      <c r="H220" t="s">
        <v>300</v>
      </c>
      <c r="I220" t="s">
        <v>214</v>
      </c>
      <c r="J220" s="3" t="s">
        <v>413</v>
      </c>
      <c r="K220" t="s">
        <v>325</v>
      </c>
      <c r="L220" s="4">
        <v>78</v>
      </c>
      <c r="M220" s="4">
        <v>0</v>
      </c>
      <c r="N220">
        <v>78</v>
      </c>
      <c r="P220">
        <v>0</v>
      </c>
      <c r="Q220">
        <f>QtyRemaining*EstMfgMin/60</f>
        <v>0</v>
      </c>
      <c r="U220" t="e">
        <f t="shared" si="8"/>
        <v>#REF!</v>
      </c>
      <c r="V220" s="5" t="e">
        <f t="shared" si="9"/>
        <v>#REF!</v>
      </c>
    </row>
    <row r="221" spans="1:22" x14ac:dyDescent="0.25">
      <c r="A221" s="2">
        <v>45000</v>
      </c>
      <c r="B221" s="2">
        <v>45001</v>
      </c>
      <c r="C221" t="s">
        <v>209</v>
      </c>
      <c r="D221">
        <v>11</v>
      </c>
      <c r="E221" t="s">
        <v>298</v>
      </c>
      <c r="F221" t="s">
        <v>283</v>
      </c>
      <c r="G221" t="s">
        <v>299</v>
      </c>
      <c r="H221" t="s">
        <v>300</v>
      </c>
      <c r="I221" t="s">
        <v>214</v>
      </c>
      <c r="J221" s="3" t="s">
        <v>414</v>
      </c>
      <c r="K221" t="s">
        <v>415</v>
      </c>
      <c r="L221" s="4">
        <v>4</v>
      </c>
      <c r="M221" s="4">
        <v>0</v>
      </c>
      <c r="N221">
        <v>4</v>
      </c>
      <c r="P221">
        <v>0</v>
      </c>
      <c r="Q221">
        <f>QtyRemaining*EstMfgMin/60</f>
        <v>0</v>
      </c>
      <c r="U221" t="e">
        <f t="shared" si="8"/>
        <v>#REF!</v>
      </c>
      <c r="V221" s="5" t="e">
        <f t="shared" si="9"/>
        <v>#REF!</v>
      </c>
    </row>
    <row r="222" spans="1:22" x14ac:dyDescent="0.25">
      <c r="A222" s="2">
        <v>45000</v>
      </c>
      <c r="B222" s="2">
        <v>45001</v>
      </c>
      <c r="C222" t="s">
        <v>209</v>
      </c>
      <c r="D222">
        <v>11</v>
      </c>
      <c r="E222" t="s">
        <v>298</v>
      </c>
      <c r="F222" t="s">
        <v>283</v>
      </c>
      <c r="G222" t="s">
        <v>299</v>
      </c>
      <c r="H222" t="s">
        <v>300</v>
      </c>
      <c r="I222" t="s">
        <v>214</v>
      </c>
      <c r="J222" s="3" t="s">
        <v>416</v>
      </c>
      <c r="K222" t="s">
        <v>417</v>
      </c>
      <c r="L222" s="4">
        <v>20</v>
      </c>
      <c r="M222" s="4">
        <v>0</v>
      </c>
      <c r="N222">
        <v>20</v>
      </c>
      <c r="P222">
        <v>0</v>
      </c>
      <c r="Q222">
        <f>QtyRemaining*EstMfgMin/60</f>
        <v>0</v>
      </c>
      <c r="U222" t="e">
        <f t="shared" si="8"/>
        <v>#REF!</v>
      </c>
      <c r="V222" s="5" t="e">
        <f t="shared" si="9"/>
        <v>#REF!</v>
      </c>
    </row>
    <row r="223" spans="1:22" x14ac:dyDescent="0.25">
      <c r="A223" s="2">
        <v>45000</v>
      </c>
      <c r="B223" s="2">
        <v>45001</v>
      </c>
      <c r="C223" t="s">
        <v>209</v>
      </c>
      <c r="D223">
        <v>11</v>
      </c>
      <c r="E223" t="s">
        <v>298</v>
      </c>
      <c r="F223" t="s">
        <v>283</v>
      </c>
      <c r="G223" t="s">
        <v>299</v>
      </c>
      <c r="H223" t="s">
        <v>300</v>
      </c>
      <c r="I223" t="s">
        <v>214</v>
      </c>
      <c r="J223" s="3" t="s">
        <v>418</v>
      </c>
      <c r="K223" t="s">
        <v>419</v>
      </c>
      <c r="L223" s="4">
        <v>8</v>
      </c>
      <c r="M223" s="4">
        <v>0</v>
      </c>
      <c r="N223">
        <v>8</v>
      </c>
      <c r="P223">
        <v>0</v>
      </c>
      <c r="Q223">
        <f>QtyRemaining*EstMfgMin/60</f>
        <v>0</v>
      </c>
      <c r="U223" t="e">
        <f t="shared" si="8"/>
        <v>#REF!</v>
      </c>
      <c r="V223" s="5" t="e">
        <f t="shared" si="9"/>
        <v>#REF!</v>
      </c>
    </row>
    <row r="224" spans="1:22" x14ac:dyDescent="0.25">
      <c r="A224" s="2">
        <v>45000</v>
      </c>
      <c r="B224" s="2">
        <v>45001</v>
      </c>
      <c r="C224" t="s">
        <v>209</v>
      </c>
      <c r="D224">
        <v>11</v>
      </c>
      <c r="E224" t="s">
        <v>298</v>
      </c>
      <c r="F224" t="s">
        <v>283</v>
      </c>
      <c r="G224" t="s">
        <v>299</v>
      </c>
      <c r="H224" t="s">
        <v>300</v>
      </c>
      <c r="I224" t="s">
        <v>214</v>
      </c>
      <c r="J224" s="3" t="s">
        <v>420</v>
      </c>
      <c r="K224" t="s">
        <v>421</v>
      </c>
      <c r="L224" s="4">
        <v>2</v>
      </c>
      <c r="M224" s="4">
        <v>0</v>
      </c>
      <c r="N224">
        <v>2</v>
      </c>
      <c r="P224">
        <v>0</v>
      </c>
      <c r="Q224">
        <f>QtyRemaining*EstMfgMin/60</f>
        <v>0</v>
      </c>
      <c r="U224" t="e">
        <f t="shared" si="8"/>
        <v>#REF!</v>
      </c>
      <c r="V224" s="5" t="e">
        <f t="shared" si="9"/>
        <v>#REF!</v>
      </c>
    </row>
    <row r="225" spans="1:22" x14ac:dyDescent="0.25">
      <c r="A225" s="2">
        <v>45000</v>
      </c>
      <c r="B225" s="2">
        <v>45001</v>
      </c>
      <c r="C225" t="s">
        <v>209</v>
      </c>
      <c r="D225">
        <v>11</v>
      </c>
      <c r="E225" t="s">
        <v>298</v>
      </c>
      <c r="F225" t="s">
        <v>283</v>
      </c>
      <c r="G225" t="s">
        <v>299</v>
      </c>
      <c r="H225" t="s">
        <v>300</v>
      </c>
      <c r="I225" t="s">
        <v>214</v>
      </c>
      <c r="J225" s="3" t="s">
        <v>422</v>
      </c>
      <c r="K225" t="s">
        <v>329</v>
      </c>
      <c r="L225" s="4">
        <v>6</v>
      </c>
      <c r="M225" s="4">
        <v>0</v>
      </c>
      <c r="N225">
        <v>6</v>
      </c>
      <c r="P225">
        <v>0</v>
      </c>
      <c r="Q225">
        <f>QtyRemaining*EstMfgMin/60</f>
        <v>0</v>
      </c>
      <c r="U225" t="e">
        <f t="shared" si="8"/>
        <v>#REF!</v>
      </c>
      <c r="V225" s="5" t="e">
        <f t="shared" si="9"/>
        <v>#REF!</v>
      </c>
    </row>
    <row r="226" spans="1:22" x14ac:dyDescent="0.25">
      <c r="A226" s="2">
        <v>45000</v>
      </c>
      <c r="B226" s="2">
        <v>45001</v>
      </c>
      <c r="C226" t="s">
        <v>209</v>
      </c>
      <c r="D226">
        <v>11</v>
      </c>
      <c r="E226" t="s">
        <v>298</v>
      </c>
      <c r="F226" t="s">
        <v>283</v>
      </c>
      <c r="G226" t="s">
        <v>299</v>
      </c>
      <c r="H226" t="s">
        <v>300</v>
      </c>
      <c r="I226" t="s">
        <v>214</v>
      </c>
      <c r="J226" s="3" t="s">
        <v>423</v>
      </c>
      <c r="K226" t="s">
        <v>329</v>
      </c>
      <c r="L226" s="4">
        <v>4</v>
      </c>
      <c r="M226" s="4">
        <v>0</v>
      </c>
      <c r="N226">
        <v>4</v>
      </c>
      <c r="P226">
        <v>0</v>
      </c>
      <c r="Q226">
        <f>QtyRemaining*EstMfgMin/60</f>
        <v>0</v>
      </c>
      <c r="U226" t="e">
        <f t="shared" si="8"/>
        <v>#REF!</v>
      </c>
      <c r="V226" s="5" t="e">
        <f t="shared" si="9"/>
        <v>#REF!</v>
      </c>
    </row>
    <row r="227" spans="1:22" x14ac:dyDescent="0.25">
      <c r="A227" s="2">
        <v>45000</v>
      </c>
      <c r="B227" s="2">
        <v>45001</v>
      </c>
      <c r="C227" t="s">
        <v>209</v>
      </c>
      <c r="D227">
        <v>11</v>
      </c>
      <c r="E227" t="s">
        <v>298</v>
      </c>
      <c r="F227" t="s">
        <v>283</v>
      </c>
      <c r="G227" t="s">
        <v>299</v>
      </c>
      <c r="H227" t="s">
        <v>300</v>
      </c>
      <c r="I227" t="s">
        <v>214</v>
      </c>
      <c r="J227" s="3" t="s">
        <v>424</v>
      </c>
      <c r="K227" t="s">
        <v>329</v>
      </c>
      <c r="L227" s="4">
        <v>2</v>
      </c>
      <c r="M227" s="4">
        <v>0</v>
      </c>
      <c r="N227">
        <v>2</v>
      </c>
      <c r="P227">
        <v>0</v>
      </c>
      <c r="Q227">
        <f>QtyRemaining*EstMfgMin/60</f>
        <v>0</v>
      </c>
      <c r="U227" t="e">
        <f t="shared" si="8"/>
        <v>#REF!</v>
      </c>
      <c r="V227" s="5" t="e">
        <f t="shared" si="9"/>
        <v>#REF!</v>
      </c>
    </row>
    <row r="228" spans="1:22" x14ac:dyDescent="0.25">
      <c r="A228" s="2">
        <v>45000</v>
      </c>
      <c r="B228" s="2">
        <v>45001</v>
      </c>
      <c r="C228" t="s">
        <v>209</v>
      </c>
      <c r="D228">
        <v>11</v>
      </c>
      <c r="E228" t="s">
        <v>298</v>
      </c>
      <c r="F228" t="s">
        <v>283</v>
      </c>
      <c r="G228" t="s">
        <v>299</v>
      </c>
      <c r="H228" t="s">
        <v>300</v>
      </c>
      <c r="I228" t="s">
        <v>214</v>
      </c>
      <c r="J228" s="3" t="s">
        <v>425</v>
      </c>
      <c r="K228" t="s">
        <v>426</v>
      </c>
      <c r="L228" s="4">
        <v>2</v>
      </c>
      <c r="M228" s="4">
        <v>0</v>
      </c>
      <c r="N228">
        <v>2</v>
      </c>
      <c r="P228">
        <v>0</v>
      </c>
      <c r="Q228">
        <f>QtyRemaining*EstMfgMin/60</f>
        <v>0</v>
      </c>
      <c r="U228" t="e">
        <f t="shared" si="8"/>
        <v>#REF!</v>
      </c>
      <c r="V228" s="5" t="e">
        <f t="shared" si="9"/>
        <v>#REF!</v>
      </c>
    </row>
    <row r="229" spans="1:22" x14ac:dyDescent="0.25">
      <c r="A229" s="2">
        <v>45000</v>
      </c>
      <c r="B229" s="2">
        <v>45001</v>
      </c>
      <c r="C229" t="s">
        <v>209</v>
      </c>
      <c r="D229">
        <v>11</v>
      </c>
      <c r="E229" t="s">
        <v>298</v>
      </c>
      <c r="F229" t="s">
        <v>283</v>
      </c>
      <c r="G229" t="s">
        <v>299</v>
      </c>
      <c r="H229" t="s">
        <v>300</v>
      </c>
      <c r="I229" t="s">
        <v>214</v>
      </c>
      <c r="J229" s="3" t="s">
        <v>427</v>
      </c>
      <c r="K229" t="s">
        <v>428</v>
      </c>
      <c r="L229" s="4">
        <v>2</v>
      </c>
      <c r="M229" s="4">
        <v>0</v>
      </c>
      <c r="N229">
        <v>2</v>
      </c>
      <c r="P229">
        <v>0</v>
      </c>
      <c r="Q229">
        <f>QtyRemaining*EstMfgMin/60</f>
        <v>0</v>
      </c>
      <c r="U229" t="e">
        <f t="shared" si="8"/>
        <v>#REF!</v>
      </c>
      <c r="V229" s="5" t="e">
        <f t="shared" si="9"/>
        <v>#REF!</v>
      </c>
    </row>
    <row r="230" spans="1:22" x14ac:dyDescent="0.25">
      <c r="A230" s="2">
        <v>45000</v>
      </c>
      <c r="B230" s="2">
        <v>45001</v>
      </c>
      <c r="C230" t="s">
        <v>209</v>
      </c>
      <c r="D230">
        <v>11</v>
      </c>
      <c r="E230" t="s">
        <v>298</v>
      </c>
      <c r="F230" t="s">
        <v>283</v>
      </c>
      <c r="G230" t="s">
        <v>299</v>
      </c>
      <c r="H230" t="s">
        <v>300</v>
      </c>
      <c r="I230" t="s">
        <v>214</v>
      </c>
      <c r="J230" s="3" t="s">
        <v>429</v>
      </c>
      <c r="K230" t="s">
        <v>430</v>
      </c>
      <c r="L230" s="4">
        <v>2</v>
      </c>
      <c r="M230" s="4">
        <v>0</v>
      </c>
      <c r="N230">
        <v>2</v>
      </c>
      <c r="P230">
        <v>0</v>
      </c>
      <c r="Q230">
        <f>QtyRemaining*EstMfgMin/60</f>
        <v>0</v>
      </c>
      <c r="U230" t="e">
        <f t="shared" si="8"/>
        <v>#REF!</v>
      </c>
      <c r="V230" s="5" t="e">
        <f t="shared" si="9"/>
        <v>#REF!</v>
      </c>
    </row>
    <row r="231" spans="1:22" x14ac:dyDescent="0.25">
      <c r="A231" s="2">
        <v>45000</v>
      </c>
      <c r="B231" s="2">
        <v>45001</v>
      </c>
      <c r="C231" t="s">
        <v>209</v>
      </c>
      <c r="D231">
        <v>11</v>
      </c>
      <c r="E231" t="s">
        <v>298</v>
      </c>
      <c r="F231" t="s">
        <v>283</v>
      </c>
      <c r="G231" t="s">
        <v>299</v>
      </c>
      <c r="H231" t="s">
        <v>300</v>
      </c>
      <c r="I231" t="s">
        <v>214</v>
      </c>
      <c r="J231" s="3" t="s">
        <v>431</v>
      </c>
      <c r="K231" t="s">
        <v>432</v>
      </c>
      <c r="L231" s="4">
        <v>2</v>
      </c>
      <c r="M231" s="4">
        <v>0</v>
      </c>
      <c r="N231">
        <v>2</v>
      </c>
      <c r="P231">
        <v>0</v>
      </c>
      <c r="Q231">
        <f>QtyRemaining*EstMfgMin/60</f>
        <v>0</v>
      </c>
      <c r="U231" t="e">
        <f t="shared" si="8"/>
        <v>#REF!</v>
      </c>
      <c r="V231" s="5" t="e">
        <f t="shared" si="9"/>
        <v>#REF!</v>
      </c>
    </row>
    <row r="232" spans="1:22" x14ac:dyDescent="0.25">
      <c r="A232" s="2">
        <v>45000</v>
      </c>
      <c r="B232" s="2">
        <v>45001</v>
      </c>
      <c r="C232" t="s">
        <v>209</v>
      </c>
      <c r="D232">
        <v>11</v>
      </c>
      <c r="E232" t="s">
        <v>298</v>
      </c>
      <c r="F232" t="s">
        <v>283</v>
      </c>
      <c r="G232" t="s">
        <v>299</v>
      </c>
      <c r="H232" t="s">
        <v>300</v>
      </c>
      <c r="I232" t="s">
        <v>214</v>
      </c>
      <c r="J232" s="3" t="s">
        <v>433</v>
      </c>
      <c r="K232" t="s">
        <v>434</v>
      </c>
      <c r="L232" s="4">
        <v>2</v>
      </c>
      <c r="M232" s="4">
        <v>0</v>
      </c>
      <c r="N232">
        <v>2</v>
      </c>
      <c r="P232">
        <v>0</v>
      </c>
      <c r="Q232">
        <f>QtyRemaining*EstMfgMin/60</f>
        <v>0</v>
      </c>
      <c r="U232" t="e">
        <f t="shared" si="8"/>
        <v>#REF!</v>
      </c>
      <c r="V232" s="5" t="e">
        <f t="shared" si="9"/>
        <v>#REF!</v>
      </c>
    </row>
    <row r="233" spans="1:22" x14ac:dyDescent="0.25">
      <c r="A233" s="2">
        <v>45000</v>
      </c>
      <c r="B233" s="2">
        <v>45001</v>
      </c>
      <c r="C233" t="s">
        <v>209</v>
      </c>
      <c r="D233">
        <v>11</v>
      </c>
      <c r="E233" t="s">
        <v>298</v>
      </c>
      <c r="F233" t="s">
        <v>283</v>
      </c>
      <c r="G233" t="s">
        <v>299</v>
      </c>
      <c r="H233" t="s">
        <v>300</v>
      </c>
      <c r="I233" t="s">
        <v>214</v>
      </c>
      <c r="J233" s="3" t="s">
        <v>435</v>
      </c>
      <c r="K233" t="s">
        <v>436</v>
      </c>
      <c r="L233" s="4">
        <v>56</v>
      </c>
      <c r="M233" s="4">
        <v>0</v>
      </c>
      <c r="N233">
        <v>56</v>
      </c>
      <c r="P233">
        <v>0</v>
      </c>
      <c r="Q233">
        <f>QtyRemaining*EstMfgMin/60</f>
        <v>0</v>
      </c>
      <c r="U233" t="e">
        <f t="shared" si="8"/>
        <v>#REF!</v>
      </c>
      <c r="V233" s="5" t="e">
        <f t="shared" si="9"/>
        <v>#REF!</v>
      </c>
    </row>
    <row r="234" spans="1:22" x14ac:dyDescent="0.25">
      <c r="A234" s="2">
        <v>45000</v>
      </c>
      <c r="B234" s="2">
        <v>45001</v>
      </c>
      <c r="C234" t="s">
        <v>209</v>
      </c>
      <c r="D234">
        <v>11</v>
      </c>
      <c r="E234" t="s">
        <v>298</v>
      </c>
      <c r="F234" t="s">
        <v>283</v>
      </c>
      <c r="G234" t="s">
        <v>299</v>
      </c>
      <c r="H234" t="s">
        <v>300</v>
      </c>
      <c r="I234" t="s">
        <v>214</v>
      </c>
      <c r="J234" s="3" t="s">
        <v>437</v>
      </c>
      <c r="K234" t="s">
        <v>438</v>
      </c>
      <c r="L234" s="4">
        <v>16</v>
      </c>
      <c r="M234" s="4">
        <v>0</v>
      </c>
      <c r="N234">
        <v>16</v>
      </c>
      <c r="P234">
        <v>0</v>
      </c>
      <c r="Q234">
        <f>QtyRemaining*EstMfgMin/60</f>
        <v>0</v>
      </c>
      <c r="U234" t="e">
        <f t="shared" si="8"/>
        <v>#REF!</v>
      </c>
      <c r="V234" s="5" t="e">
        <f t="shared" si="9"/>
        <v>#REF!</v>
      </c>
    </row>
    <row r="235" spans="1:22" x14ac:dyDescent="0.25">
      <c r="A235" s="2">
        <v>45000</v>
      </c>
      <c r="B235" s="2">
        <v>45001</v>
      </c>
      <c r="C235" t="s">
        <v>209</v>
      </c>
      <c r="D235">
        <v>11</v>
      </c>
      <c r="E235" t="s">
        <v>298</v>
      </c>
      <c r="F235" t="s">
        <v>283</v>
      </c>
      <c r="G235" t="s">
        <v>299</v>
      </c>
      <c r="H235" t="s">
        <v>300</v>
      </c>
      <c r="I235" t="s">
        <v>214</v>
      </c>
      <c r="J235" s="3" t="s">
        <v>439</v>
      </c>
      <c r="K235" t="s">
        <v>440</v>
      </c>
      <c r="L235" s="4">
        <v>4</v>
      </c>
      <c r="M235" s="4">
        <v>0</v>
      </c>
      <c r="N235">
        <v>4</v>
      </c>
      <c r="P235">
        <v>0</v>
      </c>
      <c r="Q235">
        <f>QtyRemaining*EstMfgMin/60</f>
        <v>0</v>
      </c>
      <c r="U235" t="e">
        <f t="shared" si="8"/>
        <v>#REF!</v>
      </c>
      <c r="V235" s="5" t="e">
        <f t="shared" si="9"/>
        <v>#REF!</v>
      </c>
    </row>
    <row r="236" spans="1:22" x14ac:dyDescent="0.25">
      <c r="A236" s="2">
        <v>45000</v>
      </c>
      <c r="B236" s="2">
        <v>45001</v>
      </c>
      <c r="C236" t="s">
        <v>209</v>
      </c>
      <c r="D236">
        <v>11</v>
      </c>
      <c r="E236" t="s">
        <v>298</v>
      </c>
      <c r="F236" t="s">
        <v>283</v>
      </c>
      <c r="G236" t="s">
        <v>299</v>
      </c>
      <c r="H236" t="s">
        <v>300</v>
      </c>
      <c r="I236" t="s">
        <v>214</v>
      </c>
      <c r="J236" s="3" t="s">
        <v>441</v>
      </c>
      <c r="K236" t="s">
        <v>440</v>
      </c>
      <c r="L236" s="4">
        <v>4</v>
      </c>
      <c r="M236" s="4">
        <v>0</v>
      </c>
      <c r="N236">
        <v>4</v>
      </c>
      <c r="P236">
        <v>0</v>
      </c>
      <c r="Q236">
        <f>QtyRemaining*EstMfgMin/60</f>
        <v>0</v>
      </c>
      <c r="U236" t="e">
        <f t="shared" si="8"/>
        <v>#REF!</v>
      </c>
      <c r="V236" s="5" t="e">
        <f t="shared" si="9"/>
        <v>#REF!</v>
      </c>
    </row>
    <row r="237" spans="1:22" x14ac:dyDescent="0.25">
      <c r="A237" s="2">
        <v>45000</v>
      </c>
      <c r="B237" s="2">
        <v>45001</v>
      </c>
      <c r="C237" t="s">
        <v>209</v>
      </c>
      <c r="D237">
        <v>11</v>
      </c>
      <c r="E237" t="s">
        <v>298</v>
      </c>
      <c r="F237" t="s">
        <v>283</v>
      </c>
      <c r="G237" t="s">
        <v>299</v>
      </c>
      <c r="H237" t="s">
        <v>300</v>
      </c>
      <c r="I237" t="s">
        <v>214</v>
      </c>
      <c r="J237" s="3" t="s">
        <v>442</v>
      </c>
      <c r="K237" t="s">
        <v>443</v>
      </c>
      <c r="L237" s="4">
        <v>42</v>
      </c>
      <c r="M237" s="4">
        <v>0</v>
      </c>
      <c r="N237">
        <v>42</v>
      </c>
      <c r="P237">
        <v>0</v>
      </c>
      <c r="Q237">
        <f>QtyRemaining*EstMfgMin/60</f>
        <v>0</v>
      </c>
      <c r="U237" t="e">
        <f t="shared" si="8"/>
        <v>#REF!</v>
      </c>
      <c r="V237" s="5" t="e">
        <f t="shared" si="9"/>
        <v>#REF!</v>
      </c>
    </row>
    <row r="238" spans="1:22" x14ac:dyDescent="0.25">
      <c r="A238" s="2">
        <v>45000</v>
      </c>
      <c r="B238" s="2">
        <v>45001</v>
      </c>
      <c r="C238" t="s">
        <v>209</v>
      </c>
      <c r="D238">
        <v>11</v>
      </c>
      <c r="E238" t="s">
        <v>298</v>
      </c>
      <c r="F238" t="s">
        <v>283</v>
      </c>
      <c r="G238" t="s">
        <v>299</v>
      </c>
      <c r="H238" t="s">
        <v>300</v>
      </c>
      <c r="I238" t="s">
        <v>214</v>
      </c>
      <c r="J238" s="3" t="s">
        <v>444</v>
      </c>
      <c r="K238" t="s">
        <v>325</v>
      </c>
      <c r="L238" s="4">
        <v>2</v>
      </c>
      <c r="M238" s="4">
        <v>0</v>
      </c>
      <c r="N238">
        <v>2</v>
      </c>
      <c r="P238">
        <v>0</v>
      </c>
      <c r="Q238">
        <f>QtyRemaining*EstMfgMin/60</f>
        <v>0</v>
      </c>
      <c r="U238" t="e">
        <f t="shared" si="8"/>
        <v>#REF!</v>
      </c>
      <c r="V238" s="5" t="e">
        <f t="shared" si="9"/>
        <v>#REF!</v>
      </c>
    </row>
    <row r="239" spans="1:22" x14ac:dyDescent="0.25">
      <c r="A239" s="2">
        <v>45000</v>
      </c>
      <c r="B239" s="2">
        <v>45001</v>
      </c>
      <c r="C239" t="s">
        <v>209</v>
      </c>
      <c r="D239">
        <v>11</v>
      </c>
      <c r="E239" t="s">
        <v>298</v>
      </c>
      <c r="F239" t="s">
        <v>283</v>
      </c>
      <c r="G239" t="s">
        <v>299</v>
      </c>
      <c r="H239" t="s">
        <v>300</v>
      </c>
      <c r="I239" t="s">
        <v>214</v>
      </c>
      <c r="J239" s="3" t="s">
        <v>445</v>
      </c>
      <c r="K239" t="s">
        <v>446</v>
      </c>
      <c r="L239" s="4">
        <v>2</v>
      </c>
      <c r="M239" s="4">
        <v>0</v>
      </c>
      <c r="N239">
        <v>2</v>
      </c>
      <c r="P239">
        <v>0</v>
      </c>
      <c r="Q239">
        <f>QtyRemaining*EstMfgMin/60</f>
        <v>0</v>
      </c>
      <c r="U239" t="e">
        <f t="shared" si="8"/>
        <v>#REF!</v>
      </c>
      <c r="V239" s="5" t="e">
        <f t="shared" si="9"/>
        <v>#REF!</v>
      </c>
    </row>
    <row r="240" spans="1:22" x14ac:dyDescent="0.25">
      <c r="A240" s="2">
        <v>45000</v>
      </c>
      <c r="B240" s="2">
        <v>45001</v>
      </c>
      <c r="C240" t="s">
        <v>209</v>
      </c>
      <c r="D240">
        <v>11</v>
      </c>
      <c r="E240" t="s">
        <v>298</v>
      </c>
      <c r="F240" t="s">
        <v>283</v>
      </c>
      <c r="G240" t="s">
        <v>299</v>
      </c>
      <c r="H240" t="s">
        <v>300</v>
      </c>
      <c r="I240" t="s">
        <v>214</v>
      </c>
      <c r="J240" s="3" t="s">
        <v>447</v>
      </c>
      <c r="K240" t="s">
        <v>448</v>
      </c>
      <c r="L240" s="4">
        <v>2</v>
      </c>
      <c r="M240" s="4">
        <v>0</v>
      </c>
      <c r="N240">
        <v>2</v>
      </c>
      <c r="P240">
        <v>0</v>
      </c>
      <c r="Q240">
        <f>QtyRemaining*EstMfgMin/60</f>
        <v>0</v>
      </c>
      <c r="U240" t="e">
        <f t="shared" si="8"/>
        <v>#REF!</v>
      </c>
      <c r="V240" s="5" t="e">
        <f t="shared" si="9"/>
        <v>#REF!</v>
      </c>
    </row>
    <row r="241" spans="1:22" x14ac:dyDescent="0.25">
      <c r="A241" s="2">
        <v>45000</v>
      </c>
      <c r="B241" s="2">
        <v>45001</v>
      </c>
      <c r="C241" t="s">
        <v>209</v>
      </c>
      <c r="D241">
        <v>11</v>
      </c>
      <c r="E241" t="s">
        <v>298</v>
      </c>
      <c r="F241" t="s">
        <v>283</v>
      </c>
      <c r="G241" t="s">
        <v>299</v>
      </c>
      <c r="H241" t="s">
        <v>300</v>
      </c>
      <c r="I241" t="s">
        <v>214</v>
      </c>
      <c r="J241" s="3" t="s">
        <v>449</v>
      </c>
      <c r="K241" t="s">
        <v>450</v>
      </c>
      <c r="L241" s="4">
        <v>2</v>
      </c>
      <c r="M241" s="4">
        <v>0</v>
      </c>
      <c r="N241">
        <v>2</v>
      </c>
      <c r="P241">
        <v>0</v>
      </c>
      <c r="Q241">
        <f>QtyRemaining*EstMfgMin/60</f>
        <v>0</v>
      </c>
      <c r="U241" t="e">
        <f t="shared" si="8"/>
        <v>#REF!</v>
      </c>
      <c r="V241" s="5" t="e">
        <f t="shared" si="9"/>
        <v>#REF!</v>
      </c>
    </row>
    <row r="242" spans="1:22" x14ac:dyDescent="0.25">
      <c r="A242" s="2">
        <v>45001</v>
      </c>
      <c r="B242" s="2">
        <v>45001</v>
      </c>
      <c r="C242" t="s">
        <v>209</v>
      </c>
      <c r="D242">
        <v>11</v>
      </c>
      <c r="E242" t="s">
        <v>298</v>
      </c>
      <c r="F242" t="s">
        <v>283</v>
      </c>
      <c r="G242" t="s">
        <v>299</v>
      </c>
      <c r="H242" t="s">
        <v>300</v>
      </c>
      <c r="I242" t="s">
        <v>214</v>
      </c>
      <c r="J242" s="3" t="s">
        <v>451</v>
      </c>
      <c r="K242" t="s">
        <v>452</v>
      </c>
      <c r="L242" s="4">
        <v>22</v>
      </c>
      <c r="M242" s="4">
        <v>0</v>
      </c>
      <c r="N242">
        <v>22</v>
      </c>
      <c r="P242">
        <v>0</v>
      </c>
      <c r="Q242">
        <f>QtyRemaining*EstMfgMin/60</f>
        <v>0</v>
      </c>
      <c r="U242" t="e">
        <f t="shared" si="8"/>
        <v>#REF!</v>
      </c>
      <c r="V242" s="5" t="e">
        <f t="shared" si="9"/>
        <v>#REF!</v>
      </c>
    </row>
    <row r="243" spans="1:22" x14ac:dyDescent="0.25">
      <c r="A243" s="2">
        <v>45127</v>
      </c>
      <c r="B243" s="2">
        <v>45127</v>
      </c>
      <c r="C243" t="s">
        <v>221</v>
      </c>
      <c r="D243">
        <v>29</v>
      </c>
      <c r="E243" t="s">
        <v>453</v>
      </c>
      <c r="F243" t="s">
        <v>211</v>
      </c>
      <c r="G243" t="s">
        <v>223</v>
      </c>
      <c r="H243" t="s">
        <v>454</v>
      </c>
      <c r="I243" t="s">
        <v>214</v>
      </c>
      <c r="J243" s="3" t="s">
        <v>455</v>
      </c>
      <c r="K243" t="s">
        <v>456</v>
      </c>
      <c r="L243" s="4">
        <v>1000</v>
      </c>
      <c r="M243" s="4">
        <v>847</v>
      </c>
      <c r="N243">
        <v>153</v>
      </c>
      <c r="O243" t="s">
        <v>457</v>
      </c>
      <c r="P243">
        <v>45</v>
      </c>
      <c r="Q243">
        <f>QtyRemaining*EstMfgMin/60</f>
        <v>114.75</v>
      </c>
      <c r="U243" t="e">
        <f t="shared" si="8"/>
        <v>#REF!</v>
      </c>
      <c r="V243" s="5" t="e">
        <f t="shared" si="9"/>
        <v>#REF!</v>
      </c>
    </row>
    <row r="244" spans="1:22" x14ac:dyDescent="0.25">
      <c r="A244" s="2">
        <v>45180</v>
      </c>
      <c r="B244" s="2">
        <v>45180</v>
      </c>
      <c r="C244" t="s">
        <v>209</v>
      </c>
      <c r="D244">
        <v>37</v>
      </c>
      <c r="E244" t="s">
        <v>458</v>
      </c>
      <c r="F244" t="s">
        <v>211</v>
      </c>
      <c r="G244" t="s">
        <v>459</v>
      </c>
      <c r="I244" t="s">
        <v>214</v>
      </c>
      <c r="J244" s="3" t="s">
        <v>324</v>
      </c>
      <c r="K244" t="s">
        <v>325</v>
      </c>
      <c r="L244" s="4">
        <v>1100</v>
      </c>
      <c r="M244" s="4">
        <v>0</v>
      </c>
      <c r="N244">
        <v>1100</v>
      </c>
      <c r="P244">
        <v>0</v>
      </c>
      <c r="Q244">
        <f>QtyRemaining*EstMfgMin/60</f>
        <v>0</v>
      </c>
      <c r="U244" t="e">
        <f t="shared" si="8"/>
        <v>#REF!</v>
      </c>
      <c r="V244" s="5" t="e">
        <f t="shared" si="9"/>
        <v>#REF!</v>
      </c>
    </row>
    <row r="245" spans="1:22" x14ac:dyDescent="0.25">
      <c r="A245" s="2">
        <v>45180</v>
      </c>
      <c r="B245" s="2">
        <v>45180</v>
      </c>
      <c r="C245" t="s">
        <v>209</v>
      </c>
      <c r="D245">
        <v>37</v>
      </c>
      <c r="E245" t="s">
        <v>458</v>
      </c>
      <c r="F245" t="s">
        <v>211</v>
      </c>
      <c r="G245" t="s">
        <v>459</v>
      </c>
      <c r="I245" t="s">
        <v>214</v>
      </c>
      <c r="J245" s="3" t="s">
        <v>330</v>
      </c>
      <c r="K245" t="s">
        <v>331</v>
      </c>
      <c r="L245" s="4">
        <v>500</v>
      </c>
      <c r="M245" s="4">
        <v>0</v>
      </c>
      <c r="N245">
        <v>500</v>
      </c>
      <c r="P245">
        <v>0</v>
      </c>
      <c r="Q245">
        <f>QtyRemaining*EstMfgMin/60</f>
        <v>0</v>
      </c>
      <c r="U245" t="e">
        <f t="shared" si="8"/>
        <v>#REF!</v>
      </c>
      <c r="V245" s="5" t="e">
        <f t="shared" si="9"/>
        <v>#REF!</v>
      </c>
    </row>
    <row r="246" spans="1:22" x14ac:dyDescent="0.25">
      <c r="A246" s="2">
        <v>45180</v>
      </c>
      <c r="B246" s="2">
        <v>45180</v>
      </c>
      <c r="C246" t="s">
        <v>209</v>
      </c>
      <c r="D246">
        <v>37</v>
      </c>
      <c r="E246" t="s">
        <v>458</v>
      </c>
      <c r="F246" t="s">
        <v>211</v>
      </c>
      <c r="G246" t="s">
        <v>459</v>
      </c>
      <c r="I246" t="s">
        <v>214</v>
      </c>
      <c r="J246" s="3" t="s">
        <v>340</v>
      </c>
      <c r="K246" t="s">
        <v>313</v>
      </c>
      <c r="L246" s="4">
        <v>1000</v>
      </c>
      <c r="M246" s="4">
        <v>0</v>
      </c>
      <c r="N246">
        <v>1000</v>
      </c>
      <c r="P246">
        <v>0</v>
      </c>
      <c r="Q246">
        <f>QtyRemaining*EstMfgMin/60</f>
        <v>0</v>
      </c>
      <c r="U246" t="e">
        <f t="shared" si="8"/>
        <v>#REF!</v>
      </c>
      <c r="V246" s="5" t="e">
        <f t="shared" si="9"/>
        <v>#REF!</v>
      </c>
    </row>
    <row r="247" spans="1:22" x14ac:dyDescent="0.25">
      <c r="A247" s="2">
        <v>45180</v>
      </c>
      <c r="B247" s="2">
        <v>45180</v>
      </c>
      <c r="C247" t="s">
        <v>209</v>
      </c>
      <c r="D247">
        <v>37</v>
      </c>
      <c r="E247" t="s">
        <v>458</v>
      </c>
      <c r="F247" t="s">
        <v>211</v>
      </c>
      <c r="G247" t="s">
        <v>459</v>
      </c>
      <c r="I247" t="s">
        <v>214</v>
      </c>
      <c r="J247" s="3" t="s">
        <v>451</v>
      </c>
      <c r="K247" t="s">
        <v>452</v>
      </c>
      <c r="L247" s="4">
        <v>6000</v>
      </c>
      <c r="M247" s="4">
        <v>0</v>
      </c>
      <c r="N247">
        <v>6000</v>
      </c>
      <c r="P247">
        <v>0</v>
      </c>
      <c r="Q247">
        <f>QtyRemaining*EstMfgMin/60</f>
        <v>0</v>
      </c>
      <c r="U247" t="e">
        <f t="shared" si="8"/>
        <v>#REF!</v>
      </c>
      <c r="V247" s="5" t="e">
        <f t="shared" si="9"/>
        <v>#REF!</v>
      </c>
    </row>
    <row r="248" spans="1:22" x14ac:dyDescent="0.25">
      <c r="A248" s="2">
        <v>45180</v>
      </c>
      <c r="B248" s="2">
        <v>45180</v>
      </c>
      <c r="C248" t="s">
        <v>209</v>
      </c>
      <c r="D248">
        <v>37</v>
      </c>
      <c r="E248" t="s">
        <v>458</v>
      </c>
      <c r="F248" t="s">
        <v>211</v>
      </c>
      <c r="G248" t="s">
        <v>459</v>
      </c>
      <c r="I248" t="s">
        <v>214</v>
      </c>
      <c r="J248" s="3" t="s">
        <v>351</v>
      </c>
      <c r="K248" t="s">
        <v>352</v>
      </c>
      <c r="L248" s="4">
        <v>14500</v>
      </c>
      <c r="M248" s="4">
        <v>0</v>
      </c>
      <c r="N248">
        <v>14500</v>
      </c>
      <c r="P248">
        <v>0</v>
      </c>
      <c r="Q248">
        <f>QtyRemaining*EstMfgMin/60</f>
        <v>0</v>
      </c>
      <c r="U248" t="e">
        <f t="shared" si="8"/>
        <v>#REF!</v>
      </c>
      <c r="V248" s="5" t="e">
        <f t="shared" si="9"/>
        <v>#REF!</v>
      </c>
    </row>
    <row r="249" spans="1:22" x14ac:dyDescent="0.25">
      <c r="A249" s="2">
        <v>45180</v>
      </c>
      <c r="B249" s="2">
        <v>45180</v>
      </c>
      <c r="C249" t="s">
        <v>209</v>
      </c>
      <c r="D249">
        <v>37</v>
      </c>
      <c r="E249" t="s">
        <v>458</v>
      </c>
      <c r="F249" t="s">
        <v>211</v>
      </c>
      <c r="G249" t="s">
        <v>459</v>
      </c>
      <c r="I249" t="s">
        <v>214</v>
      </c>
      <c r="J249" s="3" t="s">
        <v>380</v>
      </c>
      <c r="K249" t="s">
        <v>313</v>
      </c>
      <c r="L249" s="4">
        <v>500</v>
      </c>
      <c r="M249" s="4">
        <v>0</v>
      </c>
      <c r="N249">
        <v>500</v>
      </c>
      <c r="P249">
        <v>0</v>
      </c>
      <c r="Q249">
        <f>QtyRemaining*EstMfgMin/60</f>
        <v>0</v>
      </c>
      <c r="U249" t="e">
        <f t="shared" si="8"/>
        <v>#REF!</v>
      </c>
      <c r="V249" s="5" t="e">
        <f t="shared" si="9"/>
        <v>#REF!</v>
      </c>
    </row>
    <row r="250" spans="1:22" x14ac:dyDescent="0.25">
      <c r="A250" s="2">
        <v>45180</v>
      </c>
      <c r="B250" s="2">
        <v>45180</v>
      </c>
      <c r="C250" t="s">
        <v>209</v>
      </c>
      <c r="D250">
        <v>37</v>
      </c>
      <c r="E250" t="s">
        <v>458</v>
      </c>
      <c r="F250" t="s">
        <v>211</v>
      </c>
      <c r="G250" t="s">
        <v>459</v>
      </c>
      <c r="I250" t="s">
        <v>214</v>
      </c>
      <c r="J250" s="3" t="s">
        <v>381</v>
      </c>
      <c r="K250" t="s">
        <v>313</v>
      </c>
      <c r="L250" s="4">
        <v>500</v>
      </c>
      <c r="M250" s="4">
        <v>0</v>
      </c>
      <c r="N250">
        <v>500</v>
      </c>
      <c r="P250">
        <v>0</v>
      </c>
      <c r="Q250">
        <f>QtyRemaining*EstMfgMin/60</f>
        <v>0</v>
      </c>
      <c r="U250" t="e">
        <f t="shared" si="8"/>
        <v>#REF!</v>
      </c>
      <c r="V250" s="5" t="e">
        <f t="shared" si="9"/>
        <v>#REF!</v>
      </c>
    </row>
    <row r="251" spans="1:22" x14ac:dyDescent="0.25">
      <c r="A251" s="2">
        <v>45180</v>
      </c>
      <c r="B251" s="2">
        <v>45180</v>
      </c>
      <c r="C251" t="s">
        <v>209</v>
      </c>
      <c r="D251">
        <v>37</v>
      </c>
      <c r="E251" t="s">
        <v>458</v>
      </c>
      <c r="F251" t="s">
        <v>211</v>
      </c>
      <c r="G251" t="s">
        <v>459</v>
      </c>
      <c r="I251" t="s">
        <v>291</v>
      </c>
      <c r="J251" s="3" t="s">
        <v>389</v>
      </c>
      <c r="K251" t="s">
        <v>390</v>
      </c>
      <c r="L251" s="4">
        <v>10000</v>
      </c>
      <c r="M251" s="4">
        <v>0</v>
      </c>
      <c r="N251">
        <v>10000</v>
      </c>
      <c r="P251">
        <v>0</v>
      </c>
      <c r="Q251">
        <f>QtyRemaining*EstMfgMin/60</f>
        <v>0</v>
      </c>
      <c r="U251" t="e">
        <f t="shared" si="8"/>
        <v>#REF!</v>
      </c>
      <c r="V251" s="5" t="e">
        <f t="shared" si="9"/>
        <v>#REF!</v>
      </c>
    </row>
    <row r="252" spans="1:22" x14ac:dyDescent="0.25">
      <c r="A252" s="2">
        <v>45180</v>
      </c>
      <c r="B252" s="2">
        <v>45180</v>
      </c>
      <c r="C252" t="s">
        <v>209</v>
      </c>
      <c r="D252">
        <v>37</v>
      </c>
      <c r="E252" t="s">
        <v>458</v>
      </c>
      <c r="F252" t="s">
        <v>211</v>
      </c>
      <c r="G252" t="s">
        <v>459</v>
      </c>
      <c r="I252" t="s">
        <v>291</v>
      </c>
      <c r="J252" s="3" t="s">
        <v>391</v>
      </c>
      <c r="K252" t="s">
        <v>392</v>
      </c>
      <c r="L252" s="4">
        <v>2000</v>
      </c>
      <c r="M252" s="4">
        <v>0</v>
      </c>
      <c r="N252">
        <v>2000</v>
      </c>
      <c r="P252">
        <v>0</v>
      </c>
      <c r="Q252">
        <f>QtyRemaining*EstMfgMin/60</f>
        <v>0</v>
      </c>
      <c r="U252" t="e">
        <f t="shared" si="8"/>
        <v>#REF!</v>
      </c>
      <c r="V252" s="5" t="e">
        <f t="shared" si="9"/>
        <v>#REF!</v>
      </c>
    </row>
    <row r="253" spans="1:22" x14ac:dyDescent="0.25">
      <c r="A253" s="2">
        <v>45180</v>
      </c>
      <c r="B253" s="2">
        <v>45180</v>
      </c>
      <c r="C253" t="s">
        <v>209</v>
      </c>
      <c r="D253">
        <v>37</v>
      </c>
      <c r="E253" t="s">
        <v>458</v>
      </c>
      <c r="F253" t="s">
        <v>211</v>
      </c>
      <c r="G253" t="s">
        <v>459</v>
      </c>
      <c r="I253" t="s">
        <v>291</v>
      </c>
      <c r="J253" s="3" t="s">
        <v>405</v>
      </c>
      <c r="K253" t="s">
        <v>406</v>
      </c>
      <c r="L253" s="4">
        <v>9262</v>
      </c>
      <c r="M253" s="4">
        <v>0</v>
      </c>
      <c r="N253">
        <v>9262</v>
      </c>
      <c r="P253">
        <v>0</v>
      </c>
      <c r="Q253">
        <f>QtyRemaining*EstMfgMin/60</f>
        <v>0</v>
      </c>
      <c r="U253" t="e">
        <f t="shared" si="8"/>
        <v>#REF!</v>
      </c>
      <c r="V253" s="5" t="e">
        <f t="shared" si="9"/>
        <v>#REF!</v>
      </c>
    </row>
    <row r="254" spans="1:22" x14ac:dyDescent="0.25">
      <c r="A254" s="2">
        <v>45180</v>
      </c>
      <c r="B254" s="2">
        <v>45180</v>
      </c>
      <c r="C254" t="s">
        <v>209</v>
      </c>
      <c r="D254">
        <v>37</v>
      </c>
      <c r="E254" t="s">
        <v>458</v>
      </c>
      <c r="F254" t="s">
        <v>211</v>
      </c>
      <c r="G254" t="s">
        <v>459</v>
      </c>
      <c r="I254" t="s">
        <v>291</v>
      </c>
      <c r="J254" s="3" t="s">
        <v>460</v>
      </c>
      <c r="K254" t="s">
        <v>461</v>
      </c>
      <c r="L254" s="4">
        <v>500</v>
      </c>
      <c r="M254" s="4">
        <v>0</v>
      </c>
      <c r="N254">
        <v>500</v>
      </c>
      <c r="P254">
        <v>0</v>
      </c>
      <c r="Q254">
        <f>QtyRemaining*EstMfgMin/60</f>
        <v>0</v>
      </c>
      <c r="U254" t="e">
        <f t="shared" si="8"/>
        <v>#REF!</v>
      </c>
      <c r="V254" s="5" t="e">
        <f t="shared" si="9"/>
        <v>#REF!</v>
      </c>
    </row>
    <row r="255" spans="1:22" x14ac:dyDescent="0.25">
      <c r="A255" s="2">
        <v>45180</v>
      </c>
      <c r="B255" s="2">
        <v>45180</v>
      </c>
      <c r="C255" t="s">
        <v>209</v>
      </c>
      <c r="D255">
        <v>37</v>
      </c>
      <c r="E255" t="s">
        <v>458</v>
      </c>
      <c r="F255" t="s">
        <v>211</v>
      </c>
      <c r="G255" t="s">
        <v>459</v>
      </c>
      <c r="I255" t="s">
        <v>214</v>
      </c>
      <c r="J255" s="3" t="s">
        <v>422</v>
      </c>
      <c r="K255" t="s">
        <v>329</v>
      </c>
      <c r="L255" s="4">
        <v>1000</v>
      </c>
      <c r="M255" s="4">
        <v>0</v>
      </c>
      <c r="N255">
        <v>1000</v>
      </c>
      <c r="P255">
        <v>0</v>
      </c>
      <c r="Q255">
        <f>QtyRemaining*EstMfgMin/60</f>
        <v>0</v>
      </c>
      <c r="U255" t="e">
        <f t="shared" si="8"/>
        <v>#REF!</v>
      </c>
      <c r="V255" s="5" t="e">
        <f t="shared" si="9"/>
        <v>#REF!</v>
      </c>
    </row>
    <row r="256" spans="1:22" x14ac:dyDescent="0.25">
      <c r="A256" s="2">
        <v>45180</v>
      </c>
      <c r="B256" s="2">
        <v>45180</v>
      </c>
      <c r="C256" t="s">
        <v>209</v>
      </c>
      <c r="D256">
        <v>37</v>
      </c>
      <c r="E256" t="s">
        <v>458</v>
      </c>
      <c r="F256" t="s">
        <v>211</v>
      </c>
      <c r="G256" t="s">
        <v>459</v>
      </c>
      <c r="I256" t="s">
        <v>214</v>
      </c>
      <c r="J256" s="3" t="s">
        <v>423</v>
      </c>
      <c r="K256" t="s">
        <v>329</v>
      </c>
      <c r="L256" s="4">
        <v>1000</v>
      </c>
      <c r="M256" s="4">
        <v>0</v>
      </c>
      <c r="N256">
        <v>1000</v>
      </c>
      <c r="P256">
        <v>0</v>
      </c>
      <c r="Q256">
        <f>QtyRemaining*EstMfgMin/60</f>
        <v>0</v>
      </c>
      <c r="U256" t="e">
        <f t="shared" si="8"/>
        <v>#REF!</v>
      </c>
      <c r="V256" s="5" t="e">
        <f t="shared" si="9"/>
        <v>#REF!</v>
      </c>
    </row>
    <row r="257" spans="1:22" x14ac:dyDescent="0.25">
      <c r="A257" s="2">
        <v>45180</v>
      </c>
      <c r="B257" s="2">
        <v>45180</v>
      </c>
      <c r="C257" t="s">
        <v>209</v>
      </c>
      <c r="D257">
        <v>37</v>
      </c>
      <c r="E257" t="s">
        <v>458</v>
      </c>
      <c r="F257" t="s">
        <v>211</v>
      </c>
      <c r="G257" t="s">
        <v>459</v>
      </c>
      <c r="I257" t="s">
        <v>214</v>
      </c>
      <c r="J257" s="3" t="s">
        <v>462</v>
      </c>
      <c r="K257" t="s">
        <v>463</v>
      </c>
      <c r="L257" s="4">
        <v>200</v>
      </c>
      <c r="M257" s="4">
        <v>0</v>
      </c>
      <c r="N257">
        <v>200</v>
      </c>
      <c r="P257">
        <v>0</v>
      </c>
      <c r="Q257">
        <f>QtyRemaining*EstMfgMin/60</f>
        <v>0</v>
      </c>
      <c r="U257" t="e">
        <f t="shared" si="8"/>
        <v>#REF!</v>
      </c>
      <c r="V257" s="5" t="e">
        <f t="shared" si="9"/>
        <v>#REF!</v>
      </c>
    </row>
    <row r="258" spans="1:22" x14ac:dyDescent="0.25">
      <c r="A258" s="2">
        <v>45180</v>
      </c>
      <c r="B258" s="2">
        <v>45180</v>
      </c>
      <c r="C258" t="s">
        <v>209</v>
      </c>
      <c r="D258">
        <v>37</v>
      </c>
      <c r="E258" t="s">
        <v>458</v>
      </c>
      <c r="F258" t="s">
        <v>211</v>
      </c>
      <c r="G258" t="s">
        <v>459</v>
      </c>
      <c r="I258" t="s">
        <v>291</v>
      </c>
      <c r="J258" s="3" t="s">
        <v>425</v>
      </c>
      <c r="K258" t="s">
        <v>426</v>
      </c>
      <c r="L258" s="4">
        <v>500</v>
      </c>
      <c r="M258" s="4">
        <v>0</v>
      </c>
      <c r="N258">
        <v>500</v>
      </c>
      <c r="P258">
        <v>0</v>
      </c>
      <c r="Q258">
        <f>QtyRemaining*EstMfgMin/60</f>
        <v>0</v>
      </c>
      <c r="U258" t="e">
        <f t="shared" si="8"/>
        <v>#REF!</v>
      </c>
      <c r="V258" s="5" t="e">
        <f t="shared" si="9"/>
        <v>#REF!</v>
      </c>
    </row>
    <row r="259" spans="1:22" x14ac:dyDescent="0.25">
      <c r="A259" s="2">
        <v>45180</v>
      </c>
      <c r="B259" s="2">
        <v>45180</v>
      </c>
      <c r="C259" t="s">
        <v>209</v>
      </c>
      <c r="D259">
        <v>37</v>
      </c>
      <c r="E259" t="s">
        <v>458</v>
      </c>
      <c r="F259" t="s">
        <v>211</v>
      </c>
      <c r="G259" t="s">
        <v>459</v>
      </c>
      <c r="I259" t="s">
        <v>291</v>
      </c>
      <c r="J259" s="3" t="s">
        <v>464</v>
      </c>
      <c r="K259" t="s">
        <v>443</v>
      </c>
      <c r="L259" s="4">
        <v>500</v>
      </c>
      <c r="M259" s="4">
        <v>0</v>
      </c>
      <c r="N259">
        <v>500</v>
      </c>
      <c r="P259">
        <v>0</v>
      </c>
      <c r="Q259">
        <f>QtyRemaining*EstMfgMin/60</f>
        <v>0</v>
      </c>
      <c r="U259" t="e">
        <f t="shared" ref="U259:U322" si="10">VLOOKUP(A259,Calendar,13,FALSE)</f>
        <v>#REF!</v>
      </c>
      <c r="V259" s="5" t="e">
        <f t="shared" ref="V259:V322" si="11">VLOOKUP(A259,Calendar,14,FALSE)</f>
        <v>#REF!</v>
      </c>
    </row>
    <row r="260" spans="1:22" x14ac:dyDescent="0.25">
      <c r="A260" s="2">
        <v>45197</v>
      </c>
      <c r="B260" s="2">
        <v>45197</v>
      </c>
      <c r="C260" t="s">
        <v>465</v>
      </c>
      <c r="D260">
        <v>39</v>
      </c>
      <c r="E260" t="s">
        <v>466</v>
      </c>
      <c r="F260" t="s">
        <v>211</v>
      </c>
      <c r="G260" t="s">
        <v>467</v>
      </c>
      <c r="I260" t="s">
        <v>214</v>
      </c>
      <c r="J260" s="3" t="s">
        <v>468</v>
      </c>
      <c r="K260" t="s">
        <v>469</v>
      </c>
      <c r="L260" s="4">
        <v>1</v>
      </c>
      <c r="M260" s="4">
        <v>0</v>
      </c>
      <c r="N260">
        <v>1</v>
      </c>
      <c r="P260">
        <v>70</v>
      </c>
      <c r="Q260">
        <f>QtyRemaining*EstMfgMin/60</f>
        <v>1.1666666666666667</v>
      </c>
      <c r="U260" t="e">
        <f t="shared" si="10"/>
        <v>#REF!</v>
      </c>
      <c r="V260" s="5" t="e">
        <f t="shared" si="11"/>
        <v>#REF!</v>
      </c>
    </row>
    <row r="261" spans="1:22" x14ac:dyDescent="0.25">
      <c r="A261" s="2">
        <v>45231</v>
      </c>
      <c r="B261" s="2">
        <v>45231</v>
      </c>
      <c r="C261" t="s">
        <v>209</v>
      </c>
      <c r="D261">
        <v>44</v>
      </c>
      <c r="E261" t="s">
        <v>470</v>
      </c>
      <c r="F261" t="s">
        <v>211</v>
      </c>
      <c r="G261" t="s">
        <v>459</v>
      </c>
      <c r="I261" t="s">
        <v>214</v>
      </c>
      <c r="J261" s="3" t="s">
        <v>389</v>
      </c>
      <c r="K261" t="s">
        <v>390</v>
      </c>
      <c r="L261" s="4">
        <v>2000</v>
      </c>
      <c r="M261" s="4">
        <v>0</v>
      </c>
      <c r="N261">
        <v>2000</v>
      </c>
      <c r="P261">
        <v>0</v>
      </c>
      <c r="Q261">
        <f>QtyRemaining*EstMfgMin/60</f>
        <v>0</v>
      </c>
      <c r="U261" t="e">
        <f t="shared" si="10"/>
        <v>#REF!</v>
      </c>
      <c r="V261" s="5" t="e">
        <f t="shared" si="11"/>
        <v>#REF!</v>
      </c>
    </row>
    <row r="262" spans="1:22" x14ac:dyDescent="0.25">
      <c r="A262" s="2">
        <v>45231</v>
      </c>
      <c r="B262" s="2">
        <v>45231</v>
      </c>
      <c r="C262" t="s">
        <v>209</v>
      </c>
      <c r="D262">
        <v>44</v>
      </c>
      <c r="E262" t="s">
        <v>470</v>
      </c>
      <c r="F262" t="s">
        <v>211</v>
      </c>
      <c r="G262" t="s">
        <v>459</v>
      </c>
      <c r="I262" t="s">
        <v>214</v>
      </c>
      <c r="J262" s="3" t="s">
        <v>391</v>
      </c>
      <c r="K262" t="s">
        <v>392</v>
      </c>
      <c r="L262" s="4">
        <v>1000</v>
      </c>
      <c r="M262" s="4">
        <v>0</v>
      </c>
      <c r="N262">
        <v>1000</v>
      </c>
      <c r="P262">
        <v>0</v>
      </c>
      <c r="Q262">
        <f>QtyRemaining*EstMfgMin/60</f>
        <v>0</v>
      </c>
      <c r="U262" t="e">
        <f t="shared" si="10"/>
        <v>#REF!</v>
      </c>
      <c r="V262" s="5" t="e">
        <f t="shared" si="11"/>
        <v>#REF!</v>
      </c>
    </row>
    <row r="263" spans="1:22" x14ac:dyDescent="0.25">
      <c r="A263" s="2">
        <v>45231</v>
      </c>
      <c r="B263" s="2">
        <v>45231</v>
      </c>
      <c r="C263" t="s">
        <v>209</v>
      </c>
      <c r="D263">
        <v>44</v>
      </c>
      <c r="E263" t="s">
        <v>470</v>
      </c>
      <c r="F263" t="s">
        <v>211</v>
      </c>
      <c r="G263" t="s">
        <v>459</v>
      </c>
      <c r="I263" t="s">
        <v>214</v>
      </c>
      <c r="J263" s="3" t="s">
        <v>405</v>
      </c>
      <c r="K263" t="s">
        <v>406</v>
      </c>
      <c r="L263" s="4">
        <v>1000</v>
      </c>
      <c r="M263" s="4">
        <v>0</v>
      </c>
      <c r="N263">
        <v>1000</v>
      </c>
      <c r="P263">
        <v>0</v>
      </c>
      <c r="Q263">
        <f>QtyRemaining*EstMfgMin/60</f>
        <v>0</v>
      </c>
      <c r="U263" t="e">
        <f t="shared" si="10"/>
        <v>#REF!</v>
      </c>
      <c r="V263" s="5" t="e">
        <f t="shared" si="11"/>
        <v>#REF!</v>
      </c>
    </row>
    <row r="264" spans="1:22" x14ac:dyDescent="0.25">
      <c r="A264" s="2">
        <v>45231</v>
      </c>
      <c r="B264" s="2">
        <v>45231</v>
      </c>
      <c r="C264" t="s">
        <v>209</v>
      </c>
      <c r="D264">
        <v>44</v>
      </c>
      <c r="E264" t="s">
        <v>470</v>
      </c>
      <c r="F264" t="s">
        <v>211</v>
      </c>
      <c r="G264" t="s">
        <v>459</v>
      </c>
      <c r="I264" t="s">
        <v>214</v>
      </c>
      <c r="J264" s="3" t="s">
        <v>471</v>
      </c>
      <c r="K264" t="s">
        <v>472</v>
      </c>
      <c r="L264" s="4">
        <v>1000</v>
      </c>
      <c r="M264" s="4">
        <v>0</v>
      </c>
      <c r="N264">
        <v>1000</v>
      </c>
      <c r="P264">
        <v>0</v>
      </c>
      <c r="Q264">
        <f>QtyRemaining*EstMfgMin/60</f>
        <v>0</v>
      </c>
      <c r="U264" t="e">
        <f t="shared" si="10"/>
        <v>#REF!</v>
      </c>
      <c r="V264" s="5" t="e">
        <f t="shared" si="11"/>
        <v>#REF!</v>
      </c>
    </row>
    <row r="265" spans="1:22" x14ac:dyDescent="0.25">
      <c r="A265" s="2">
        <v>45231</v>
      </c>
      <c r="B265" s="2">
        <v>45231</v>
      </c>
      <c r="C265" t="s">
        <v>209</v>
      </c>
      <c r="D265">
        <v>44</v>
      </c>
      <c r="E265" t="s">
        <v>470</v>
      </c>
      <c r="F265" t="s">
        <v>211</v>
      </c>
      <c r="G265" t="s">
        <v>459</v>
      </c>
      <c r="I265" t="s">
        <v>214</v>
      </c>
      <c r="J265" s="3" t="s">
        <v>473</v>
      </c>
      <c r="K265" t="s">
        <v>325</v>
      </c>
      <c r="L265" s="4">
        <v>3</v>
      </c>
      <c r="M265" s="4">
        <v>0</v>
      </c>
      <c r="N265">
        <v>3</v>
      </c>
      <c r="P265">
        <v>0</v>
      </c>
      <c r="Q265">
        <f>QtyRemaining*EstMfgMin/60</f>
        <v>0</v>
      </c>
      <c r="U265" t="e">
        <f t="shared" si="10"/>
        <v>#REF!</v>
      </c>
      <c r="V265" s="5" t="e">
        <f t="shared" si="11"/>
        <v>#REF!</v>
      </c>
    </row>
    <row r="266" spans="1:22" x14ac:dyDescent="0.25">
      <c r="A266" s="2">
        <v>45231</v>
      </c>
      <c r="B266" s="2">
        <v>45231</v>
      </c>
      <c r="C266" t="s">
        <v>209</v>
      </c>
      <c r="D266">
        <v>44</v>
      </c>
      <c r="E266" t="s">
        <v>470</v>
      </c>
      <c r="F266" t="s">
        <v>211</v>
      </c>
      <c r="G266" t="s">
        <v>459</v>
      </c>
      <c r="I266" t="s">
        <v>214</v>
      </c>
      <c r="J266" s="3" t="s">
        <v>464</v>
      </c>
      <c r="K266" t="s">
        <v>443</v>
      </c>
      <c r="L266" s="4">
        <v>1000</v>
      </c>
      <c r="M266" s="4">
        <v>0</v>
      </c>
      <c r="N266">
        <v>1000</v>
      </c>
      <c r="P266">
        <v>0</v>
      </c>
      <c r="Q266">
        <f>QtyRemaining*EstMfgMin/60</f>
        <v>0</v>
      </c>
      <c r="U266" t="e">
        <f t="shared" si="10"/>
        <v>#REF!</v>
      </c>
      <c r="V266" s="5" t="e">
        <f t="shared" si="11"/>
        <v>#REF!</v>
      </c>
    </row>
    <row r="267" spans="1:22" x14ac:dyDescent="0.25">
      <c r="A267" s="2">
        <v>45310</v>
      </c>
      <c r="B267" s="2">
        <v>45265</v>
      </c>
      <c r="C267" t="s">
        <v>465</v>
      </c>
      <c r="D267">
        <v>3</v>
      </c>
      <c r="E267" t="s">
        <v>474</v>
      </c>
      <c r="F267" t="s">
        <v>211</v>
      </c>
      <c r="G267" t="s">
        <v>467</v>
      </c>
      <c r="H267" t="s">
        <v>475</v>
      </c>
      <c r="I267" t="s">
        <v>214</v>
      </c>
      <c r="J267" s="3" t="s">
        <v>476</v>
      </c>
      <c r="K267" t="s">
        <v>477</v>
      </c>
      <c r="L267" s="4">
        <v>1</v>
      </c>
      <c r="M267" s="4">
        <v>0</v>
      </c>
      <c r="N267">
        <v>1</v>
      </c>
      <c r="O267" t="s">
        <v>457</v>
      </c>
      <c r="P267">
        <v>227</v>
      </c>
      <c r="Q267">
        <f>QtyRemaining*EstMfgMin/60</f>
        <v>3.7833333333333332</v>
      </c>
      <c r="U267" t="e">
        <f t="shared" si="10"/>
        <v>#REF!</v>
      </c>
      <c r="V267" s="5" t="e">
        <f t="shared" si="11"/>
        <v>#REF!</v>
      </c>
    </row>
    <row r="268" spans="1:22" x14ac:dyDescent="0.25">
      <c r="A268" s="2">
        <v>45357</v>
      </c>
      <c r="B268" s="2">
        <v>45239</v>
      </c>
      <c r="C268" t="s">
        <v>478</v>
      </c>
      <c r="D268">
        <v>10</v>
      </c>
      <c r="E268" t="s">
        <v>479</v>
      </c>
      <c r="F268" t="s">
        <v>261</v>
      </c>
      <c r="G268" t="s">
        <v>262</v>
      </c>
      <c r="H268" t="s">
        <v>480</v>
      </c>
      <c r="I268" t="s">
        <v>45</v>
      </c>
      <c r="J268" s="3" t="s">
        <v>481</v>
      </c>
      <c r="K268" t="s">
        <v>482</v>
      </c>
      <c r="L268" s="4">
        <v>19</v>
      </c>
      <c r="M268" s="4">
        <v>0</v>
      </c>
      <c r="N268">
        <v>19</v>
      </c>
      <c r="P268">
        <v>51</v>
      </c>
      <c r="Q268">
        <f>QtyRemaining*EstMfgMin/60</f>
        <v>16.149999999999999</v>
      </c>
      <c r="R268" t="s">
        <v>483</v>
      </c>
      <c r="S268" t="s">
        <v>484</v>
      </c>
      <c r="U268" t="e">
        <f t="shared" si="10"/>
        <v>#REF!</v>
      </c>
      <c r="V268" s="5" t="e">
        <f t="shared" si="11"/>
        <v>#REF!</v>
      </c>
    </row>
    <row r="269" spans="1:22" x14ac:dyDescent="0.25">
      <c r="A269" s="2">
        <v>45406</v>
      </c>
      <c r="B269" s="2">
        <v>45142</v>
      </c>
      <c r="C269" t="s">
        <v>485</v>
      </c>
      <c r="D269">
        <v>17</v>
      </c>
      <c r="E269" t="s">
        <v>486</v>
      </c>
      <c r="F269" t="s">
        <v>211</v>
      </c>
      <c r="G269" t="s">
        <v>487</v>
      </c>
      <c r="H269" t="s">
        <v>488</v>
      </c>
      <c r="I269" t="s">
        <v>83</v>
      </c>
      <c r="J269" s="3" t="s">
        <v>489</v>
      </c>
      <c r="K269" t="s">
        <v>490</v>
      </c>
      <c r="L269" s="4">
        <v>40</v>
      </c>
      <c r="M269" s="4">
        <v>0</v>
      </c>
      <c r="N269">
        <v>40</v>
      </c>
      <c r="O269" t="s">
        <v>94</v>
      </c>
      <c r="P269">
        <v>56</v>
      </c>
      <c r="Q269">
        <f>QtyRemaining*EstMfgMin/60</f>
        <v>37.333333333333336</v>
      </c>
      <c r="U269" t="e">
        <f t="shared" si="10"/>
        <v>#REF!</v>
      </c>
      <c r="V269" s="5" t="e">
        <f t="shared" si="11"/>
        <v>#REF!</v>
      </c>
    </row>
    <row r="270" spans="1:22" x14ac:dyDescent="0.25">
      <c r="A270" s="2">
        <v>45555</v>
      </c>
      <c r="B270" s="2">
        <v>45378</v>
      </c>
      <c r="C270" t="s">
        <v>478</v>
      </c>
      <c r="D270">
        <v>38</v>
      </c>
      <c r="E270" t="s">
        <v>491</v>
      </c>
      <c r="F270" t="s">
        <v>261</v>
      </c>
      <c r="G270" t="s">
        <v>492</v>
      </c>
      <c r="H270" t="s">
        <v>493</v>
      </c>
      <c r="I270" t="s">
        <v>83</v>
      </c>
      <c r="J270" s="3" t="s">
        <v>494</v>
      </c>
      <c r="K270" t="s">
        <v>495</v>
      </c>
      <c r="L270" s="4">
        <v>450</v>
      </c>
      <c r="M270" s="4">
        <v>0</v>
      </c>
      <c r="N270">
        <v>450</v>
      </c>
      <c r="P270">
        <v>0</v>
      </c>
      <c r="Q270">
        <f>QtyRemaining*EstMfgMin/60</f>
        <v>0</v>
      </c>
      <c r="U270" t="e">
        <f t="shared" si="10"/>
        <v>#REF!</v>
      </c>
      <c r="V270" s="5" t="e">
        <f t="shared" si="11"/>
        <v>#REF!</v>
      </c>
    </row>
    <row r="271" spans="1:22" x14ac:dyDescent="0.25">
      <c r="A271" s="2">
        <v>45597</v>
      </c>
      <c r="B271" s="2">
        <v>45378</v>
      </c>
      <c r="C271" t="s">
        <v>478</v>
      </c>
      <c r="D271">
        <v>44</v>
      </c>
      <c r="E271" t="s">
        <v>491</v>
      </c>
      <c r="F271" t="s">
        <v>261</v>
      </c>
      <c r="G271" t="s">
        <v>492</v>
      </c>
      <c r="H271" t="s">
        <v>493</v>
      </c>
      <c r="I271" t="s">
        <v>83</v>
      </c>
      <c r="J271" s="3" t="s">
        <v>496</v>
      </c>
      <c r="K271" t="s">
        <v>497</v>
      </c>
      <c r="L271" s="4">
        <v>10</v>
      </c>
      <c r="M271" s="4">
        <v>0</v>
      </c>
      <c r="N271">
        <v>10</v>
      </c>
      <c r="O271" t="s">
        <v>118</v>
      </c>
      <c r="P271">
        <v>158</v>
      </c>
      <c r="Q271">
        <f>QtyRemaining*EstMfgMin/60</f>
        <v>26.333333333333332</v>
      </c>
      <c r="R271" t="s">
        <v>498</v>
      </c>
      <c r="S271" t="s">
        <v>499</v>
      </c>
      <c r="U271" t="e">
        <f t="shared" si="10"/>
        <v>#REF!</v>
      </c>
      <c r="V271" s="5" t="e">
        <f t="shared" si="11"/>
        <v>#REF!</v>
      </c>
    </row>
    <row r="272" spans="1:22" x14ac:dyDescent="0.25">
      <c r="A272" s="2">
        <v>45681</v>
      </c>
      <c r="B272" s="2">
        <v>46015</v>
      </c>
      <c r="C272" t="s">
        <v>485</v>
      </c>
      <c r="D272">
        <v>4</v>
      </c>
      <c r="E272" t="s">
        <v>500</v>
      </c>
      <c r="F272" t="s">
        <v>211</v>
      </c>
      <c r="G272" t="s">
        <v>501</v>
      </c>
      <c r="H272" t="s">
        <v>502</v>
      </c>
      <c r="I272" t="s">
        <v>214</v>
      </c>
      <c r="J272" s="3" t="s">
        <v>50</v>
      </c>
      <c r="K272" t="s">
        <v>503</v>
      </c>
      <c r="L272" s="4">
        <v>26</v>
      </c>
      <c r="M272" s="4">
        <v>0</v>
      </c>
      <c r="N272">
        <v>26</v>
      </c>
      <c r="P272">
        <v>5</v>
      </c>
      <c r="Q272">
        <f>QtyRemaining*EstMfgMin/60</f>
        <v>2.1666666666666665</v>
      </c>
      <c r="U272" t="e">
        <f t="shared" si="10"/>
        <v>#REF!</v>
      </c>
      <c r="V272" s="5" t="e">
        <f t="shared" si="11"/>
        <v>#REF!</v>
      </c>
    </row>
    <row r="273" spans="1:22" x14ac:dyDescent="0.25">
      <c r="A273" s="2">
        <v>45687</v>
      </c>
      <c r="B273" s="2">
        <v>45972</v>
      </c>
      <c r="C273" t="s">
        <v>485</v>
      </c>
      <c r="D273">
        <v>5</v>
      </c>
      <c r="E273" t="s">
        <v>504</v>
      </c>
      <c r="F273" t="s">
        <v>211</v>
      </c>
      <c r="G273" t="s">
        <v>487</v>
      </c>
      <c r="H273" t="s">
        <v>505</v>
      </c>
      <c r="I273" t="s">
        <v>83</v>
      </c>
      <c r="J273" s="3" t="s">
        <v>506</v>
      </c>
      <c r="K273" t="s">
        <v>507</v>
      </c>
      <c r="L273" s="4">
        <v>250</v>
      </c>
      <c r="M273" s="4">
        <v>0</v>
      </c>
      <c r="N273">
        <v>250</v>
      </c>
      <c r="O273" t="s">
        <v>508</v>
      </c>
      <c r="P273">
        <v>55</v>
      </c>
      <c r="Q273">
        <f>QtyRemaining*EstMfgMin/60</f>
        <v>229.16666666666666</v>
      </c>
      <c r="U273" t="e">
        <f t="shared" si="10"/>
        <v>#REF!</v>
      </c>
      <c r="V273" s="5" t="e">
        <f t="shared" si="11"/>
        <v>#REF!</v>
      </c>
    </row>
    <row r="274" spans="1:22" x14ac:dyDescent="0.25">
      <c r="A274" s="2">
        <v>45708</v>
      </c>
      <c r="B274" s="2">
        <v>45708</v>
      </c>
      <c r="C274" t="s">
        <v>478</v>
      </c>
      <c r="D274">
        <v>8</v>
      </c>
      <c r="E274" t="s">
        <v>509</v>
      </c>
      <c r="F274" t="s">
        <v>261</v>
      </c>
      <c r="G274" t="s">
        <v>510</v>
      </c>
      <c r="H274" t="s">
        <v>511</v>
      </c>
      <c r="I274" t="s">
        <v>122</v>
      </c>
      <c r="J274" s="3" t="s">
        <v>512</v>
      </c>
      <c r="K274" t="s">
        <v>513</v>
      </c>
      <c r="L274" s="4">
        <v>2</v>
      </c>
      <c r="M274" s="4">
        <v>1</v>
      </c>
      <c r="N274">
        <v>1</v>
      </c>
      <c r="O274" t="s">
        <v>514</v>
      </c>
      <c r="P274">
        <v>1394</v>
      </c>
      <c r="Q274">
        <f>QtyRemaining*EstMfgMin/60</f>
        <v>23.233333333333334</v>
      </c>
      <c r="U274" t="e">
        <f t="shared" si="10"/>
        <v>#REF!</v>
      </c>
      <c r="V274" s="5" t="e">
        <f t="shared" si="11"/>
        <v>#REF!</v>
      </c>
    </row>
    <row r="275" spans="1:22" x14ac:dyDescent="0.25">
      <c r="A275" s="2">
        <v>45713</v>
      </c>
      <c r="B275" s="2">
        <v>45713</v>
      </c>
      <c r="C275" t="s">
        <v>485</v>
      </c>
      <c r="D275">
        <v>9</v>
      </c>
      <c r="E275" t="s">
        <v>515</v>
      </c>
      <c r="F275" t="s">
        <v>211</v>
      </c>
      <c r="G275" t="s">
        <v>487</v>
      </c>
      <c r="H275" t="s">
        <v>516</v>
      </c>
      <c r="I275" t="s">
        <v>291</v>
      </c>
      <c r="J275" s="3" t="s">
        <v>494</v>
      </c>
      <c r="K275" t="s">
        <v>517</v>
      </c>
      <c r="L275" s="4">
        <v>1</v>
      </c>
      <c r="M275" s="4">
        <v>0</v>
      </c>
      <c r="N275">
        <v>1</v>
      </c>
      <c r="P275">
        <v>0</v>
      </c>
      <c r="Q275">
        <f>QtyRemaining*EstMfgMin/60</f>
        <v>0</v>
      </c>
      <c r="U275" t="e">
        <f t="shared" si="10"/>
        <v>#REF!</v>
      </c>
      <c r="V275" s="5" t="e">
        <f t="shared" si="11"/>
        <v>#REF!</v>
      </c>
    </row>
    <row r="276" spans="1:22" x14ac:dyDescent="0.25">
      <c r="A276" s="2">
        <v>45716</v>
      </c>
      <c r="B276" s="2">
        <v>45630</v>
      </c>
      <c r="C276" t="s">
        <v>221</v>
      </c>
      <c r="D276">
        <v>9</v>
      </c>
      <c r="E276" t="s">
        <v>518</v>
      </c>
      <c r="F276" t="s">
        <v>211</v>
      </c>
      <c r="G276" t="s">
        <v>519</v>
      </c>
      <c r="H276" t="s">
        <v>520</v>
      </c>
      <c r="I276" t="s">
        <v>83</v>
      </c>
      <c r="J276" s="3" t="s">
        <v>521</v>
      </c>
      <c r="K276" t="s">
        <v>522</v>
      </c>
      <c r="L276" s="4">
        <v>1</v>
      </c>
      <c r="M276" s="4">
        <v>0</v>
      </c>
      <c r="N276">
        <v>1</v>
      </c>
      <c r="O276" t="s">
        <v>118</v>
      </c>
      <c r="P276">
        <v>0</v>
      </c>
      <c r="Q276">
        <f>QtyRemaining*EstMfgMin/60</f>
        <v>0</v>
      </c>
      <c r="U276" t="e">
        <f t="shared" si="10"/>
        <v>#REF!</v>
      </c>
      <c r="V276" s="5" t="e">
        <f t="shared" si="11"/>
        <v>#REF!</v>
      </c>
    </row>
    <row r="277" spans="1:22" x14ac:dyDescent="0.25">
      <c r="A277" s="2">
        <v>45723</v>
      </c>
      <c r="B277" s="2">
        <v>45700</v>
      </c>
      <c r="C277" t="s">
        <v>523</v>
      </c>
      <c r="D277">
        <v>10</v>
      </c>
      <c r="E277" t="s">
        <v>524</v>
      </c>
      <c r="F277" t="s">
        <v>261</v>
      </c>
      <c r="G277" t="s">
        <v>525</v>
      </c>
      <c r="H277" t="s">
        <v>526</v>
      </c>
      <c r="I277" t="s">
        <v>83</v>
      </c>
      <c r="J277" s="3" t="s">
        <v>494</v>
      </c>
      <c r="K277" t="s">
        <v>527</v>
      </c>
      <c r="L277" s="4">
        <v>1</v>
      </c>
      <c r="M277" s="4">
        <v>0</v>
      </c>
      <c r="N277">
        <v>1</v>
      </c>
      <c r="P277">
        <v>0</v>
      </c>
      <c r="Q277">
        <f>QtyRemaining*EstMfgMin/60</f>
        <v>0</v>
      </c>
      <c r="U277" t="e">
        <f t="shared" si="10"/>
        <v>#REF!</v>
      </c>
      <c r="V277" s="5" t="e">
        <f t="shared" si="11"/>
        <v>#REF!</v>
      </c>
    </row>
    <row r="278" spans="1:22" x14ac:dyDescent="0.25">
      <c r="A278" s="2">
        <v>45741</v>
      </c>
      <c r="B278" s="2">
        <v>45142</v>
      </c>
      <c r="C278" t="s">
        <v>485</v>
      </c>
      <c r="D278">
        <v>13</v>
      </c>
      <c r="E278" t="s">
        <v>486</v>
      </c>
      <c r="F278" t="s">
        <v>211</v>
      </c>
      <c r="G278" t="s">
        <v>487</v>
      </c>
      <c r="H278" t="s">
        <v>488</v>
      </c>
      <c r="I278" t="s">
        <v>83</v>
      </c>
      <c r="J278" s="3" t="s">
        <v>489</v>
      </c>
      <c r="K278" t="s">
        <v>490</v>
      </c>
      <c r="L278" s="4">
        <v>40</v>
      </c>
      <c r="M278" s="4">
        <v>0</v>
      </c>
      <c r="N278">
        <v>40</v>
      </c>
      <c r="O278" t="s">
        <v>94</v>
      </c>
      <c r="P278">
        <v>56</v>
      </c>
      <c r="Q278">
        <f>QtyRemaining*EstMfgMin/60</f>
        <v>37.333333333333336</v>
      </c>
      <c r="U278" t="e">
        <f t="shared" si="10"/>
        <v>#REF!</v>
      </c>
      <c r="V278" s="5" t="e">
        <f t="shared" si="11"/>
        <v>#REF!</v>
      </c>
    </row>
    <row r="279" spans="1:22" x14ac:dyDescent="0.25">
      <c r="A279" s="2">
        <v>45749</v>
      </c>
      <c r="B279" s="2">
        <v>45373</v>
      </c>
      <c r="C279" t="s">
        <v>259</v>
      </c>
      <c r="D279">
        <v>14</v>
      </c>
      <c r="E279" t="s">
        <v>528</v>
      </c>
      <c r="F279" t="s">
        <v>261</v>
      </c>
      <c r="G279" t="s">
        <v>529</v>
      </c>
      <c r="H279" t="s">
        <v>530</v>
      </c>
      <c r="I279" t="s">
        <v>83</v>
      </c>
      <c r="J279" s="3" t="s">
        <v>531</v>
      </c>
      <c r="K279" t="s">
        <v>532</v>
      </c>
      <c r="L279" s="4">
        <v>40</v>
      </c>
      <c r="M279" s="4">
        <v>0</v>
      </c>
      <c r="N279">
        <v>40</v>
      </c>
      <c r="P279">
        <v>261</v>
      </c>
      <c r="Q279">
        <f>QtyRemaining*EstMfgMin/60</f>
        <v>174</v>
      </c>
      <c r="R279" t="s">
        <v>533</v>
      </c>
      <c r="S279" t="s">
        <v>499</v>
      </c>
      <c r="U279" t="e">
        <f t="shared" si="10"/>
        <v>#REF!</v>
      </c>
      <c r="V279" s="5" t="e">
        <f t="shared" si="11"/>
        <v>#REF!</v>
      </c>
    </row>
    <row r="280" spans="1:22" x14ac:dyDescent="0.25">
      <c r="A280" s="2">
        <v>45754</v>
      </c>
      <c r="B280" s="2">
        <v>45754</v>
      </c>
      <c r="C280" t="s">
        <v>485</v>
      </c>
      <c r="D280">
        <v>15</v>
      </c>
      <c r="E280" t="s">
        <v>534</v>
      </c>
      <c r="F280" t="s">
        <v>211</v>
      </c>
      <c r="G280" t="s">
        <v>535</v>
      </c>
      <c r="H280" t="s">
        <v>536</v>
      </c>
      <c r="I280" t="s">
        <v>214</v>
      </c>
      <c r="J280" s="3" t="s">
        <v>537</v>
      </c>
      <c r="K280" t="s">
        <v>538</v>
      </c>
      <c r="L280" s="4">
        <v>33</v>
      </c>
      <c r="M280" s="4">
        <v>0</v>
      </c>
      <c r="N280">
        <v>33</v>
      </c>
      <c r="P280">
        <v>18</v>
      </c>
      <c r="Q280">
        <f>QtyRemaining*EstMfgMin/60</f>
        <v>9.9</v>
      </c>
      <c r="U280" t="e">
        <f t="shared" si="10"/>
        <v>#REF!</v>
      </c>
      <c r="V280" s="5" t="e">
        <f t="shared" si="11"/>
        <v>#REF!</v>
      </c>
    </row>
    <row r="281" spans="1:22" x14ac:dyDescent="0.25">
      <c r="A281" s="2">
        <v>45771</v>
      </c>
      <c r="B281" s="2">
        <v>45314</v>
      </c>
      <c r="C281" t="s">
        <v>478</v>
      </c>
      <c r="D281">
        <v>17</v>
      </c>
      <c r="E281" t="s">
        <v>539</v>
      </c>
      <c r="F281" t="s">
        <v>261</v>
      </c>
      <c r="G281" t="s">
        <v>540</v>
      </c>
      <c r="H281" t="s">
        <v>541</v>
      </c>
      <c r="I281" t="s">
        <v>83</v>
      </c>
      <c r="J281" s="3" t="s">
        <v>542</v>
      </c>
      <c r="K281" t="s">
        <v>543</v>
      </c>
      <c r="L281" s="4">
        <v>24</v>
      </c>
      <c r="M281" s="4">
        <v>16</v>
      </c>
      <c r="N281">
        <v>8</v>
      </c>
      <c r="O281" t="s">
        <v>544</v>
      </c>
      <c r="P281">
        <v>1062</v>
      </c>
      <c r="Q281">
        <f>QtyRemaining*EstMfgMin/60</f>
        <v>141.6</v>
      </c>
      <c r="R281" t="s">
        <v>545</v>
      </c>
      <c r="S281" t="s">
        <v>280</v>
      </c>
      <c r="U281" t="e">
        <f t="shared" si="10"/>
        <v>#REF!</v>
      </c>
      <c r="V281" s="5" t="e">
        <f t="shared" si="11"/>
        <v>#REF!</v>
      </c>
    </row>
    <row r="282" spans="1:22" x14ac:dyDescent="0.25">
      <c r="A282" s="2">
        <v>45778</v>
      </c>
      <c r="B282" s="2">
        <v>45700</v>
      </c>
      <c r="C282" t="s">
        <v>221</v>
      </c>
      <c r="D282">
        <v>18</v>
      </c>
      <c r="E282" t="s">
        <v>546</v>
      </c>
      <c r="F282" t="s">
        <v>211</v>
      </c>
      <c r="G282" t="s">
        <v>254</v>
      </c>
      <c r="H282" t="s">
        <v>547</v>
      </c>
      <c r="I282" t="s">
        <v>256</v>
      </c>
      <c r="J282" s="3" t="s">
        <v>548</v>
      </c>
      <c r="K282" t="s">
        <v>549</v>
      </c>
      <c r="L282" s="4">
        <v>150</v>
      </c>
      <c r="M282" s="4">
        <v>147</v>
      </c>
      <c r="N282">
        <v>3</v>
      </c>
      <c r="O282" t="s">
        <v>146</v>
      </c>
      <c r="P282">
        <v>12</v>
      </c>
      <c r="Q282">
        <f>QtyRemaining*EstMfgMin/60</f>
        <v>0.6</v>
      </c>
      <c r="U282" t="e">
        <f t="shared" si="10"/>
        <v>#REF!</v>
      </c>
      <c r="V282" s="5" t="e">
        <f t="shared" si="11"/>
        <v>#REF!</v>
      </c>
    </row>
    <row r="283" spans="1:22" x14ac:dyDescent="0.25">
      <c r="A283" s="2">
        <v>45778</v>
      </c>
      <c r="B283" s="2">
        <v>45741</v>
      </c>
      <c r="C283" t="s">
        <v>550</v>
      </c>
      <c r="D283">
        <v>18</v>
      </c>
      <c r="E283" t="s">
        <v>551</v>
      </c>
      <c r="F283" t="s">
        <v>261</v>
      </c>
      <c r="G283" t="s">
        <v>552</v>
      </c>
      <c r="H283" t="s">
        <v>553</v>
      </c>
      <c r="I283" t="s">
        <v>45</v>
      </c>
      <c r="J283" s="3" t="s">
        <v>554</v>
      </c>
      <c r="K283" t="s">
        <v>555</v>
      </c>
      <c r="L283" s="4">
        <v>3</v>
      </c>
      <c r="M283" s="4">
        <v>0</v>
      </c>
      <c r="N283">
        <v>3</v>
      </c>
      <c r="P283">
        <v>0</v>
      </c>
      <c r="Q283">
        <f>QtyRemaining*EstMfgMin/60</f>
        <v>0</v>
      </c>
      <c r="U283" t="e">
        <f t="shared" si="10"/>
        <v>#REF!</v>
      </c>
      <c r="V283" s="5" t="e">
        <f t="shared" si="11"/>
        <v>#REF!</v>
      </c>
    </row>
    <row r="284" spans="1:22" x14ac:dyDescent="0.25">
      <c r="A284" s="2">
        <v>45778</v>
      </c>
      <c r="B284" s="2">
        <v>45741</v>
      </c>
      <c r="C284" t="s">
        <v>550</v>
      </c>
      <c r="D284">
        <v>18</v>
      </c>
      <c r="E284" t="s">
        <v>551</v>
      </c>
      <c r="F284" t="s">
        <v>261</v>
      </c>
      <c r="G284" t="s">
        <v>552</v>
      </c>
      <c r="H284" t="s">
        <v>553</v>
      </c>
      <c r="I284" t="s">
        <v>45</v>
      </c>
      <c r="J284" s="3" t="s">
        <v>554</v>
      </c>
      <c r="K284" t="s">
        <v>555</v>
      </c>
      <c r="L284" s="4">
        <v>3</v>
      </c>
      <c r="M284" s="4">
        <v>0</v>
      </c>
      <c r="N284">
        <v>3</v>
      </c>
      <c r="P284">
        <v>0</v>
      </c>
      <c r="Q284">
        <f>QtyRemaining*EstMfgMin/60</f>
        <v>0</v>
      </c>
      <c r="U284" t="e">
        <f t="shared" si="10"/>
        <v>#REF!</v>
      </c>
      <c r="V284" s="5" t="e">
        <f t="shared" si="11"/>
        <v>#REF!</v>
      </c>
    </row>
    <row r="285" spans="1:22" x14ac:dyDescent="0.25">
      <c r="A285" s="2">
        <v>45778</v>
      </c>
      <c r="B285" s="2">
        <v>45741</v>
      </c>
      <c r="C285" t="s">
        <v>550</v>
      </c>
      <c r="D285">
        <v>18</v>
      </c>
      <c r="E285" t="s">
        <v>551</v>
      </c>
      <c r="F285" t="s">
        <v>261</v>
      </c>
      <c r="G285" t="s">
        <v>552</v>
      </c>
      <c r="H285" t="s">
        <v>553</v>
      </c>
      <c r="I285" t="s">
        <v>45</v>
      </c>
      <c r="J285" s="3" t="s">
        <v>554</v>
      </c>
      <c r="K285" t="s">
        <v>555</v>
      </c>
      <c r="L285" s="4">
        <v>3</v>
      </c>
      <c r="M285" s="4">
        <v>0</v>
      </c>
      <c r="N285">
        <v>3</v>
      </c>
      <c r="P285">
        <v>0</v>
      </c>
      <c r="Q285">
        <f>QtyRemaining*EstMfgMin/60</f>
        <v>0</v>
      </c>
      <c r="U285" t="e">
        <f t="shared" si="10"/>
        <v>#REF!</v>
      </c>
      <c r="V285" s="5" t="e">
        <f t="shared" si="11"/>
        <v>#REF!</v>
      </c>
    </row>
    <row r="286" spans="1:22" x14ac:dyDescent="0.25">
      <c r="A286" s="2">
        <v>45812</v>
      </c>
      <c r="B286" s="2">
        <v>45812</v>
      </c>
      <c r="C286" t="s">
        <v>556</v>
      </c>
      <c r="D286">
        <v>23</v>
      </c>
      <c r="E286" t="s">
        <v>557</v>
      </c>
      <c r="F286" t="s">
        <v>211</v>
      </c>
      <c r="G286" t="s">
        <v>558</v>
      </c>
      <c r="H286" t="s">
        <v>559</v>
      </c>
      <c r="I286" t="s">
        <v>291</v>
      </c>
      <c r="J286" s="3" t="s">
        <v>560</v>
      </c>
      <c r="K286" t="s">
        <v>561</v>
      </c>
      <c r="L286" s="4">
        <v>8</v>
      </c>
      <c r="M286" s="4">
        <v>0</v>
      </c>
      <c r="N286">
        <v>8</v>
      </c>
      <c r="P286">
        <v>0</v>
      </c>
      <c r="Q286">
        <f>QtyRemaining*EstMfgMin/60</f>
        <v>0</v>
      </c>
      <c r="U286" t="e">
        <f t="shared" si="10"/>
        <v>#REF!</v>
      </c>
      <c r="V286" s="5" t="e">
        <f t="shared" si="11"/>
        <v>#REF!</v>
      </c>
    </row>
    <row r="287" spans="1:22" x14ac:dyDescent="0.25">
      <c r="A287" s="2">
        <v>45814</v>
      </c>
      <c r="B287" s="2">
        <v>45814</v>
      </c>
      <c r="C287" t="s">
        <v>523</v>
      </c>
      <c r="D287">
        <v>23</v>
      </c>
      <c r="E287" t="s">
        <v>562</v>
      </c>
      <c r="F287" t="s">
        <v>261</v>
      </c>
      <c r="G287" t="s">
        <v>563</v>
      </c>
      <c r="I287" t="s">
        <v>83</v>
      </c>
      <c r="J287" s="3" t="s">
        <v>564</v>
      </c>
      <c r="K287" t="s">
        <v>565</v>
      </c>
      <c r="L287" s="4">
        <v>3</v>
      </c>
      <c r="M287" s="4">
        <v>1</v>
      </c>
      <c r="N287">
        <v>2</v>
      </c>
      <c r="P287">
        <v>0</v>
      </c>
      <c r="Q287">
        <f>QtyRemaining*EstMfgMin/60</f>
        <v>0</v>
      </c>
      <c r="U287" t="e">
        <f t="shared" si="10"/>
        <v>#REF!</v>
      </c>
      <c r="V287" s="5" t="e">
        <f t="shared" si="11"/>
        <v>#REF!</v>
      </c>
    </row>
    <row r="288" spans="1:22" x14ac:dyDescent="0.25">
      <c r="A288" s="2">
        <v>45814</v>
      </c>
      <c r="B288" s="2">
        <v>45814</v>
      </c>
      <c r="C288" t="s">
        <v>523</v>
      </c>
      <c r="D288">
        <v>23</v>
      </c>
      <c r="E288" t="s">
        <v>562</v>
      </c>
      <c r="F288" t="s">
        <v>261</v>
      </c>
      <c r="G288" t="s">
        <v>563</v>
      </c>
      <c r="I288" t="s">
        <v>83</v>
      </c>
      <c r="J288" s="3" t="s">
        <v>566</v>
      </c>
      <c r="K288" t="s">
        <v>567</v>
      </c>
      <c r="L288" s="4">
        <v>3</v>
      </c>
      <c r="M288" s="4">
        <v>1</v>
      </c>
      <c r="N288">
        <v>2</v>
      </c>
      <c r="P288">
        <v>0</v>
      </c>
      <c r="Q288">
        <f>QtyRemaining*EstMfgMin/60</f>
        <v>0</v>
      </c>
      <c r="U288" t="e">
        <f t="shared" si="10"/>
        <v>#REF!</v>
      </c>
      <c r="V288" s="5" t="e">
        <f t="shared" si="11"/>
        <v>#REF!</v>
      </c>
    </row>
    <row r="289" spans="1:22" x14ac:dyDescent="0.25">
      <c r="A289" s="2">
        <v>45814</v>
      </c>
      <c r="B289" s="2">
        <v>45814</v>
      </c>
      <c r="C289" t="s">
        <v>523</v>
      </c>
      <c r="D289">
        <v>23</v>
      </c>
      <c r="E289" t="s">
        <v>562</v>
      </c>
      <c r="F289" t="s">
        <v>261</v>
      </c>
      <c r="G289" t="s">
        <v>563</v>
      </c>
      <c r="I289" t="s">
        <v>83</v>
      </c>
      <c r="J289" s="3" t="s">
        <v>568</v>
      </c>
      <c r="K289" t="s">
        <v>569</v>
      </c>
      <c r="L289" s="4">
        <v>6</v>
      </c>
      <c r="M289" s="4">
        <v>1</v>
      </c>
      <c r="N289">
        <v>5</v>
      </c>
      <c r="P289">
        <v>0</v>
      </c>
      <c r="Q289">
        <f>QtyRemaining*EstMfgMin/60</f>
        <v>0</v>
      </c>
      <c r="U289" t="e">
        <f t="shared" si="10"/>
        <v>#REF!</v>
      </c>
      <c r="V289" s="5" t="e">
        <f t="shared" si="11"/>
        <v>#REF!</v>
      </c>
    </row>
    <row r="290" spans="1:22" x14ac:dyDescent="0.25">
      <c r="A290" s="2">
        <v>45838</v>
      </c>
      <c r="B290" s="2">
        <v>45674</v>
      </c>
      <c r="C290" t="s">
        <v>570</v>
      </c>
      <c r="D290">
        <v>27</v>
      </c>
      <c r="E290" t="s">
        <v>571</v>
      </c>
      <c r="F290" t="s">
        <v>261</v>
      </c>
      <c r="G290" t="s">
        <v>262</v>
      </c>
      <c r="H290" t="s">
        <v>572</v>
      </c>
      <c r="I290" t="s">
        <v>83</v>
      </c>
      <c r="J290" s="3" t="s">
        <v>573</v>
      </c>
      <c r="K290" t="s">
        <v>574</v>
      </c>
      <c r="L290" s="4">
        <v>10</v>
      </c>
      <c r="M290" s="4">
        <v>9</v>
      </c>
      <c r="N290">
        <v>1</v>
      </c>
      <c r="P290">
        <v>0</v>
      </c>
      <c r="Q290">
        <f>QtyRemaining*EstMfgMin/60</f>
        <v>0</v>
      </c>
      <c r="U290" t="e">
        <f t="shared" si="10"/>
        <v>#REF!</v>
      </c>
      <c r="V290" s="5" t="e">
        <f t="shared" si="11"/>
        <v>#REF!</v>
      </c>
    </row>
    <row r="291" spans="1:22" x14ac:dyDescent="0.25">
      <c r="A291" s="2">
        <v>45853</v>
      </c>
      <c r="B291" s="2">
        <v>45754</v>
      </c>
      <c r="C291" t="s">
        <v>221</v>
      </c>
      <c r="D291">
        <v>29</v>
      </c>
      <c r="E291" t="s">
        <v>575</v>
      </c>
      <c r="F291" t="s">
        <v>211</v>
      </c>
      <c r="G291" t="s">
        <v>519</v>
      </c>
      <c r="H291" t="s">
        <v>576</v>
      </c>
      <c r="I291" t="s">
        <v>83</v>
      </c>
      <c r="J291" s="3" t="s">
        <v>577</v>
      </c>
      <c r="K291" t="s">
        <v>578</v>
      </c>
      <c r="L291" s="4">
        <v>80</v>
      </c>
      <c r="M291" s="4">
        <v>0</v>
      </c>
      <c r="N291">
        <v>80</v>
      </c>
      <c r="O291" t="s">
        <v>118</v>
      </c>
      <c r="P291">
        <v>0</v>
      </c>
      <c r="Q291">
        <f>QtyRemaining*EstMfgMin/60</f>
        <v>0</v>
      </c>
      <c r="U291" t="e">
        <f t="shared" si="10"/>
        <v>#REF!</v>
      </c>
      <c r="V291" s="5" t="e">
        <f t="shared" si="11"/>
        <v>#REF!</v>
      </c>
    </row>
    <row r="292" spans="1:22" x14ac:dyDescent="0.25">
      <c r="A292" s="2">
        <v>45853</v>
      </c>
      <c r="B292" s="2">
        <v>45754</v>
      </c>
      <c r="C292" t="s">
        <v>221</v>
      </c>
      <c r="D292">
        <v>29</v>
      </c>
      <c r="E292" t="s">
        <v>575</v>
      </c>
      <c r="F292" t="s">
        <v>211</v>
      </c>
      <c r="G292" t="s">
        <v>519</v>
      </c>
      <c r="H292" t="s">
        <v>576</v>
      </c>
      <c r="I292" t="s">
        <v>83</v>
      </c>
      <c r="J292" s="3" t="s">
        <v>579</v>
      </c>
      <c r="K292" t="s">
        <v>580</v>
      </c>
      <c r="L292" s="4">
        <v>80</v>
      </c>
      <c r="M292" s="4">
        <v>0</v>
      </c>
      <c r="N292">
        <v>80</v>
      </c>
      <c r="O292" t="s">
        <v>94</v>
      </c>
      <c r="P292">
        <v>0</v>
      </c>
      <c r="Q292">
        <f>QtyRemaining*EstMfgMin/60</f>
        <v>0</v>
      </c>
      <c r="U292" t="e">
        <f t="shared" si="10"/>
        <v>#REF!</v>
      </c>
      <c r="V292" s="5" t="e">
        <f t="shared" si="11"/>
        <v>#REF!</v>
      </c>
    </row>
    <row r="293" spans="1:22" x14ac:dyDescent="0.25">
      <c r="A293" s="2">
        <v>45853</v>
      </c>
      <c r="B293" s="2">
        <v>45754</v>
      </c>
      <c r="C293" t="s">
        <v>221</v>
      </c>
      <c r="D293">
        <v>29</v>
      </c>
      <c r="E293" t="s">
        <v>575</v>
      </c>
      <c r="F293" t="s">
        <v>211</v>
      </c>
      <c r="G293" t="s">
        <v>519</v>
      </c>
      <c r="H293" t="s">
        <v>576</v>
      </c>
      <c r="I293" t="s">
        <v>83</v>
      </c>
      <c r="J293" s="3" t="s">
        <v>581</v>
      </c>
      <c r="K293" t="s">
        <v>582</v>
      </c>
      <c r="L293" s="4">
        <v>80</v>
      </c>
      <c r="M293" s="4">
        <v>0</v>
      </c>
      <c r="N293">
        <v>80</v>
      </c>
      <c r="O293" t="s">
        <v>94</v>
      </c>
      <c r="P293">
        <v>0</v>
      </c>
      <c r="Q293">
        <f>QtyRemaining*EstMfgMin/60</f>
        <v>0</v>
      </c>
      <c r="U293" t="e">
        <f t="shared" si="10"/>
        <v>#REF!</v>
      </c>
      <c r="V293" s="5" t="e">
        <f t="shared" si="11"/>
        <v>#REF!</v>
      </c>
    </row>
    <row r="294" spans="1:22" x14ac:dyDescent="0.25">
      <c r="A294" s="2">
        <v>45853</v>
      </c>
      <c r="B294" s="2">
        <v>45754</v>
      </c>
      <c r="C294" t="s">
        <v>221</v>
      </c>
      <c r="D294">
        <v>29</v>
      </c>
      <c r="E294" t="s">
        <v>575</v>
      </c>
      <c r="F294" t="s">
        <v>211</v>
      </c>
      <c r="G294" t="s">
        <v>519</v>
      </c>
      <c r="H294" t="s">
        <v>576</v>
      </c>
      <c r="I294" t="s">
        <v>83</v>
      </c>
      <c r="J294" s="3" t="s">
        <v>583</v>
      </c>
      <c r="K294" t="s">
        <v>584</v>
      </c>
      <c r="L294" s="4">
        <v>80</v>
      </c>
      <c r="M294" s="4">
        <v>0</v>
      </c>
      <c r="N294">
        <v>80</v>
      </c>
      <c r="O294" t="s">
        <v>176</v>
      </c>
      <c r="P294">
        <v>0</v>
      </c>
      <c r="Q294">
        <f>QtyRemaining*EstMfgMin/60</f>
        <v>0</v>
      </c>
      <c r="U294" t="e">
        <f t="shared" si="10"/>
        <v>#REF!</v>
      </c>
      <c r="V294" s="5" t="e">
        <f t="shared" si="11"/>
        <v>#REF!</v>
      </c>
    </row>
    <row r="295" spans="1:22" x14ac:dyDescent="0.25">
      <c r="A295" s="2">
        <v>45853</v>
      </c>
      <c r="B295" s="2">
        <v>45754</v>
      </c>
      <c r="C295" t="s">
        <v>221</v>
      </c>
      <c r="D295">
        <v>29</v>
      </c>
      <c r="E295" t="s">
        <v>575</v>
      </c>
      <c r="F295" t="s">
        <v>211</v>
      </c>
      <c r="G295" t="s">
        <v>519</v>
      </c>
      <c r="H295" t="s">
        <v>576</v>
      </c>
      <c r="I295" t="s">
        <v>83</v>
      </c>
      <c r="J295" s="3" t="s">
        <v>585</v>
      </c>
      <c r="K295" t="s">
        <v>586</v>
      </c>
      <c r="L295" s="4">
        <v>80</v>
      </c>
      <c r="M295" s="4">
        <v>0</v>
      </c>
      <c r="N295">
        <v>80</v>
      </c>
      <c r="O295" t="s">
        <v>176</v>
      </c>
      <c r="P295">
        <v>0</v>
      </c>
      <c r="Q295">
        <f>QtyRemaining*EstMfgMin/60</f>
        <v>0</v>
      </c>
      <c r="U295" t="e">
        <f t="shared" si="10"/>
        <v>#REF!</v>
      </c>
      <c r="V295" s="5" t="e">
        <f t="shared" si="11"/>
        <v>#REF!</v>
      </c>
    </row>
    <row r="296" spans="1:22" x14ac:dyDescent="0.25">
      <c r="A296" s="2">
        <v>45853</v>
      </c>
      <c r="B296" s="2">
        <v>45754</v>
      </c>
      <c r="C296" t="s">
        <v>221</v>
      </c>
      <c r="D296">
        <v>29</v>
      </c>
      <c r="E296" t="s">
        <v>575</v>
      </c>
      <c r="F296" t="s">
        <v>211</v>
      </c>
      <c r="G296" t="s">
        <v>519</v>
      </c>
      <c r="H296" t="s">
        <v>576</v>
      </c>
      <c r="I296" t="s">
        <v>83</v>
      </c>
      <c r="J296" s="3" t="s">
        <v>587</v>
      </c>
      <c r="K296" t="s">
        <v>588</v>
      </c>
      <c r="L296" s="4">
        <v>80</v>
      </c>
      <c r="M296" s="4">
        <v>0</v>
      </c>
      <c r="N296">
        <v>80</v>
      </c>
      <c r="O296" t="s">
        <v>176</v>
      </c>
      <c r="P296">
        <v>0</v>
      </c>
      <c r="Q296">
        <f>QtyRemaining*EstMfgMin/60</f>
        <v>0</v>
      </c>
      <c r="U296" t="e">
        <f t="shared" si="10"/>
        <v>#REF!</v>
      </c>
      <c r="V296" s="5" t="e">
        <f t="shared" si="11"/>
        <v>#REF!</v>
      </c>
    </row>
    <row r="297" spans="1:22" x14ac:dyDescent="0.25">
      <c r="A297" s="2">
        <v>45853</v>
      </c>
      <c r="B297" s="2">
        <v>45754</v>
      </c>
      <c r="C297" t="s">
        <v>221</v>
      </c>
      <c r="D297">
        <v>29</v>
      </c>
      <c r="E297" t="s">
        <v>575</v>
      </c>
      <c r="F297" t="s">
        <v>211</v>
      </c>
      <c r="G297" t="s">
        <v>519</v>
      </c>
      <c r="H297" t="s">
        <v>576</v>
      </c>
      <c r="I297" t="s">
        <v>83</v>
      </c>
      <c r="J297" s="3" t="s">
        <v>589</v>
      </c>
      <c r="K297" t="s">
        <v>590</v>
      </c>
      <c r="L297" s="4">
        <v>88</v>
      </c>
      <c r="M297" s="4">
        <v>0</v>
      </c>
      <c r="N297">
        <v>88</v>
      </c>
      <c r="O297" t="s">
        <v>86</v>
      </c>
      <c r="P297">
        <v>0</v>
      </c>
      <c r="Q297">
        <f>QtyRemaining*EstMfgMin/60</f>
        <v>0</v>
      </c>
      <c r="U297" t="e">
        <f t="shared" si="10"/>
        <v>#REF!</v>
      </c>
      <c r="V297" s="5" t="e">
        <f t="shared" si="11"/>
        <v>#REF!</v>
      </c>
    </row>
    <row r="298" spans="1:22" x14ac:dyDescent="0.25">
      <c r="A298" s="2">
        <v>45853</v>
      </c>
      <c r="B298" s="2">
        <v>45754</v>
      </c>
      <c r="C298" t="s">
        <v>221</v>
      </c>
      <c r="D298">
        <v>29</v>
      </c>
      <c r="E298" t="s">
        <v>575</v>
      </c>
      <c r="F298" t="s">
        <v>211</v>
      </c>
      <c r="G298" t="s">
        <v>519</v>
      </c>
      <c r="H298" t="s">
        <v>576</v>
      </c>
      <c r="I298" t="s">
        <v>83</v>
      </c>
      <c r="J298" s="3" t="s">
        <v>591</v>
      </c>
      <c r="K298" t="s">
        <v>592</v>
      </c>
      <c r="L298" s="4">
        <v>88</v>
      </c>
      <c r="M298" s="4">
        <v>0</v>
      </c>
      <c r="N298">
        <v>88</v>
      </c>
      <c r="O298" t="s">
        <v>118</v>
      </c>
      <c r="P298">
        <v>0</v>
      </c>
      <c r="Q298">
        <f>QtyRemaining*EstMfgMin/60</f>
        <v>0</v>
      </c>
      <c r="U298" t="e">
        <f t="shared" si="10"/>
        <v>#REF!</v>
      </c>
      <c r="V298" s="5" t="e">
        <f t="shared" si="11"/>
        <v>#REF!</v>
      </c>
    </row>
    <row r="299" spans="1:22" x14ac:dyDescent="0.25">
      <c r="A299" s="2">
        <v>45853</v>
      </c>
      <c r="B299" s="2">
        <v>45754</v>
      </c>
      <c r="C299" t="s">
        <v>221</v>
      </c>
      <c r="D299">
        <v>29</v>
      </c>
      <c r="E299" t="s">
        <v>575</v>
      </c>
      <c r="F299" t="s">
        <v>211</v>
      </c>
      <c r="G299" t="s">
        <v>519</v>
      </c>
      <c r="H299" t="s">
        <v>576</v>
      </c>
      <c r="I299" t="s">
        <v>83</v>
      </c>
      <c r="J299" s="3" t="s">
        <v>593</v>
      </c>
      <c r="K299" t="s">
        <v>594</v>
      </c>
      <c r="L299" s="4">
        <v>80</v>
      </c>
      <c r="M299" s="4">
        <v>0</v>
      </c>
      <c r="N299">
        <v>80</v>
      </c>
      <c r="O299" t="s">
        <v>118</v>
      </c>
      <c r="P299">
        <v>0</v>
      </c>
      <c r="Q299">
        <f>QtyRemaining*EstMfgMin/60</f>
        <v>0</v>
      </c>
      <c r="U299" t="e">
        <f t="shared" si="10"/>
        <v>#REF!</v>
      </c>
      <c r="V299" s="5" t="e">
        <f t="shared" si="11"/>
        <v>#REF!</v>
      </c>
    </row>
    <row r="300" spans="1:22" x14ac:dyDescent="0.25">
      <c r="A300" s="2">
        <v>45853</v>
      </c>
      <c r="B300" s="2">
        <v>45754</v>
      </c>
      <c r="C300" t="s">
        <v>221</v>
      </c>
      <c r="D300">
        <v>29</v>
      </c>
      <c r="E300" t="s">
        <v>575</v>
      </c>
      <c r="F300" t="s">
        <v>211</v>
      </c>
      <c r="G300" t="s">
        <v>519</v>
      </c>
      <c r="H300" t="s">
        <v>576</v>
      </c>
      <c r="I300" t="s">
        <v>83</v>
      </c>
      <c r="J300" s="3" t="s">
        <v>595</v>
      </c>
      <c r="K300" t="s">
        <v>596</v>
      </c>
      <c r="L300" s="4">
        <v>80</v>
      </c>
      <c r="M300" s="4">
        <v>0</v>
      </c>
      <c r="N300">
        <v>80</v>
      </c>
      <c r="O300" t="s">
        <v>118</v>
      </c>
      <c r="P300">
        <v>0</v>
      </c>
      <c r="Q300">
        <f>QtyRemaining*EstMfgMin/60</f>
        <v>0</v>
      </c>
      <c r="U300" t="e">
        <f t="shared" si="10"/>
        <v>#REF!</v>
      </c>
      <c r="V300" s="5" t="e">
        <f t="shared" si="11"/>
        <v>#REF!</v>
      </c>
    </row>
    <row r="301" spans="1:22" x14ac:dyDescent="0.25">
      <c r="A301" s="2">
        <v>45866</v>
      </c>
      <c r="B301" s="2">
        <v>45636</v>
      </c>
      <c r="C301" t="s">
        <v>570</v>
      </c>
      <c r="D301">
        <v>31</v>
      </c>
      <c r="E301" t="s">
        <v>597</v>
      </c>
      <c r="F301" t="s">
        <v>261</v>
      </c>
      <c r="G301" t="s">
        <v>510</v>
      </c>
      <c r="H301" t="s">
        <v>598</v>
      </c>
      <c r="I301" t="s">
        <v>83</v>
      </c>
      <c r="J301" s="3" t="s">
        <v>599</v>
      </c>
      <c r="K301" t="s">
        <v>600</v>
      </c>
      <c r="L301" s="4">
        <v>1</v>
      </c>
      <c r="M301" s="4">
        <v>0</v>
      </c>
      <c r="N301">
        <v>1</v>
      </c>
      <c r="O301" t="s">
        <v>146</v>
      </c>
      <c r="P301">
        <v>16</v>
      </c>
      <c r="Q301">
        <f>QtyRemaining*EstMfgMin/60</f>
        <v>0.26666666666666666</v>
      </c>
      <c r="U301" t="e">
        <f t="shared" si="10"/>
        <v>#REF!</v>
      </c>
      <c r="V301" s="5" t="e">
        <f t="shared" si="11"/>
        <v>#REF!</v>
      </c>
    </row>
    <row r="302" spans="1:22" x14ac:dyDescent="0.25">
      <c r="A302" s="2">
        <v>45880</v>
      </c>
      <c r="B302" s="2">
        <v>45754</v>
      </c>
      <c r="C302" t="s">
        <v>221</v>
      </c>
      <c r="D302">
        <v>33</v>
      </c>
      <c r="E302" t="s">
        <v>601</v>
      </c>
      <c r="F302" t="s">
        <v>211</v>
      </c>
      <c r="G302" t="s">
        <v>519</v>
      </c>
      <c r="H302" t="s">
        <v>602</v>
      </c>
      <c r="I302" t="s">
        <v>83</v>
      </c>
      <c r="J302" s="3" t="s">
        <v>603</v>
      </c>
      <c r="K302" t="s">
        <v>604</v>
      </c>
      <c r="L302" s="4">
        <v>80</v>
      </c>
      <c r="M302" s="4">
        <v>0</v>
      </c>
      <c r="N302">
        <v>80</v>
      </c>
      <c r="O302" t="s">
        <v>86</v>
      </c>
      <c r="P302">
        <v>0</v>
      </c>
      <c r="Q302">
        <f>QtyRemaining*EstMfgMin/60</f>
        <v>0</v>
      </c>
      <c r="U302" t="e">
        <f t="shared" si="10"/>
        <v>#REF!</v>
      </c>
      <c r="V302" s="5" t="e">
        <f t="shared" si="11"/>
        <v>#REF!</v>
      </c>
    </row>
    <row r="303" spans="1:22" x14ac:dyDescent="0.25">
      <c r="A303" s="2">
        <v>45880</v>
      </c>
      <c r="B303" s="2">
        <v>45754</v>
      </c>
      <c r="C303" t="s">
        <v>221</v>
      </c>
      <c r="D303">
        <v>33</v>
      </c>
      <c r="E303" t="s">
        <v>601</v>
      </c>
      <c r="F303" t="s">
        <v>211</v>
      </c>
      <c r="G303" t="s">
        <v>519</v>
      </c>
      <c r="H303" t="s">
        <v>602</v>
      </c>
      <c r="I303" t="s">
        <v>83</v>
      </c>
      <c r="J303" s="3" t="s">
        <v>605</v>
      </c>
      <c r="K303" t="s">
        <v>604</v>
      </c>
      <c r="L303" s="4">
        <v>10</v>
      </c>
      <c r="M303" s="4">
        <v>0</v>
      </c>
      <c r="N303">
        <v>10</v>
      </c>
      <c r="O303" t="s">
        <v>86</v>
      </c>
      <c r="P303">
        <v>0</v>
      </c>
      <c r="Q303">
        <f>QtyRemaining*EstMfgMin/60</f>
        <v>0</v>
      </c>
      <c r="U303" t="e">
        <f t="shared" si="10"/>
        <v>#REF!</v>
      </c>
      <c r="V303" s="5" t="e">
        <f t="shared" si="11"/>
        <v>#REF!</v>
      </c>
    </row>
    <row r="304" spans="1:22" x14ac:dyDescent="0.25">
      <c r="A304" s="2">
        <v>45881</v>
      </c>
      <c r="B304" s="2">
        <v>45881</v>
      </c>
      <c r="C304" t="s">
        <v>606</v>
      </c>
      <c r="D304">
        <v>33</v>
      </c>
      <c r="E304" t="s">
        <v>607</v>
      </c>
      <c r="F304" t="s">
        <v>283</v>
      </c>
      <c r="G304" t="s">
        <v>608</v>
      </c>
      <c r="H304" t="s">
        <v>609</v>
      </c>
      <c r="I304" t="s">
        <v>291</v>
      </c>
      <c r="J304" s="3" t="s">
        <v>439</v>
      </c>
      <c r="K304" t="s">
        <v>440</v>
      </c>
      <c r="L304" s="4">
        <v>200</v>
      </c>
      <c r="M304" s="4">
        <v>0</v>
      </c>
      <c r="N304">
        <v>200</v>
      </c>
      <c r="P304">
        <v>0</v>
      </c>
      <c r="Q304">
        <f>QtyRemaining*EstMfgMin/60</f>
        <v>0</v>
      </c>
      <c r="U304" t="e">
        <f t="shared" si="10"/>
        <v>#REF!</v>
      </c>
      <c r="V304" s="5" t="e">
        <f t="shared" si="11"/>
        <v>#REF!</v>
      </c>
    </row>
    <row r="305" spans="1:22" x14ac:dyDescent="0.25">
      <c r="A305" s="2">
        <v>45887</v>
      </c>
      <c r="B305" s="2">
        <v>45636</v>
      </c>
      <c r="C305" t="s">
        <v>570</v>
      </c>
      <c r="D305">
        <v>34</v>
      </c>
      <c r="E305" t="s">
        <v>597</v>
      </c>
      <c r="F305" t="s">
        <v>261</v>
      </c>
      <c r="G305" t="s">
        <v>510</v>
      </c>
      <c r="H305" t="s">
        <v>598</v>
      </c>
      <c r="I305" t="s">
        <v>83</v>
      </c>
      <c r="J305" s="3" t="s">
        <v>610</v>
      </c>
      <c r="K305" t="s">
        <v>600</v>
      </c>
      <c r="L305" s="4">
        <v>1</v>
      </c>
      <c r="M305" s="4">
        <v>0</v>
      </c>
      <c r="N305">
        <v>1</v>
      </c>
      <c r="O305" t="s">
        <v>146</v>
      </c>
      <c r="P305">
        <v>16</v>
      </c>
      <c r="Q305">
        <f>QtyRemaining*EstMfgMin/60</f>
        <v>0.26666666666666666</v>
      </c>
      <c r="U305" t="e">
        <f t="shared" si="10"/>
        <v>#REF!</v>
      </c>
      <c r="V305" s="5" t="e">
        <f t="shared" si="11"/>
        <v>#REF!</v>
      </c>
    </row>
    <row r="306" spans="1:22" x14ac:dyDescent="0.25">
      <c r="A306" s="2">
        <v>45887</v>
      </c>
      <c r="B306" s="2">
        <v>45636</v>
      </c>
      <c r="C306" t="s">
        <v>570</v>
      </c>
      <c r="D306">
        <v>34</v>
      </c>
      <c r="E306" t="s">
        <v>597</v>
      </c>
      <c r="F306" t="s">
        <v>261</v>
      </c>
      <c r="G306" t="s">
        <v>510</v>
      </c>
      <c r="H306" t="s">
        <v>598</v>
      </c>
      <c r="I306" t="s">
        <v>83</v>
      </c>
      <c r="J306" s="3" t="s">
        <v>611</v>
      </c>
      <c r="K306" t="s">
        <v>612</v>
      </c>
      <c r="L306" s="4">
        <v>1</v>
      </c>
      <c r="M306" s="4">
        <v>0</v>
      </c>
      <c r="N306">
        <v>1</v>
      </c>
      <c r="O306" t="s">
        <v>146</v>
      </c>
      <c r="P306">
        <v>14</v>
      </c>
      <c r="Q306">
        <f>QtyRemaining*EstMfgMin/60</f>
        <v>0.23333333333333334</v>
      </c>
      <c r="U306" t="e">
        <f t="shared" si="10"/>
        <v>#REF!</v>
      </c>
      <c r="V306" s="5" t="e">
        <f t="shared" si="11"/>
        <v>#REF!</v>
      </c>
    </row>
    <row r="307" spans="1:22" x14ac:dyDescent="0.25">
      <c r="A307" s="2">
        <v>45887</v>
      </c>
      <c r="B307" s="2">
        <v>45636</v>
      </c>
      <c r="C307" t="s">
        <v>570</v>
      </c>
      <c r="D307">
        <v>34</v>
      </c>
      <c r="E307" t="s">
        <v>597</v>
      </c>
      <c r="F307" t="s">
        <v>261</v>
      </c>
      <c r="G307" t="s">
        <v>510</v>
      </c>
      <c r="H307" t="s">
        <v>598</v>
      </c>
      <c r="I307" t="s">
        <v>83</v>
      </c>
      <c r="J307" s="3" t="s">
        <v>613</v>
      </c>
      <c r="K307" t="s">
        <v>600</v>
      </c>
      <c r="L307" s="4">
        <v>1</v>
      </c>
      <c r="M307" s="4">
        <v>0</v>
      </c>
      <c r="N307">
        <v>1</v>
      </c>
      <c r="O307" t="s">
        <v>146</v>
      </c>
      <c r="P307">
        <v>16</v>
      </c>
      <c r="Q307">
        <f>QtyRemaining*EstMfgMin/60</f>
        <v>0.26666666666666666</v>
      </c>
      <c r="U307" t="e">
        <f t="shared" si="10"/>
        <v>#REF!</v>
      </c>
      <c r="V307" s="5" t="e">
        <f t="shared" si="11"/>
        <v>#REF!</v>
      </c>
    </row>
    <row r="308" spans="1:22" x14ac:dyDescent="0.25">
      <c r="A308" s="2">
        <v>45887</v>
      </c>
      <c r="B308" s="2">
        <v>45720</v>
      </c>
      <c r="C308" t="s">
        <v>550</v>
      </c>
      <c r="D308">
        <v>34</v>
      </c>
      <c r="E308" t="s">
        <v>614</v>
      </c>
      <c r="F308" t="s">
        <v>261</v>
      </c>
      <c r="G308" t="s">
        <v>552</v>
      </c>
      <c r="H308" t="s">
        <v>615</v>
      </c>
      <c r="I308" t="s">
        <v>155</v>
      </c>
      <c r="J308" s="3" t="s">
        <v>616</v>
      </c>
      <c r="K308" t="s">
        <v>617</v>
      </c>
      <c r="L308" s="4">
        <v>12</v>
      </c>
      <c r="M308" s="4">
        <v>0</v>
      </c>
      <c r="N308">
        <v>12</v>
      </c>
      <c r="O308" t="s">
        <v>118</v>
      </c>
      <c r="P308">
        <v>120</v>
      </c>
      <c r="Q308">
        <f>QtyRemaining*EstMfgMin/60</f>
        <v>24</v>
      </c>
      <c r="R308" t="s">
        <v>618</v>
      </c>
      <c r="U308" t="e">
        <f t="shared" si="10"/>
        <v>#REF!</v>
      </c>
      <c r="V308" s="5" t="e">
        <f t="shared" si="11"/>
        <v>#REF!</v>
      </c>
    </row>
    <row r="309" spans="1:22" x14ac:dyDescent="0.25">
      <c r="A309" s="2">
        <v>45887</v>
      </c>
      <c r="B309" s="2">
        <v>45754</v>
      </c>
      <c r="C309" t="s">
        <v>221</v>
      </c>
      <c r="D309">
        <v>34</v>
      </c>
      <c r="E309" t="s">
        <v>601</v>
      </c>
      <c r="F309" t="s">
        <v>211</v>
      </c>
      <c r="G309" t="s">
        <v>519</v>
      </c>
      <c r="H309" t="s">
        <v>602</v>
      </c>
      <c r="I309" t="s">
        <v>83</v>
      </c>
      <c r="J309" s="3" t="s">
        <v>619</v>
      </c>
      <c r="K309" t="s">
        <v>620</v>
      </c>
      <c r="L309" s="4">
        <v>13</v>
      </c>
      <c r="M309" s="4">
        <v>0</v>
      </c>
      <c r="N309">
        <v>13</v>
      </c>
      <c r="O309" t="s">
        <v>457</v>
      </c>
      <c r="P309">
        <v>0</v>
      </c>
      <c r="Q309">
        <f>QtyRemaining*EstMfgMin/60</f>
        <v>0</v>
      </c>
      <c r="U309" t="e">
        <f t="shared" si="10"/>
        <v>#REF!</v>
      </c>
      <c r="V309" s="5" t="e">
        <f t="shared" si="11"/>
        <v>#REF!</v>
      </c>
    </row>
    <row r="310" spans="1:22" x14ac:dyDescent="0.25">
      <c r="A310" s="2">
        <v>45887</v>
      </c>
      <c r="B310" s="2">
        <v>45754</v>
      </c>
      <c r="C310" t="s">
        <v>221</v>
      </c>
      <c r="D310">
        <v>34</v>
      </c>
      <c r="E310" t="s">
        <v>601</v>
      </c>
      <c r="F310" t="s">
        <v>211</v>
      </c>
      <c r="G310" t="s">
        <v>519</v>
      </c>
      <c r="H310" t="s">
        <v>602</v>
      </c>
      <c r="I310" t="s">
        <v>83</v>
      </c>
      <c r="J310" s="3" t="s">
        <v>621</v>
      </c>
      <c r="K310" t="s">
        <v>622</v>
      </c>
      <c r="L310" s="4">
        <v>13</v>
      </c>
      <c r="M310" s="4">
        <v>0</v>
      </c>
      <c r="N310">
        <v>13</v>
      </c>
      <c r="O310" t="s">
        <v>457</v>
      </c>
      <c r="P310">
        <v>0</v>
      </c>
      <c r="Q310">
        <f>QtyRemaining*EstMfgMin/60</f>
        <v>0</v>
      </c>
      <c r="U310" t="e">
        <f t="shared" si="10"/>
        <v>#REF!</v>
      </c>
      <c r="V310" s="5" t="e">
        <f t="shared" si="11"/>
        <v>#REF!</v>
      </c>
    </row>
    <row r="311" spans="1:22" x14ac:dyDescent="0.25">
      <c r="A311" s="2">
        <v>45887</v>
      </c>
      <c r="B311" s="2">
        <v>45754</v>
      </c>
      <c r="C311" t="s">
        <v>221</v>
      </c>
      <c r="D311">
        <v>34</v>
      </c>
      <c r="E311" t="s">
        <v>601</v>
      </c>
      <c r="F311" t="s">
        <v>211</v>
      </c>
      <c r="G311" t="s">
        <v>519</v>
      </c>
      <c r="H311" t="s">
        <v>602</v>
      </c>
      <c r="I311" t="s">
        <v>83</v>
      </c>
      <c r="J311" s="3" t="s">
        <v>623</v>
      </c>
      <c r="K311" t="s">
        <v>624</v>
      </c>
      <c r="L311" s="4">
        <v>13</v>
      </c>
      <c r="M311" s="4">
        <v>0</v>
      </c>
      <c r="N311">
        <v>13</v>
      </c>
      <c r="O311" t="s">
        <v>457</v>
      </c>
      <c r="P311">
        <v>0</v>
      </c>
      <c r="Q311">
        <f>QtyRemaining*EstMfgMin/60</f>
        <v>0</v>
      </c>
      <c r="U311" t="e">
        <f t="shared" si="10"/>
        <v>#REF!</v>
      </c>
      <c r="V311" s="5" t="e">
        <f t="shared" si="11"/>
        <v>#REF!</v>
      </c>
    </row>
    <row r="312" spans="1:22" x14ac:dyDescent="0.25">
      <c r="A312" s="2">
        <v>45889</v>
      </c>
      <c r="B312" s="2">
        <v>45706</v>
      </c>
      <c r="C312" t="s">
        <v>274</v>
      </c>
      <c r="D312">
        <v>34</v>
      </c>
      <c r="E312" t="s">
        <v>625</v>
      </c>
      <c r="F312" t="s">
        <v>211</v>
      </c>
      <c r="G312" t="s">
        <v>276</v>
      </c>
      <c r="H312" t="s">
        <v>626</v>
      </c>
      <c r="I312" t="s">
        <v>83</v>
      </c>
      <c r="J312" s="3" t="s">
        <v>627</v>
      </c>
      <c r="K312" t="s">
        <v>628</v>
      </c>
      <c r="L312" s="4">
        <v>600</v>
      </c>
      <c r="M312" s="4">
        <v>0</v>
      </c>
      <c r="N312">
        <v>600</v>
      </c>
      <c r="O312" t="s">
        <v>176</v>
      </c>
      <c r="P312">
        <v>120</v>
      </c>
      <c r="Q312">
        <f>QtyRemaining*EstMfgMin/60</f>
        <v>1200</v>
      </c>
      <c r="U312" t="e">
        <f t="shared" si="10"/>
        <v>#REF!</v>
      </c>
      <c r="V312" s="5" t="e">
        <f t="shared" si="11"/>
        <v>#REF!</v>
      </c>
    </row>
    <row r="313" spans="1:22" x14ac:dyDescent="0.25">
      <c r="A313" s="2">
        <v>45898</v>
      </c>
      <c r="B313" s="2">
        <v>45706</v>
      </c>
      <c r="C313" t="s">
        <v>274</v>
      </c>
      <c r="D313">
        <v>35</v>
      </c>
      <c r="E313" t="s">
        <v>625</v>
      </c>
      <c r="F313" t="s">
        <v>211</v>
      </c>
      <c r="G313" t="s">
        <v>276</v>
      </c>
      <c r="H313" t="s">
        <v>626</v>
      </c>
      <c r="I313" t="s">
        <v>83</v>
      </c>
      <c r="J313" s="3" t="s">
        <v>627</v>
      </c>
      <c r="K313" t="s">
        <v>628</v>
      </c>
      <c r="L313" s="4">
        <v>250</v>
      </c>
      <c r="M313" s="4">
        <v>0</v>
      </c>
      <c r="N313">
        <v>250</v>
      </c>
      <c r="O313" t="s">
        <v>176</v>
      </c>
      <c r="P313">
        <v>120</v>
      </c>
      <c r="Q313">
        <f>QtyRemaining*EstMfgMin/60</f>
        <v>500</v>
      </c>
      <c r="U313" t="e">
        <f t="shared" si="10"/>
        <v>#REF!</v>
      </c>
      <c r="V313" s="5" t="e">
        <f t="shared" si="11"/>
        <v>#REF!</v>
      </c>
    </row>
    <row r="314" spans="1:22" x14ac:dyDescent="0.25">
      <c r="A314" s="2">
        <v>45898</v>
      </c>
      <c r="B314" s="2">
        <v>45765</v>
      </c>
      <c r="C314" t="s">
        <v>478</v>
      </c>
      <c r="D314">
        <v>35</v>
      </c>
      <c r="E314" t="s">
        <v>629</v>
      </c>
      <c r="F314" t="s">
        <v>261</v>
      </c>
      <c r="G314" t="s">
        <v>510</v>
      </c>
      <c r="H314" t="s">
        <v>630</v>
      </c>
      <c r="I314" t="s">
        <v>122</v>
      </c>
      <c r="J314" s="3" t="s">
        <v>631</v>
      </c>
      <c r="K314" t="s">
        <v>632</v>
      </c>
      <c r="L314" s="4">
        <v>1</v>
      </c>
      <c r="M314" s="4">
        <v>0</v>
      </c>
      <c r="N314">
        <v>1</v>
      </c>
      <c r="O314" t="s">
        <v>94</v>
      </c>
      <c r="P314">
        <v>415</v>
      </c>
      <c r="Q314">
        <f>QtyRemaining*EstMfgMin/60</f>
        <v>6.916666666666667</v>
      </c>
      <c r="U314" t="e">
        <f t="shared" si="10"/>
        <v>#REF!</v>
      </c>
      <c r="V314" s="5" t="e">
        <f t="shared" si="11"/>
        <v>#REF!</v>
      </c>
    </row>
    <row r="315" spans="1:22" x14ac:dyDescent="0.25">
      <c r="A315" s="2">
        <v>45901</v>
      </c>
      <c r="B315" s="2">
        <v>45741</v>
      </c>
      <c r="C315" t="s">
        <v>633</v>
      </c>
      <c r="D315">
        <v>36</v>
      </c>
      <c r="E315" t="s">
        <v>634</v>
      </c>
      <c r="F315" t="s">
        <v>261</v>
      </c>
      <c r="G315" t="s">
        <v>262</v>
      </c>
      <c r="H315" t="s">
        <v>635</v>
      </c>
      <c r="I315" t="s">
        <v>122</v>
      </c>
      <c r="J315" s="3" t="s">
        <v>636</v>
      </c>
      <c r="K315" t="s">
        <v>637</v>
      </c>
      <c r="L315" s="4">
        <v>27</v>
      </c>
      <c r="M315" s="4">
        <v>0</v>
      </c>
      <c r="N315">
        <v>27</v>
      </c>
      <c r="O315" t="s">
        <v>638</v>
      </c>
      <c r="P315">
        <v>77</v>
      </c>
      <c r="Q315">
        <f>QtyRemaining*EstMfgMin/60</f>
        <v>34.65</v>
      </c>
      <c r="U315" t="e">
        <f t="shared" si="10"/>
        <v>#REF!</v>
      </c>
      <c r="V315" s="5" t="e">
        <f t="shared" si="11"/>
        <v>#REF!</v>
      </c>
    </row>
    <row r="316" spans="1:22" x14ac:dyDescent="0.25">
      <c r="A316" s="2">
        <v>45901</v>
      </c>
      <c r="B316" s="2">
        <v>45831</v>
      </c>
      <c r="C316" t="s">
        <v>274</v>
      </c>
      <c r="D316">
        <v>36</v>
      </c>
      <c r="E316" t="s">
        <v>639</v>
      </c>
      <c r="F316" t="s">
        <v>211</v>
      </c>
      <c r="G316" t="s">
        <v>276</v>
      </c>
      <c r="H316" t="s">
        <v>640</v>
      </c>
      <c r="I316" t="s">
        <v>83</v>
      </c>
      <c r="J316" s="3" t="s">
        <v>627</v>
      </c>
      <c r="K316" t="s">
        <v>628</v>
      </c>
      <c r="L316" s="4">
        <v>50</v>
      </c>
      <c r="M316" s="4">
        <v>0</v>
      </c>
      <c r="N316">
        <v>50</v>
      </c>
      <c r="O316" t="s">
        <v>86</v>
      </c>
      <c r="P316">
        <v>120</v>
      </c>
      <c r="Q316">
        <f>QtyRemaining*EstMfgMin/60</f>
        <v>100</v>
      </c>
      <c r="U316" t="e">
        <f t="shared" si="10"/>
        <v>#REF!</v>
      </c>
      <c r="V316" s="5" t="e">
        <f t="shared" si="11"/>
        <v>#REF!</v>
      </c>
    </row>
    <row r="317" spans="1:22" x14ac:dyDescent="0.25">
      <c r="A317" s="2">
        <v>45901</v>
      </c>
      <c r="B317" s="2">
        <v>45831</v>
      </c>
      <c r="C317" t="s">
        <v>274</v>
      </c>
      <c r="D317">
        <v>36</v>
      </c>
      <c r="E317" t="s">
        <v>639</v>
      </c>
      <c r="F317" t="s">
        <v>211</v>
      </c>
      <c r="G317" t="s">
        <v>276</v>
      </c>
      <c r="H317" t="s">
        <v>640</v>
      </c>
      <c r="I317" t="s">
        <v>83</v>
      </c>
      <c r="J317" s="3" t="s">
        <v>641</v>
      </c>
      <c r="K317" t="s">
        <v>642</v>
      </c>
      <c r="L317" s="4">
        <v>50</v>
      </c>
      <c r="M317" s="4">
        <v>0</v>
      </c>
      <c r="N317">
        <v>50</v>
      </c>
      <c r="O317" t="s">
        <v>643</v>
      </c>
      <c r="P317">
        <v>40</v>
      </c>
      <c r="Q317">
        <f>QtyRemaining*EstMfgMin/60</f>
        <v>33.333333333333336</v>
      </c>
      <c r="U317" t="e">
        <f t="shared" si="10"/>
        <v>#REF!</v>
      </c>
      <c r="V317" s="5" t="e">
        <f t="shared" si="11"/>
        <v>#REF!</v>
      </c>
    </row>
    <row r="318" spans="1:22" x14ac:dyDescent="0.25">
      <c r="A318" s="2">
        <v>45901</v>
      </c>
      <c r="B318" s="2">
        <v>45831</v>
      </c>
      <c r="C318" t="s">
        <v>274</v>
      </c>
      <c r="D318">
        <v>36</v>
      </c>
      <c r="E318" t="s">
        <v>639</v>
      </c>
      <c r="F318" t="s">
        <v>211</v>
      </c>
      <c r="G318" t="s">
        <v>276</v>
      </c>
      <c r="H318" t="s">
        <v>640</v>
      </c>
      <c r="I318" t="s">
        <v>83</v>
      </c>
      <c r="J318" s="3" t="s">
        <v>644</v>
      </c>
      <c r="K318" t="s">
        <v>645</v>
      </c>
      <c r="L318" s="4">
        <v>50</v>
      </c>
      <c r="M318" s="4">
        <v>0</v>
      </c>
      <c r="N318">
        <v>50</v>
      </c>
      <c r="O318" t="s">
        <v>146</v>
      </c>
      <c r="P318">
        <v>234</v>
      </c>
      <c r="Q318">
        <f>QtyRemaining*EstMfgMin/60</f>
        <v>195</v>
      </c>
      <c r="U318" t="e">
        <f t="shared" si="10"/>
        <v>#REF!</v>
      </c>
      <c r="V318" s="5" t="e">
        <f t="shared" si="11"/>
        <v>#REF!</v>
      </c>
    </row>
    <row r="319" spans="1:22" x14ac:dyDescent="0.25">
      <c r="A319" s="2">
        <v>45904</v>
      </c>
      <c r="B319" s="2">
        <v>45750</v>
      </c>
      <c r="C319" t="s">
        <v>633</v>
      </c>
      <c r="D319">
        <v>36</v>
      </c>
      <c r="E319" t="s">
        <v>646</v>
      </c>
      <c r="F319" t="s">
        <v>261</v>
      </c>
      <c r="G319" t="s">
        <v>262</v>
      </c>
      <c r="H319" t="s">
        <v>647</v>
      </c>
      <c r="I319" t="s">
        <v>122</v>
      </c>
      <c r="J319" s="3" t="s">
        <v>648</v>
      </c>
      <c r="K319" t="s">
        <v>649</v>
      </c>
      <c r="L319" s="4">
        <v>880</v>
      </c>
      <c r="M319" s="4">
        <v>0</v>
      </c>
      <c r="N319">
        <v>880</v>
      </c>
      <c r="O319" t="s">
        <v>266</v>
      </c>
      <c r="P319">
        <v>25</v>
      </c>
      <c r="Q319">
        <f>QtyRemaining*EstMfgMin/60</f>
        <v>366.66666666666669</v>
      </c>
      <c r="U319" t="e">
        <f t="shared" si="10"/>
        <v>#REF!</v>
      </c>
      <c r="V319" s="5" t="e">
        <f t="shared" si="11"/>
        <v>#REF!</v>
      </c>
    </row>
    <row r="320" spans="1:22" x14ac:dyDescent="0.25">
      <c r="A320" s="2">
        <v>45904</v>
      </c>
      <c r="B320" s="2">
        <v>45875</v>
      </c>
      <c r="C320" t="s">
        <v>650</v>
      </c>
      <c r="D320">
        <v>36</v>
      </c>
      <c r="E320" t="s">
        <v>651</v>
      </c>
      <c r="F320" t="s">
        <v>283</v>
      </c>
      <c r="G320" t="s">
        <v>652</v>
      </c>
      <c r="H320" t="s">
        <v>653</v>
      </c>
      <c r="I320" t="s">
        <v>214</v>
      </c>
      <c r="J320" s="3" t="s">
        <v>654</v>
      </c>
      <c r="K320" t="s">
        <v>655</v>
      </c>
      <c r="L320" s="4">
        <v>5</v>
      </c>
      <c r="M320" s="4">
        <v>0</v>
      </c>
      <c r="N320">
        <v>5</v>
      </c>
      <c r="O320" t="s">
        <v>656</v>
      </c>
      <c r="P320">
        <v>125</v>
      </c>
      <c r="Q320">
        <f>QtyRemaining*EstMfgMin/60</f>
        <v>10.416666666666666</v>
      </c>
      <c r="U320" t="e">
        <f t="shared" si="10"/>
        <v>#REF!</v>
      </c>
      <c r="V320" s="5" t="e">
        <f t="shared" si="11"/>
        <v>#REF!</v>
      </c>
    </row>
    <row r="321" spans="1:22" x14ac:dyDescent="0.25">
      <c r="A321" s="2">
        <v>45904</v>
      </c>
      <c r="B321" s="2">
        <v>45875</v>
      </c>
      <c r="C321" t="s">
        <v>650</v>
      </c>
      <c r="D321">
        <v>36</v>
      </c>
      <c r="E321" t="s">
        <v>657</v>
      </c>
      <c r="F321" t="s">
        <v>283</v>
      </c>
      <c r="G321" t="s">
        <v>652</v>
      </c>
      <c r="H321" t="s">
        <v>653</v>
      </c>
      <c r="I321" t="s">
        <v>214</v>
      </c>
      <c r="J321" s="3" t="s">
        <v>654</v>
      </c>
      <c r="K321" t="s">
        <v>655</v>
      </c>
      <c r="L321" s="4">
        <v>5</v>
      </c>
      <c r="M321" s="4">
        <v>0</v>
      </c>
      <c r="N321">
        <v>5</v>
      </c>
      <c r="O321" t="s">
        <v>656</v>
      </c>
      <c r="P321">
        <v>125</v>
      </c>
      <c r="Q321">
        <f>QtyRemaining*EstMfgMin/60</f>
        <v>10.416666666666666</v>
      </c>
      <c r="U321" t="e">
        <f t="shared" si="10"/>
        <v>#REF!</v>
      </c>
      <c r="V321" s="5" t="e">
        <f t="shared" si="11"/>
        <v>#REF!</v>
      </c>
    </row>
    <row r="322" spans="1:22" x14ac:dyDescent="0.25">
      <c r="A322" s="2">
        <v>45905</v>
      </c>
      <c r="B322" s="2">
        <v>45769</v>
      </c>
      <c r="C322" t="s">
        <v>523</v>
      </c>
      <c r="D322">
        <v>36</v>
      </c>
      <c r="E322" t="s">
        <v>658</v>
      </c>
      <c r="F322" t="s">
        <v>261</v>
      </c>
      <c r="G322" t="s">
        <v>529</v>
      </c>
      <c r="H322" t="s">
        <v>659</v>
      </c>
      <c r="I322" t="s">
        <v>83</v>
      </c>
      <c r="J322" s="3" t="s">
        <v>531</v>
      </c>
      <c r="K322" t="s">
        <v>532</v>
      </c>
      <c r="L322" s="4">
        <v>17</v>
      </c>
      <c r="M322" s="4">
        <v>0</v>
      </c>
      <c r="N322">
        <v>17</v>
      </c>
      <c r="O322" t="s">
        <v>118</v>
      </c>
      <c r="P322">
        <v>261</v>
      </c>
      <c r="Q322">
        <f>QtyRemaining*EstMfgMin/60</f>
        <v>73.95</v>
      </c>
      <c r="U322" t="e">
        <f t="shared" si="10"/>
        <v>#REF!</v>
      </c>
      <c r="V322" s="5" t="e">
        <f t="shared" si="11"/>
        <v>#REF!</v>
      </c>
    </row>
    <row r="323" spans="1:22" x14ac:dyDescent="0.25">
      <c r="A323" s="2">
        <v>45905</v>
      </c>
      <c r="B323" s="2">
        <v>45875</v>
      </c>
      <c r="C323" t="s">
        <v>650</v>
      </c>
      <c r="D323">
        <v>36</v>
      </c>
      <c r="E323" t="s">
        <v>660</v>
      </c>
      <c r="F323" t="s">
        <v>283</v>
      </c>
      <c r="G323" t="s">
        <v>652</v>
      </c>
      <c r="H323" t="s">
        <v>661</v>
      </c>
      <c r="I323" t="s">
        <v>214</v>
      </c>
      <c r="J323" s="3" t="s">
        <v>662</v>
      </c>
      <c r="K323" t="s">
        <v>663</v>
      </c>
      <c r="L323" s="4">
        <v>1</v>
      </c>
      <c r="M323" s="4">
        <v>0</v>
      </c>
      <c r="N323">
        <v>1</v>
      </c>
      <c r="O323" t="s">
        <v>664</v>
      </c>
      <c r="P323">
        <v>60</v>
      </c>
      <c r="Q323">
        <f>QtyRemaining*EstMfgMin/60</f>
        <v>1</v>
      </c>
      <c r="U323" t="e">
        <f t="shared" ref="U323:U386" si="12">VLOOKUP(A323,Calendar,13,FALSE)</f>
        <v>#REF!</v>
      </c>
      <c r="V323" s="5" t="e">
        <f t="shared" ref="V323:V386" si="13">VLOOKUP(A323,Calendar,14,FALSE)</f>
        <v>#REF!</v>
      </c>
    </row>
    <row r="324" spans="1:22" x14ac:dyDescent="0.25">
      <c r="A324" s="2">
        <v>45917</v>
      </c>
      <c r="B324" s="2">
        <v>45720</v>
      </c>
      <c r="C324" t="s">
        <v>550</v>
      </c>
      <c r="D324">
        <v>38</v>
      </c>
      <c r="E324" t="s">
        <v>614</v>
      </c>
      <c r="F324" t="s">
        <v>261</v>
      </c>
      <c r="G324" t="s">
        <v>552</v>
      </c>
      <c r="H324" t="s">
        <v>615</v>
      </c>
      <c r="I324" t="s">
        <v>155</v>
      </c>
      <c r="J324" s="3" t="s">
        <v>616</v>
      </c>
      <c r="K324" t="s">
        <v>617</v>
      </c>
      <c r="L324" s="4">
        <v>12</v>
      </c>
      <c r="M324" s="4">
        <v>0</v>
      </c>
      <c r="N324">
        <v>12</v>
      </c>
      <c r="O324" t="s">
        <v>118</v>
      </c>
      <c r="P324">
        <v>120</v>
      </c>
      <c r="Q324">
        <f>QtyRemaining*EstMfgMin/60</f>
        <v>24</v>
      </c>
      <c r="R324" t="s">
        <v>618</v>
      </c>
      <c r="U324" t="e">
        <f t="shared" si="12"/>
        <v>#REF!</v>
      </c>
      <c r="V324" s="5" t="e">
        <f t="shared" si="13"/>
        <v>#REF!</v>
      </c>
    </row>
    <row r="325" spans="1:22" x14ac:dyDescent="0.25">
      <c r="A325" s="2">
        <v>45917</v>
      </c>
      <c r="B325" s="2">
        <v>45917</v>
      </c>
      <c r="C325" t="s">
        <v>274</v>
      </c>
      <c r="D325">
        <v>38</v>
      </c>
      <c r="E325" t="s">
        <v>665</v>
      </c>
      <c r="F325" t="s">
        <v>211</v>
      </c>
      <c r="G325" t="s">
        <v>276</v>
      </c>
      <c r="H325" t="s">
        <v>640</v>
      </c>
      <c r="I325" t="s">
        <v>83</v>
      </c>
      <c r="J325" s="3" t="s">
        <v>666</v>
      </c>
      <c r="K325" t="s">
        <v>667</v>
      </c>
      <c r="L325" s="4">
        <v>112</v>
      </c>
      <c r="M325" s="4">
        <v>110</v>
      </c>
      <c r="N325">
        <v>2</v>
      </c>
      <c r="O325" t="s">
        <v>668</v>
      </c>
      <c r="P325">
        <v>120</v>
      </c>
      <c r="Q325">
        <f>QtyRemaining*EstMfgMin/60</f>
        <v>4</v>
      </c>
      <c r="U325" t="e">
        <f t="shared" si="12"/>
        <v>#REF!</v>
      </c>
      <c r="V325" s="5" t="e">
        <f t="shared" si="13"/>
        <v>#REF!</v>
      </c>
    </row>
    <row r="326" spans="1:22" x14ac:dyDescent="0.25">
      <c r="A326" s="2">
        <v>45919</v>
      </c>
      <c r="B326" s="2">
        <v>45706</v>
      </c>
      <c r="C326" t="s">
        <v>274</v>
      </c>
      <c r="D326">
        <v>38</v>
      </c>
      <c r="E326" t="s">
        <v>625</v>
      </c>
      <c r="F326" t="s">
        <v>211</v>
      </c>
      <c r="G326" t="s">
        <v>276</v>
      </c>
      <c r="H326" t="s">
        <v>626</v>
      </c>
      <c r="I326" t="s">
        <v>83</v>
      </c>
      <c r="J326" s="3" t="s">
        <v>627</v>
      </c>
      <c r="K326" t="s">
        <v>628</v>
      </c>
      <c r="L326" s="4">
        <v>600</v>
      </c>
      <c r="M326" s="4">
        <v>0</v>
      </c>
      <c r="N326">
        <v>600</v>
      </c>
      <c r="O326" t="s">
        <v>176</v>
      </c>
      <c r="P326">
        <v>120</v>
      </c>
      <c r="Q326">
        <f>QtyRemaining*EstMfgMin/60</f>
        <v>1200</v>
      </c>
      <c r="U326" t="e">
        <f t="shared" si="12"/>
        <v>#REF!</v>
      </c>
      <c r="V326" s="5" t="e">
        <f t="shared" si="13"/>
        <v>#REF!</v>
      </c>
    </row>
    <row r="327" spans="1:22" x14ac:dyDescent="0.25">
      <c r="A327" s="2">
        <v>45924</v>
      </c>
      <c r="B327" s="2">
        <v>45882</v>
      </c>
      <c r="C327" t="s">
        <v>478</v>
      </c>
      <c r="D327">
        <v>39</v>
      </c>
      <c r="E327" t="s">
        <v>669</v>
      </c>
      <c r="F327" t="s">
        <v>261</v>
      </c>
      <c r="G327" t="s">
        <v>670</v>
      </c>
      <c r="H327" t="s">
        <v>671</v>
      </c>
      <c r="I327" t="s">
        <v>155</v>
      </c>
      <c r="J327" s="3" t="s">
        <v>672</v>
      </c>
      <c r="K327" t="s">
        <v>673</v>
      </c>
      <c r="L327" s="4">
        <v>5</v>
      </c>
      <c r="M327" s="4">
        <v>0</v>
      </c>
      <c r="N327">
        <v>5</v>
      </c>
      <c r="P327">
        <v>16</v>
      </c>
      <c r="Q327">
        <f>QtyRemaining*EstMfgMin/60</f>
        <v>1.3333333333333333</v>
      </c>
      <c r="U327" t="e">
        <f t="shared" si="12"/>
        <v>#REF!</v>
      </c>
      <c r="V327" s="5" t="e">
        <f t="shared" si="13"/>
        <v>#REF!</v>
      </c>
    </row>
    <row r="328" spans="1:22" x14ac:dyDescent="0.25">
      <c r="A328" s="2">
        <v>45926</v>
      </c>
      <c r="B328" s="2">
        <v>45835</v>
      </c>
      <c r="C328" t="s">
        <v>650</v>
      </c>
      <c r="D328">
        <v>39</v>
      </c>
      <c r="E328" t="s">
        <v>674</v>
      </c>
      <c r="F328" t="s">
        <v>283</v>
      </c>
      <c r="G328" t="s">
        <v>675</v>
      </c>
      <c r="H328" t="s">
        <v>676</v>
      </c>
      <c r="I328" t="s">
        <v>291</v>
      </c>
      <c r="J328" s="3" t="s">
        <v>677</v>
      </c>
      <c r="K328" t="s">
        <v>678</v>
      </c>
      <c r="L328" s="4">
        <v>10</v>
      </c>
      <c r="M328" s="4">
        <v>0</v>
      </c>
      <c r="N328">
        <v>10</v>
      </c>
      <c r="P328">
        <v>0</v>
      </c>
      <c r="Q328">
        <f>QtyRemaining*EstMfgMin/60</f>
        <v>0</v>
      </c>
      <c r="U328" t="e">
        <f t="shared" si="12"/>
        <v>#REF!</v>
      </c>
      <c r="V328" s="5" t="e">
        <f t="shared" si="13"/>
        <v>#REF!</v>
      </c>
    </row>
    <row r="329" spans="1:22" x14ac:dyDescent="0.25">
      <c r="A329" s="2">
        <v>45926</v>
      </c>
      <c r="B329" s="2">
        <v>45835</v>
      </c>
      <c r="C329" t="s">
        <v>650</v>
      </c>
      <c r="D329">
        <v>39</v>
      </c>
      <c r="E329" t="s">
        <v>674</v>
      </c>
      <c r="F329" t="s">
        <v>283</v>
      </c>
      <c r="G329" t="s">
        <v>675</v>
      </c>
      <c r="H329" t="s">
        <v>676</v>
      </c>
      <c r="I329" t="s">
        <v>291</v>
      </c>
      <c r="J329" s="3" t="s">
        <v>679</v>
      </c>
      <c r="K329" t="s">
        <v>680</v>
      </c>
      <c r="L329" s="4">
        <v>10</v>
      </c>
      <c r="M329" s="4">
        <v>0</v>
      </c>
      <c r="N329">
        <v>10</v>
      </c>
      <c r="P329">
        <v>0</v>
      </c>
      <c r="Q329">
        <f>QtyRemaining*EstMfgMin/60</f>
        <v>0</v>
      </c>
      <c r="U329" t="e">
        <f t="shared" si="12"/>
        <v>#REF!</v>
      </c>
      <c r="V329" s="5" t="e">
        <f t="shared" si="13"/>
        <v>#REF!</v>
      </c>
    </row>
    <row r="330" spans="1:22" x14ac:dyDescent="0.25">
      <c r="A330" s="2">
        <v>45929</v>
      </c>
      <c r="B330" s="2">
        <v>45897</v>
      </c>
      <c r="C330" t="s">
        <v>232</v>
      </c>
      <c r="D330">
        <v>40</v>
      </c>
      <c r="E330" t="s">
        <v>681</v>
      </c>
      <c r="F330" t="s">
        <v>211</v>
      </c>
      <c r="G330" t="s">
        <v>270</v>
      </c>
      <c r="H330" t="s">
        <v>682</v>
      </c>
      <c r="I330" t="s">
        <v>214</v>
      </c>
      <c r="J330" s="3" t="s">
        <v>683</v>
      </c>
      <c r="K330" t="s">
        <v>684</v>
      </c>
      <c r="L330" s="4">
        <v>30</v>
      </c>
      <c r="M330" s="4">
        <v>22</v>
      </c>
      <c r="N330">
        <v>8</v>
      </c>
      <c r="P330">
        <v>7</v>
      </c>
      <c r="Q330">
        <f>QtyRemaining*EstMfgMin/60</f>
        <v>0.93333333333333335</v>
      </c>
      <c r="U330" t="e">
        <f t="shared" si="12"/>
        <v>#REF!</v>
      </c>
      <c r="V330" s="5" t="e">
        <f t="shared" si="13"/>
        <v>#REF!</v>
      </c>
    </row>
    <row r="331" spans="1:22" x14ac:dyDescent="0.25">
      <c r="A331" s="2">
        <v>45930</v>
      </c>
      <c r="B331" s="2">
        <v>45862</v>
      </c>
      <c r="C331" t="s">
        <v>685</v>
      </c>
      <c r="D331">
        <v>40</v>
      </c>
      <c r="E331" t="s">
        <v>686</v>
      </c>
      <c r="F331" t="s">
        <v>211</v>
      </c>
      <c r="G331" t="s">
        <v>276</v>
      </c>
      <c r="H331" t="s">
        <v>687</v>
      </c>
      <c r="I331" t="s">
        <v>155</v>
      </c>
      <c r="J331" s="3" t="s">
        <v>688</v>
      </c>
      <c r="K331" t="s">
        <v>689</v>
      </c>
      <c r="L331" s="4">
        <v>3</v>
      </c>
      <c r="M331" s="4">
        <v>0</v>
      </c>
      <c r="N331">
        <v>3</v>
      </c>
      <c r="O331" t="s">
        <v>690</v>
      </c>
      <c r="P331">
        <v>30</v>
      </c>
      <c r="Q331">
        <f>QtyRemaining*EstMfgMin/60</f>
        <v>1.5</v>
      </c>
      <c r="R331" t="s">
        <v>691</v>
      </c>
      <c r="U331" t="e">
        <f t="shared" si="12"/>
        <v>#REF!</v>
      </c>
      <c r="V331" s="5" t="e">
        <f t="shared" si="13"/>
        <v>#REF!</v>
      </c>
    </row>
    <row r="332" spans="1:22" x14ac:dyDescent="0.25">
      <c r="A332" s="2">
        <v>45930</v>
      </c>
      <c r="B332" s="2">
        <v>45862</v>
      </c>
      <c r="C332" t="s">
        <v>685</v>
      </c>
      <c r="D332">
        <v>40</v>
      </c>
      <c r="E332" t="s">
        <v>686</v>
      </c>
      <c r="F332" t="s">
        <v>211</v>
      </c>
      <c r="G332" t="s">
        <v>276</v>
      </c>
      <c r="H332" t="s">
        <v>687</v>
      </c>
      <c r="I332" t="s">
        <v>155</v>
      </c>
      <c r="J332" s="3" t="s">
        <v>692</v>
      </c>
      <c r="K332" t="s">
        <v>693</v>
      </c>
      <c r="L332" s="4">
        <v>3</v>
      </c>
      <c r="M332" s="4">
        <v>0</v>
      </c>
      <c r="N332">
        <v>3</v>
      </c>
      <c r="O332" t="s">
        <v>266</v>
      </c>
      <c r="P332">
        <v>0</v>
      </c>
      <c r="Q332">
        <f>QtyRemaining*EstMfgMin/60</f>
        <v>0</v>
      </c>
      <c r="R332" t="s">
        <v>691</v>
      </c>
      <c r="U332" t="e">
        <f t="shared" si="12"/>
        <v>#REF!</v>
      </c>
      <c r="V332" s="5" t="e">
        <f t="shared" si="13"/>
        <v>#REF!</v>
      </c>
    </row>
    <row r="333" spans="1:22" x14ac:dyDescent="0.25">
      <c r="A333" s="2">
        <v>45930</v>
      </c>
      <c r="B333" s="2">
        <v>45862</v>
      </c>
      <c r="C333" t="s">
        <v>685</v>
      </c>
      <c r="D333">
        <v>40</v>
      </c>
      <c r="E333" t="s">
        <v>686</v>
      </c>
      <c r="F333" t="s">
        <v>211</v>
      </c>
      <c r="G333" t="s">
        <v>276</v>
      </c>
      <c r="H333" t="s">
        <v>687</v>
      </c>
      <c r="I333" t="s">
        <v>155</v>
      </c>
      <c r="J333" s="3" t="s">
        <v>694</v>
      </c>
      <c r="K333" t="s">
        <v>695</v>
      </c>
      <c r="L333" s="4">
        <v>3</v>
      </c>
      <c r="M333" s="4">
        <v>0</v>
      </c>
      <c r="N333">
        <v>3</v>
      </c>
      <c r="O333" t="s">
        <v>690</v>
      </c>
      <c r="P333">
        <v>26</v>
      </c>
      <c r="Q333">
        <f>QtyRemaining*EstMfgMin/60</f>
        <v>1.3</v>
      </c>
      <c r="R333" t="s">
        <v>691</v>
      </c>
      <c r="U333" t="e">
        <f t="shared" si="12"/>
        <v>#REF!</v>
      </c>
      <c r="V333" s="5" t="e">
        <f t="shared" si="13"/>
        <v>#REF!</v>
      </c>
    </row>
    <row r="334" spans="1:22" x14ac:dyDescent="0.25">
      <c r="A334" s="2">
        <v>45930</v>
      </c>
      <c r="B334" s="2">
        <v>45862</v>
      </c>
      <c r="C334" t="s">
        <v>685</v>
      </c>
      <c r="D334">
        <v>40</v>
      </c>
      <c r="E334" t="s">
        <v>686</v>
      </c>
      <c r="F334" t="s">
        <v>211</v>
      </c>
      <c r="G334" t="s">
        <v>276</v>
      </c>
      <c r="H334" t="s">
        <v>687</v>
      </c>
      <c r="I334" t="s">
        <v>155</v>
      </c>
      <c r="J334" s="3" t="s">
        <v>696</v>
      </c>
      <c r="K334" t="s">
        <v>697</v>
      </c>
      <c r="L334" s="4">
        <v>3</v>
      </c>
      <c r="M334" s="4">
        <v>0</v>
      </c>
      <c r="N334">
        <v>3</v>
      </c>
      <c r="O334" t="s">
        <v>690</v>
      </c>
      <c r="P334">
        <v>0</v>
      </c>
      <c r="Q334">
        <f>QtyRemaining*EstMfgMin/60</f>
        <v>0</v>
      </c>
      <c r="R334" t="s">
        <v>691</v>
      </c>
      <c r="U334" t="e">
        <f t="shared" si="12"/>
        <v>#REF!</v>
      </c>
      <c r="V334" s="5" t="e">
        <f t="shared" si="13"/>
        <v>#REF!</v>
      </c>
    </row>
    <row r="335" spans="1:22" x14ac:dyDescent="0.25">
      <c r="A335" s="2">
        <v>45930</v>
      </c>
      <c r="B335" s="2">
        <v>45862</v>
      </c>
      <c r="C335" t="s">
        <v>685</v>
      </c>
      <c r="D335">
        <v>40</v>
      </c>
      <c r="E335" t="s">
        <v>686</v>
      </c>
      <c r="F335" t="s">
        <v>211</v>
      </c>
      <c r="G335" t="s">
        <v>276</v>
      </c>
      <c r="H335" t="s">
        <v>687</v>
      </c>
      <c r="I335" t="s">
        <v>155</v>
      </c>
      <c r="J335" s="3" t="s">
        <v>698</v>
      </c>
      <c r="K335" t="s">
        <v>699</v>
      </c>
      <c r="L335" s="4">
        <v>3</v>
      </c>
      <c r="M335" s="4">
        <v>0</v>
      </c>
      <c r="N335">
        <v>3</v>
      </c>
      <c r="O335" t="s">
        <v>146</v>
      </c>
      <c r="P335">
        <v>38</v>
      </c>
      <c r="Q335">
        <f>QtyRemaining*EstMfgMin/60</f>
        <v>1.9</v>
      </c>
      <c r="R335" t="s">
        <v>691</v>
      </c>
      <c r="U335" t="e">
        <f t="shared" si="12"/>
        <v>#REF!</v>
      </c>
      <c r="V335" s="5" t="e">
        <f t="shared" si="13"/>
        <v>#REF!</v>
      </c>
    </row>
    <row r="336" spans="1:22" x14ac:dyDescent="0.25">
      <c r="A336" s="2">
        <v>45930</v>
      </c>
      <c r="B336" s="2">
        <v>45862</v>
      </c>
      <c r="C336" t="s">
        <v>685</v>
      </c>
      <c r="D336">
        <v>40</v>
      </c>
      <c r="E336" t="s">
        <v>686</v>
      </c>
      <c r="F336" t="s">
        <v>211</v>
      </c>
      <c r="G336" t="s">
        <v>276</v>
      </c>
      <c r="H336" t="s">
        <v>687</v>
      </c>
      <c r="I336" t="s">
        <v>155</v>
      </c>
      <c r="J336" s="3" t="s">
        <v>700</v>
      </c>
      <c r="K336" t="s">
        <v>701</v>
      </c>
      <c r="L336" s="4">
        <v>3</v>
      </c>
      <c r="M336" s="4">
        <v>0</v>
      </c>
      <c r="N336">
        <v>3</v>
      </c>
      <c r="O336" t="s">
        <v>702</v>
      </c>
      <c r="P336">
        <v>0</v>
      </c>
      <c r="Q336">
        <f>QtyRemaining*EstMfgMin/60</f>
        <v>0</v>
      </c>
      <c r="R336" t="s">
        <v>691</v>
      </c>
      <c r="U336" t="e">
        <f t="shared" si="12"/>
        <v>#REF!</v>
      </c>
      <c r="V336" s="5" t="e">
        <f t="shared" si="13"/>
        <v>#REF!</v>
      </c>
    </row>
    <row r="337" spans="1:22" x14ac:dyDescent="0.25">
      <c r="A337" s="2">
        <v>45931</v>
      </c>
      <c r="B337" s="2">
        <v>45821</v>
      </c>
      <c r="C337" t="s">
        <v>274</v>
      </c>
      <c r="D337">
        <v>40</v>
      </c>
      <c r="E337" t="s">
        <v>703</v>
      </c>
      <c r="F337" t="s">
        <v>211</v>
      </c>
      <c r="G337" t="s">
        <v>276</v>
      </c>
      <c r="H337" t="s">
        <v>704</v>
      </c>
      <c r="I337" t="s">
        <v>83</v>
      </c>
      <c r="J337" s="3" t="s">
        <v>705</v>
      </c>
      <c r="K337" t="s">
        <v>706</v>
      </c>
      <c r="L337" s="4">
        <v>6</v>
      </c>
      <c r="M337" s="4">
        <v>0</v>
      </c>
      <c r="N337">
        <v>6</v>
      </c>
      <c r="O337" t="s">
        <v>266</v>
      </c>
      <c r="P337">
        <v>120</v>
      </c>
      <c r="Q337">
        <f>QtyRemaining*EstMfgMin/60</f>
        <v>12</v>
      </c>
      <c r="U337" t="e">
        <f t="shared" si="12"/>
        <v>#REF!</v>
      </c>
      <c r="V337" s="5" t="e">
        <f t="shared" si="13"/>
        <v>#REF!</v>
      </c>
    </row>
    <row r="338" spans="1:22" x14ac:dyDescent="0.25">
      <c r="A338" s="2">
        <v>45931</v>
      </c>
      <c r="B338" s="2">
        <v>45821</v>
      </c>
      <c r="C338" t="s">
        <v>274</v>
      </c>
      <c r="D338">
        <v>40</v>
      </c>
      <c r="E338" t="s">
        <v>703</v>
      </c>
      <c r="F338" t="s">
        <v>211</v>
      </c>
      <c r="G338" t="s">
        <v>276</v>
      </c>
      <c r="H338" t="s">
        <v>704</v>
      </c>
      <c r="I338" t="s">
        <v>83</v>
      </c>
      <c r="J338" s="3" t="s">
        <v>707</v>
      </c>
      <c r="K338" t="s">
        <v>708</v>
      </c>
      <c r="L338" s="4">
        <v>6</v>
      </c>
      <c r="M338" s="4">
        <v>0</v>
      </c>
      <c r="N338">
        <v>6</v>
      </c>
      <c r="O338" t="s">
        <v>146</v>
      </c>
      <c r="P338">
        <v>35</v>
      </c>
      <c r="Q338">
        <f>QtyRemaining*EstMfgMin/60</f>
        <v>3.5</v>
      </c>
      <c r="U338" t="e">
        <f t="shared" si="12"/>
        <v>#REF!</v>
      </c>
      <c r="V338" s="5" t="e">
        <f t="shared" si="13"/>
        <v>#REF!</v>
      </c>
    </row>
    <row r="339" spans="1:22" x14ac:dyDescent="0.25">
      <c r="A339" s="2">
        <v>45931</v>
      </c>
      <c r="B339" s="2">
        <v>45821</v>
      </c>
      <c r="C339" t="s">
        <v>274</v>
      </c>
      <c r="D339">
        <v>40</v>
      </c>
      <c r="E339" t="s">
        <v>703</v>
      </c>
      <c r="F339" t="s">
        <v>211</v>
      </c>
      <c r="G339" t="s">
        <v>276</v>
      </c>
      <c r="H339" t="s">
        <v>704</v>
      </c>
      <c r="I339" t="s">
        <v>83</v>
      </c>
      <c r="J339" s="3" t="s">
        <v>709</v>
      </c>
      <c r="K339" t="s">
        <v>710</v>
      </c>
      <c r="L339" s="4">
        <v>6</v>
      </c>
      <c r="M339" s="4">
        <v>0</v>
      </c>
      <c r="N339">
        <v>6</v>
      </c>
      <c r="O339" t="s">
        <v>86</v>
      </c>
      <c r="P339">
        <v>100</v>
      </c>
      <c r="Q339">
        <f>QtyRemaining*EstMfgMin/60</f>
        <v>10</v>
      </c>
      <c r="U339" t="e">
        <f t="shared" si="12"/>
        <v>#REF!</v>
      </c>
      <c r="V339" s="5" t="e">
        <f t="shared" si="13"/>
        <v>#REF!</v>
      </c>
    </row>
    <row r="340" spans="1:22" x14ac:dyDescent="0.25">
      <c r="A340" s="2">
        <v>45931</v>
      </c>
      <c r="B340" s="2">
        <v>45821</v>
      </c>
      <c r="C340" t="s">
        <v>274</v>
      </c>
      <c r="D340">
        <v>40</v>
      </c>
      <c r="E340" t="s">
        <v>703</v>
      </c>
      <c r="F340" t="s">
        <v>211</v>
      </c>
      <c r="G340" t="s">
        <v>276</v>
      </c>
      <c r="H340" t="s">
        <v>704</v>
      </c>
      <c r="I340" t="s">
        <v>83</v>
      </c>
      <c r="J340" s="3" t="s">
        <v>711</v>
      </c>
      <c r="K340" t="s">
        <v>712</v>
      </c>
      <c r="L340" s="4">
        <v>6</v>
      </c>
      <c r="M340" s="4">
        <v>0</v>
      </c>
      <c r="N340">
        <v>6</v>
      </c>
      <c r="O340" t="s">
        <v>713</v>
      </c>
      <c r="P340">
        <v>0</v>
      </c>
      <c r="Q340">
        <f>QtyRemaining*EstMfgMin/60</f>
        <v>0</v>
      </c>
      <c r="U340" t="e">
        <f t="shared" si="12"/>
        <v>#REF!</v>
      </c>
      <c r="V340" s="5" t="e">
        <f t="shared" si="13"/>
        <v>#REF!</v>
      </c>
    </row>
    <row r="341" spans="1:22" x14ac:dyDescent="0.25">
      <c r="A341" s="2">
        <v>45931</v>
      </c>
      <c r="B341" s="2">
        <v>45831</v>
      </c>
      <c r="C341" t="s">
        <v>274</v>
      </c>
      <c r="D341">
        <v>40</v>
      </c>
      <c r="E341" t="s">
        <v>639</v>
      </c>
      <c r="F341" t="s">
        <v>211</v>
      </c>
      <c r="G341" t="s">
        <v>276</v>
      </c>
      <c r="H341" t="s">
        <v>640</v>
      </c>
      <c r="I341" t="s">
        <v>83</v>
      </c>
      <c r="J341" s="3" t="s">
        <v>627</v>
      </c>
      <c r="K341" t="s">
        <v>628</v>
      </c>
      <c r="L341" s="4">
        <v>44</v>
      </c>
      <c r="M341" s="4">
        <v>0</v>
      </c>
      <c r="N341">
        <v>44</v>
      </c>
      <c r="O341" t="s">
        <v>86</v>
      </c>
      <c r="P341">
        <v>120</v>
      </c>
      <c r="Q341">
        <f>QtyRemaining*EstMfgMin/60</f>
        <v>88</v>
      </c>
      <c r="U341" t="e">
        <f t="shared" si="12"/>
        <v>#REF!</v>
      </c>
      <c r="V341" s="5" t="e">
        <f t="shared" si="13"/>
        <v>#REF!</v>
      </c>
    </row>
    <row r="342" spans="1:22" x14ac:dyDescent="0.25">
      <c r="A342" s="2">
        <v>45931</v>
      </c>
      <c r="B342" s="2">
        <v>45831</v>
      </c>
      <c r="C342" t="s">
        <v>274</v>
      </c>
      <c r="D342">
        <v>40</v>
      </c>
      <c r="E342" t="s">
        <v>639</v>
      </c>
      <c r="F342" t="s">
        <v>211</v>
      </c>
      <c r="G342" t="s">
        <v>276</v>
      </c>
      <c r="H342" t="s">
        <v>640</v>
      </c>
      <c r="I342" t="s">
        <v>83</v>
      </c>
      <c r="J342" s="3" t="s">
        <v>641</v>
      </c>
      <c r="K342" t="s">
        <v>642</v>
      </c>
      <c r="L342" s="4">
        <v>44</v>
      </c>
      <c r="M342" s="4">
        <v>0</v>
      </c>
      <c r="N342">
        <v>44</v>
      </c>
      <c r="O342" t="s">
        <v>643</v>
      </c>
      <c r="P342">
        <v>40</v>
      </c>
      <c r="Q342">
        <f>QtyRemaining*EstMfgMin/60</f>
        <v>29.333333333333332</v>
      </c>
      <c r="U342" t="e">
        <f t="shared" si="12"/>
        <v>#REF!</v>
      </c>
      <c r="V342" s="5" t="e">
        <f t="shared" si="13"/>
        <v>#REF!</v>
      </c>
    </row>
    <row r="343" spans="1:22" x14ac:dyDescent="0.25">
      <c r="A343" s="2">
        <v>45931</v>
      </c>
      <c r="B343" s="2">
        <v>45831</v>
      </c>
      <c r="C343" t="s">
        <v>274</v>
      </c>
      <c r="D343">
        <v>40</v>
      </c>
      <c r="E343" t="s">
        <v>639</v>
      </c>
      <c r="F343" t="s">
        <v>211</v>
      </c>
      <c r="G343" t="s">
        <v>276</v>
      </c>
      <c r="H343" t="s">
        <v>640</v>
      </c>
      <c r="I343" t="s">
        <v>83</v>
      </c>
      <c r="J343" s="3" t="s">
        <v>644</v>
      </c>
      <c r="K343" t="s">
        <v>645</v>
      </c>
      <c r="L343" s="4">
        <v>44</v>
      </c>
      <c r="M343" s="4">
        <v>0</v>
      </c>
      <c r="N343">
        <v>44</v>
      </c>
      <c r="O343" t="s">
        <v>146</v>
      </c>
      <c r="P343">
        <v>234</v>
      </c>
      <c r="Q343">
        <f>QtyRemaining*EstMfgMin/60</f>
        <v>171.6</v>
      </c>
      <c r="U343" t="e">
        <f t="shared" si="12"/>
        <v>#REF!</v>
      </c>
      <c r="V343" s="5" t="e">
        <f t="shared" si="13"/>
        <v>#REF!</v>
      </c>
    </row>
    <row r="344" spans="1:22" x14ac:dyDescent="0.25">
      <c r="A344" s="2">
        <v>45931</v>
      </c>
      <c r="B344" s="2">
        <v>45917</v>
      </c>
      <c r="C344" t="s">
        <v>274</v>
      </c>
      <c r="D344">
        <v>40</v>
      </c>
      <c r="E344" t="s">
        <v>665</v>
      </c>
      <c r="F344" t="s">
        <v>211</v>
      </c>
      <c r="G344" t="s">
        <v>276</v>
      </c>
      <c r="H344" t="s">
        <v>640</v>
      </c>
      <c r="I344" t="s">
        <v>83</v>
      </c>
      <c r="J344" s="3" t="s">
        <v>666</v>
      </c>
      <c r="K344" t="s">
        <v>667</v>
      </c>
      <c r="L344" s="4">
        <v>257</v>
      </c>
      <c r="M344" s="4">
        <v>0</v>
      </c>
      <c r="N344">
        <v>257</v>
      </c>
      <c r="O344" t="s">
        <v>668</v>
      </c>
      <c r="P344">
        <v>120</v>
      </c>
      <c r="Q344">
        <f>QtyRemaining*EstMfgMin/60</f>
        <v>514</v>
      </c>
      <c r="U344" t="e">
        <f t="shared" si="12"/>
        <v>#REF!</v>
      </c>
      <c r="V344" s="5" t="e">
        <f t="shared" si="13"/>
        <v>#REF!</v>
      </c>
    </row>
    <row r="345" spans="1:22" x14ac:dyDescent="0.25">
      <c r="A345" s="2">
        <v>45931</v>
      </c>
      <c r="B345" s="2">
        <v>45917</v>
      </c>
      <c r="C345" t="s">
        <v>274</v>
      </c>
      <c r="D345">
        <v>40</v>
      </c>
      <c r="E345" t="s">
        <v>665</v>
      </c>
      <c r="F345" t="s">
        <v>211</v>
      </c>
      <c r="G345" t="s">
        <v>276</v>
      </c>
      <c r="H345" t="s">
        <v>640</v>
      </c>
      <c r="I345" t="s">
        <v>83</v>
      </c>
      <c r="J345" s="3" t="s">
        <v>666</v>
      </c>
      <c r="K345" t="s">
        <v>667</v>
      </c>
      <c r="L345" s="4">
        <v>112</v>
      </c>
      <c r="M345" s="4">
        <v>0</v>
      </c>
      <c r="N345">
        <v>112</v>
      </c>
      <c r="O345" t="s">
        <v>668</v>
      </c>
      <c r="P345">
        <v>120</v>
      </c>
      <c r="Q345">
        <f>QtyRemaining*EstMfgMin/60</f>
        <v>224</v>
      </c>
      <c r="U345" t="e">
        <f t="shared" si="12"/>
        <v>#REF!</v>
      </c>
      <c r="V345" s="5" t="e">
        <f t="shared" si="13"/>
        <v>#REF!</v>
      </c>
    </row>
    <row r="346" spans="1:22" x14ac:dyDescent="0.25">
      <c r="A346" s="2">
        <v>45931</v>
      </c>
      <c r="B346" s="2">
        <v>45917</v>
      </c>
      <c r="C346" t="s">
        <v>274</v>
      </c>
      <c r="D346">
        <v>40</v>
      </c>
      <c r="E346" t="s">
        <v>665</v>
      </c>
      <c r="F346" t="s">
        <v>211</v>
      </c>
      <c r="G346" t="s">
        <v>276</v>
      </c>
      <c r="H346" t="s">
        <v>640</v>
      </c>
      <c r="I346" t="s">
        <v>83</v>
      </c>
      <c r="J346" s="3" t="s">
        <v>714</v>
      </c>
      <c r="K346" t="s">
        <v>715</v>
      </c>
      <c r="L346" s="4">
        <v>193</v>
      </c>
      <c r="M346" s="4">
        <v>0</v>
      </c>
      <c r="N346">
        <v>193</v>
      </c>
      <c r="O346" t="s">
        <v>266</v>
      </c>
      <c r="P346">
        <v>132</v>
      </c>
      <c r="Q346">
        <f>QtyRemaining*EstMfgMin/60</f>
        <v>424.6</v>
      </c>
      <c r="U346" t="e">
        <f t="shared" si="12"/>
        <v>#REF!</v>
      </c>
      <c r="V346" s="5" t="e">
        <f t="shared" si="13"/>
        <v>#REF!</v>
      </c>
    </row>
    <row r="347" spans="1:22" x14ac:dyDescent="0.25">
      <c r="A347" s="2">
        <v>45940</v>
      </c>
      <c r="B347" s="2">
        <v>46043</v>
      </c>
      <c r="C347" t="s">
        <v>550</v>
      </c>
      <c r="D347">
        <v>41</v>
      </c>
      <c r="E347" t="s">
        <v>716</v>
      </c>
      <c r="F347" t="s">
        <v>261</v>
      </c>
      <c r="G347" t="s">
        <v>552</v>
      </c>
      <c r="H347" t="s">
        <v>717</v>
      </c>
      <c r="I347" t="s">
        <v>45</v>
      </c>
      <c r="J347" s="3" t="s">
        <v>144</v>
      </c>
      <c r="K347" t="s">
        <v>718</v>
      </c>
      <c r="L347" s="4">
        <v>50</v>
      </c>
      <c r="M347" s="4">
        <v>0</v>
      </c>
      <c r="N347">
        <v>50</v>
      </c>
      <c r="O347" t="s">
        <v>146</v>
      </c>
      <c r="P347">
        <v>0</v>
      </c>
      <c r="Q347">
        <f>QtyRemaining*EstMfgMin/60</f>
        <v>0</v>
      </c>
      <c r="U347" t="e">
        <f t="shared" si="12"/>
        <v>#REF!</v>
      </c>
      <c r="V347" s="5" t="e">
        <f t="shared" si="13"/>
        <v>#REF!</v>
      </c>
    </row>
    <row r="348" spans="1:22" x14ac:dyDescent="0.25">
      <c r="A348" s="2">
        <v>45944</v>
      </c>
      <c r="B348" s="2">
        <v>45824</v>
      </c>
      <c r="C348" t="s">
        <v>570</v>
      </c>
      <c r="D348">
        <v>42</v>
      </c>
      <c r="E348" t="s">
        <v>719</v>
      </c>
      <c r="F348" t="s">
        <v>261</v>
      </c>
      <c r="G348" t="s">
        <v>720</v>
      </c>
      <c r="H348" t="s">
        <v>721</v>
      </c>
      <c r="I348" t="s">
        <v>83</v>
      </c>
      <c r="J348" s="3" t="s">
        <v>722</v>
      </c>
      <c r="K348" t="s">
        <v>723</v>
      </c>
      <c r="L348" s="4">
        <v>20</v>
      </c>
      <c r="M348" s="4">
        <v>0</v>
      </c>
      <c r="N348">
        <v>20</v>
      </c>
      <c r="P348">
        <v>100</v>
      </c>
      <c r="Q348">
        <f>QtyRemaining*EstMfgMin/60</f>
        <v>33.333333333333336</v>
      </c>
      <c r="U348" t="e">
        <f t="shared" si="12"/>
        <v>#REF!</v>
      </c>
      <c r="V348" s="5" t="e">
        <f t="shared" si="13"/>
        <v>#REF!</v>
      </c>
    </row>
    <row r="349" spans="1:22" x14ac:dyDescent="0.25">
      <c r="A349" s="2">
        <v>45944</v>
      </c>
      <c r="B349" s="2">
        <v>45824</v>
      </c>
      <c r="C349" t="s">
        <v>570</v>
      </c>
      <c r="D349">
        <v>42</v>
      </c>
      <c r="E349" t="s">
        <v>719</v>
      </c>
      <c r="F349" t="s">
        <v>261</v>
      </c>
      <c r="G349" t="s">
        <v>720</v>
      </c>
      <c r="H349" t="s">
        <v>721</v>
      </c>
      <c r="I349" t="s">
        <v>83</v>
      </c>
      <c r="J349" s="3" t="s">
        <v>724</v>
      </c>
      <c r="K349" t="s">
        <v>725</v>
      </c>
      <c r="L349" s="4">
        <v>1</v>
      </c>
      <c r="M349" s="4">
        <v>0</v>
      </c>
      <c r="N349">
        <v>1</v>
      </c>
      <c r="P349">
        <v>0</v>
      </c>
      <c r="Q349">
        <f>QtyRemaining*EstMfgMin/60</f>
        <v>0</v>
      </c>
      <c r="U349" t="e">
        <f t="shared" si="12"/>
        <v>#REF!</v>
      </c>
      <c r="V349" s="5" t="e">
        <f t="shared" si="13"/>
        <v>#REF!</v>
      </c>
    </row>
    <row r="350" spans="1:22" x14ac:dyDescent="0.25">
      <c r="A350" s="2">
        <v>45944</v>
      </c>
      <c r="B350" s="2">
        <v>45824</v>
      </c>
      <c r="C350" t="s">
        <v>570</v>
      </c>
      <c r="D350">
        <v>42</v>
      </c>
      <c r="E350" t="s">
        <v>719</v>
      </c>
      <c r="F350" t="s">
        <v>261</v>
      </c>
      <c r="G350" t="s">
        <v>720</v>
      </c>
      <c r="H350" t="s">
        <v>721</v>
      </c>
      <c r="I350" t="s">
        <v>83</v>
      </c>
      <c r="J350" s="3" t="s">
        <v>494</v>
      </c>
      <c r="K350" t="s">
        <v>726</v>
      </c>
      <c r="L350" s="4">
        <v>1</v>
      </c>
      <c r="M350" s="4">
        <v>0</v>
      </c>
      <c r="N350">
        <v>1</v>
      </c>
      <c r="P350">
        <v>0</v>
      </c>
      <c r="Q350">
        <f>QtyRemaining*EstMfgMin/60</f>
        <v>0</v>
      </c>
      <c r="U350" t="e">
        <f t="shared" si="12"/>
        <v>#REF!</v>
      </c>
      <c r="V350" s="5" t="e">
        <f t="shared" si="13"/>
        <v>#REF!</v>
      </c>
    </row>
    <row r="351" spans="1:22" x14ac:dyDescent="0.25">
      <c r="A351" s="2">
        <v>45944</v>
      </c>
      <c r="B351" s="2">
        <v>45824</v>
      </c>
      <c r="C351" t="s">
        <v>570</v>
      </c>
      <c r="D351">
        <v>42</v>
      </c>
      <c r="E351" t="s">
        <v>719</v>
      </c>
      <c r="F351" t="s">
        <v>261</v>
      </c>
      <c r="G351" t="s">
        <v>720</v>
      </c>
      <c r="H351" t="s">
        <v>721</v>
      </c>
      <c r="I351" t="s">
        <v>83</v>
      </c>
      <c r="J351" s="3" t="s">
        <v>494</v>
      </c>
      <c r="K351" t="s">
        <v>727</v>
      </c>
      <c r="L351" s="4">
        <v>1</v>
      </c>
      <c r="M351" s="4">
        <v>0</v>
      </c>
      <c r="N351">
        <v>1</v>
      </c>
      <c r="P351">
        <v>0</v>
      </c>
      <c r="Q351">
        <f>QtyRemaining*EstMfgMin/60</f>
        <v>0</v>
      </c>
      <c r="U351" t="e">
        <f t="shared" si="12"/>
        <v>#REF!</v>
      </c>
      <c r="V351" s="5" t="e">
        <f t="shared" si="13"/>
        <v>#REF!</v>
      </c>
    </row>
    <row r="352" spans="1:22" x14ac:dyDescent="0.25">
      <c r="A352" s="2">
        <v>45947</v>
      </c>
      <c r="B352" s="2">
        <v>45720</v>
      </c>
      <c r="C352" t="s">
        <v>550</v>
      </c>
      <c r="D352">
        <v>42</v>
      </c>
      <c r="E352" t="s">
        <v>614</v>
      </c>
      <c r="F352" t="s">
        <v>261</v>
      </c>
      <c r="G352" t="s">
        <v>552</v>
      </c>
      <c r="H352" t="s">
        <v>615</v>
      </c>
      <c r="I352" t="s">
        <v>155</v>
      </c>
      <c r="J352" s="3" t="s">
        <v>616</v>
      </c>
      <c r="K352" t="s">
        <v>617</v>
      </c>
      <c r="L352" s="4">
        <v>7</v>
      </c>
      <c r="M352" s="4">
        <v>0</v>
      </c>
      <c r="N352">
        <v>7</v>
      </c>
      <c r="O352" t="s">
        <v>118</v>
      </c>
      <c r="P352">
        <v>120</v>
      </c>
      <c r="Q352">
        <f>QtyRemaining*EstMfgMin/60</f>
        <v>14</v>
      </c>
      <c r="R352" t="s">
        <v>618</v>
      </c>
      <c r="U352" t="e">
        <f t="shared" si="12"/>
        <v>#REF!</v>
      </c>
      <c r="V352" s="5" t="e">
        <f t="shared" si="13"/>
        <v>#REF!</v>
      </c>
    </row>
    <row r="353" spans="1:22" x14ac:dyDescent="0.25">
      <c r="A353" s="2">
        <v>45950</v>
      </c>
      <c r="B353" s="2">
        <v>45706</v>
      </c>
      <c r="C353" t="s">
        <v>274</v>
      </c>
      <c r="D353">
        <v>43</v>
      </c>
      <c r="E353" t="s">
        <v>625</v>
      </c>
      <c r="F353" t="s">
        <v>211</v>
      </c>
      <c r="G353" t="s">
        <v>276</v>
      </c>
      <c r="H353" t="s">
        <v>626</v>
      </c>
      <c r="I353" t="s">
        <v>83</v>
      </c>
      <c r="J353" s="3" t="s">
        <v>627</v>
      </c>
      <c r="K353" t="s">
        <v>628</v>
      </c>
      <c r="L353" s="4">
        <v>600</v>
      </c>
      <c r="M353" s="4">
        <v>0</v>
      </c>
      <c r="N353">
        <v>600</v>
      </c>
      <c r="O353" t="s">
        <v>176</v>
      </c>
      <c r="P353">
        <v>120</v>
      </c>
      <c r="Q353">
        <f>QtyRemaining*EstMfgMin/60</f>
        <v>1200</v>
      </c>
      <c r="U353" t="e">
        <f t="shared" si="12"/>
        <v>#REF!</v>
      </c>
      <c r="V353" s="5" t="e">
        <f t="shared" si="13"/>
        <v>#REF!</v>
      </c>
    </row>
    <row r="354" spans="1:22" x14ac:dyDescent="0.25">
      <c r="A354" s="2">
        <v>45954</v>
      </c>
      <c r="B354" s="2">
        <v>45952</v>
      </c>
      <c r="C354" t="s">
        <v>728</v>
      </c>
      <c r="D354">
        <v>43</v>
      </c>
      <c r="E354" t="s">
        <v>729</v>
      </c>
      <c r="F354" t="s">
        <v>211</v>
      </c>
      <c r="G354" t="s">
        <v>730</v>
      </c>
      <c r="H354" t="s">
        <v>731</v>
      </c>
      <c r="I354" t="s">
        <v>214</v>
      </c>
      <c r="J354" s="3" t="s">
        <v>732</v>
      </c>
      <c r="K354" t="s">
        <v>733</v>
      </c>
      <c r="L354" s="4">
        <v>99</v>
      </c>
      <c r="M354" s="4">
        <v>0</v>
      </c>
      <c r="N354">
        <v>99</v>
      </c>
      <c r="P354">
        <v>3</v>
      </c>
      <c r="Q354">
        <f>QtyRemaining*EstMfgMin/60</f>
        <v>4.95</v>
      </c>
      <c r="U354" t="e">
        <f t="shared" si="12"/>
        <v>#REF!</v>
      </c>
      <c r="V354" s="5" t="e">
        <f t="shared" si="13"/>
        <v>#REF!</v>
      </c>
    </row>
    <row r="355" spans="1:22" x14ac:dyDescent="0.25">
      <c r="A355" s="2">
        <v>45957</v>
      </c>
      <c r="B355" s="2">
        <v>45674</v>
      </c>
      <c r="C355" t="s">
        <v>570</v>
      </c>
      <c r="D355">
        <v>44</v>
      </c>
      <c r="E355" t="s">
        <v>571</v>
      </c>
      <c r="F355" t="s">
        <v>261</v>
      </c>
      <c r="G355" t="s">
        <v>262</v>
      </c>
      <c r="H355" t="s">
        <v>572</v>
      </c>
      <c r="I355" t="s">
        <v>83</v>
      </c>
      <c r="J355" s="3" t="s">
        <v>734</v>
      </c>
      <c r="K355" t="s">
        <v>735</v>
      </c>
      <c r="L355" s="4">
        <v>10</v>
      </c>
      <c r="M355" s="4">
        <v>9</v>
      </c>
      <c r="N355">
        <v>1</v>
      </c>
      <c r="O355" t="s">
        <v>91</v>
      </c>
      <c r="P355">
        <v>810</v>
      </c>
      <c r="Q355">
        <f>QtyRemaining*EstMfgMin/60</f>
        <v>13.5</v>
      </c>
      <c r="U355" t="e">
        <f t="shared" si="12"/>
        <v>#REF!</v>
      </c>
      <c r="V355" s="5" t="e">
        <f t="shared" si="13"/>
        <v>#REF!</v>
      </c>
    </row>
    <row r="356" spans="1:22" x14ac:dyDescent="0.25">
      <c r="A356" s="2">
        <v>45957</v>
      </c>
      <c r="B356" s="2">
        <v>45754</v>
      </c>
      <c r="C356" t="s">
        <v>221</v>
      </c>
      <c r="D356">
        <v>44</v>
      </c>
      <c r="E356" t="s">
        <v>736</v>
      </c>
      <c r="F356" t="s">
        <v>211</v>
      </c>
      <c r="G356" t="s">
        <v>519</v>
      </c>
      <c r="H356" t="s">
        <v>737</v>
      </c>
      <c r="I356" t="s">
        <v>83</v>
      </c>
      <c r="J356" s="3" t="s">
        <v>738</v>
      </c>
      <c r="K356" t="s">
        <v>739</v>
      </c>
      <c r="L356" s="4">
        <v>10</v>
      </c>
      <c r="M356" s="4">
        <v>9</v>
      </c>
      <c r="N356">
        <v>1</v>
      </c>
      <c r="O356" t="s">
        <v>91</v>
      </c>
      <c r="P356">
        <v>0</v>
      </c>
      <c r="Q356">
        <f>QtyRemaining*EstMfgMin/60</f>
        <v>0</v>
      </c>
      <c r="U356" t="e">
        <f t="shared" si="12"/>
        <v>#REF!</v>
      </c>
      <c r="V356" s="5" t="e">
        <f t="shared" si="13"/>
        <v>#REF!</v>
      </c>
    </row>
    <row r="357" spans="1:22" x14ac:dyDescent="0.25">
      <c r="A357" s="2">
        <v>45959</v>
      </c>
      <c r="B357" s="2">
        <v>45814</v>
      </c>
      <c r="C357" t="s">
        <v>685</v>
      </c>
      <c r="D357">
        <v>44</v>
      </c>
      <c r="E357" t="s">
        <v>740</v>
      </c>
      <c r="F357" t="s">
        <v>261</v>
      </c>
      <c r="G357" t="s">
        <v>741</v>
      </c>
      <c r="H357" t="s">
        <v>742</v>
      </c>
      <c r="I357" t="s">
        <v>83</v>
      </c>
      <c r="J357" s="3" t="s">
        <v>743</v>
      </c>
      <c r="K357" t="s">
        <v>744</v>
      </c>
      <c r="L357" s="4">
        <v>4</v>
      </c>
      <c r="M357" s="4">
        <v>0</v>
      </c>
      <c r="N357">
        <v>4</v>
      </c>
      <c r="O357" t="s">
        <v>176</v>
      </c>
      <c r="P357">
        <v>544</v>
      </c>
      <c r="Q357">
        <f>QtyRemaining*EstMfgMin/60</f>
        <v>36.266666666666666</v>
      </c>
      <c r="U357" t="e">
        <f t="shared" si="12"/>
        <v>#REF!</v>
      </c>
      <c r="V357" s="5" t="e">
        <f t="shared" si="13"/>
        <v>#REF!</v>
      </c>
    </row>
    <row r="358" spans="1:22" x14ac:dyDescent="0.25">
      <c r="A358" s="2">
        <v>45959</v>
      </c>
      <c r="B358" s="2">
        <v>45814</v>
      </c>
      <c r="C358" t="s">
        <v>685</v>
      </c>
      <c r="D358">
        <v>44</v>
      </c>
      <c r="E358" t="s">
        <v>740</v>
      </c>
      <c r="F358" t="s">
        <v>261</v>
      </c>
      <c r="G358" t="s">
        <v>741</v>
      </c>
      <c r="H358" t="s">
        <v>742</v>
      </c>
      <c r="I358" t="s">
        <v>83</v>
      </c>
      <c r="J358" s="3" t="s">
        <v>745</v>
      </c>
      <c r="K358" t="s">
        <v>746</v>
      </c>
      <c r="L358" s="4">
        <v>4</v>
      </c>
      <c r="M358" s="4">
        <v>0</v>
      </c>
      <c r="N358">
        <v>4</v>
      </c>
      <c r="O358" t="s">
        <v>176</v>
      </c>
      <c r="P358">
        <v>400</v>
      </c>
      <c r="Q358">
        <f>QtyRemaining*EstMfgMin/60</f>
        <v>26.666666666666668</v>
      </c>
      <c r="U358" t="e">
        <f t="shared" si="12"/>
        <v>#REF!</v>
      </c>
      <c r="V358" s="5" t="e">
        <f t="shared" si="13"/>
        <v>#REF!</v>
      </c>
    </row>
    <row r="359" spans="1:22" x14ac:dyDescent="0.25">
      <c r="A359" s="2">
        <v>45959</v>
      </c>
      <c r="B359" s="2">
        <v>45814</v>
      </c>
      <c r="C359" t="s">
        <v>685</v>
      </c>
      <c r="D359">
        <v>44</v>
      </c>
      <c r="E359" t="s">
        <v>740</v>
      </c>
      <c r="F359" t="s">
        <v>261</v>
      </c>
      <c r="G359" t="s">
        <v>741</v>
      </c>
      <c r="H359" t="s">
        <v>742</v>
      </c>
      <c r="I359" t="s">
        <v>83</v>
      </c>
      <c r="J359" s="3" t="s">
        <v>747</v>
      </c>
      <c r="K359" t="s">
        <v>748</v>
      </c>
      <c r="L359" s="4">
        <v>4</v>
      </c>
      <c r="M359" s="4">
        <v>0</v>
      </c>
      <c r="N359">
        <v>4</v>
      </c>
      <c r="O359" t="s">
        <v>118</v>
      </c>
      <c r="P359">
        <v>195</v>
      </c>
      <c r="Q359">
        <f>QtyRemaining*EstMfgMin/60</f>
        <v>13</v>
      </c>
      <c r="U359" t="e">
        <f t="shared" si="12"/>
        <v>#REF!</v>
      </c>
      <c r="V359" s="5" t="e">
        <f t="shared" si="13"/>
        <v>#REF!</v>
      </c>
    </row>
    <row r="360" spans="1:22" x14ac:dyDescent="0.25">
      <c r="A360" s="2">
        <v>45959</v>
      </c>
      <c r="B360" s="2">
        <v>45814</v>
      </c>
      <c r="C360" t="s">
        <v>685</v>
      </c>
      <c r="D360">
        <v>44</v>
      </c>
      <c r="E360" t="s">
        <v>740</v>
      </c>
      <c r="F360" t="s">
        <v>261</v>
      </c>
      <c r="G360" t="s">
        <v>741</v>
      </c>
      <c r="H360" t="s">
        <v>742</v>
      </c>
      <c r="I360" t="s">
        <v>83</v>
      </c>
      <c r="J360" s="3" t="s">
        <v>749</v>
      </c>
      <c r="K360" t="s">
        <v>750</v>
      </c>
      <c r="L360" s="4">
        <v>4</v>
      </c>
      <c r="M360" s="4">
        <v>0</v>
      </c>
      <c r="N360">
        <v>4</v>
      </c>
      <c r="O360" t="s">
        <v>118</v>
      </c>
      <c r="P360">
        <v>220</v>
      </c>
      <c r="Q360">
        <f>QtyRemaining*EstMfgMin/60</f>
        <v>14.666666666666666</v>
      </c>
      <c r="U360" t="e">
        <f t="shared" si="12"/>
        <v>#REF!</v>
      </c>
      <c r="V360" s="5" t="e">
        <f t="shared" si="13"/>
        <v>#REF!</v>
      </c>
    </row>
    <row r="361" spans="1:22" x14ac:dyDescent="0.25">
      <c r="A361" s="2">
        <v>45959</v>
      </c>
      <c r="B361" s="2">
        <v>45814</v>
      </c>
      <c r="C361" t="s">
        <v>685</v>
      </c>
      <c r="D361">
        <v>44</v>
      </c>
      <c r="E361" t="s">
        <v>740</v>
      </c>
      <c r="F361" t="s">
        <v>261</v>
      </c>
      <c r="G361" t="s">
        <v>741</v>
      </c>
      <c r="H361" t="s">
        <v>742</v>
      </c>
      <c r="I361" t="s">
        <v>83</v>
      </c>
      <c r="J361" s="3" t="s">
        <v>751</v>
      </c>
      <c r="K361" t="s">
        <v>752</v>
      </c>
      <c r="L361" s="4">
        <v>4</v>
      </c>
      <c r="M361" s="4">
        <v>0</v>
      </c>
      <c r="N361">
        <v>4</v>
      </c>
      <c r="O361" t="s">
        <v>118</v>
      </c>
      <c r="P361">
        <v>186</v>
      </c>
      <c r="Q361">
        <f>QtyRemaining*EstMfgMin/60</f>
        <v>12.4</v>
      </c>
      <c r="U361" t="e">
        <f t="shared" si="12"/>
        <v>#REF!</v>
      </c>
      <c r="V361" s="5" t="e">
        <f t="shared" si="13"/>
        <v>#REF!</v>
      </c>
    </row>
    <row r="362" spans="1:22" x14ac:dyDescent="0.25">
      <c r="A362" s="2">
        <v>45959</v>
      </c>
      <c r="B362" s="2">
        <v>45814</v>
      </c>
      <c r="C362" t="s">
        <v>685</v>
      </c>
      <c r="D362">
        <v>44</v>
      </c>
      <c r="E362" t="s">
        <v>740</v>
      </c>
      <c r="F362" t="s">
        <v>261</v>
      </c>
      <c r="G362" t="s">
        <v>741</v>
      </c>
      <c r="H362" t="s">
        <v>742</v>
      </c>
      <c r="I362" t="s">
        <v>83</v>
      </c>
      <c r="J362" s="3" t="s">
        <v>753</v>
      </c>
      <c r="K362" t="s">
        <v>754</v>
      </c>
      <c r="L362" s="4">
        <v>4</v>
      </c>
      <c r="M362" s="4">
        <v>0</v>
      </c>
      <c r="N362">
        <v>4</v>
      </c>
      <c r="O362" t="s">
        <v>118</v>
      </c>
      <c r="P362">
        <v>175</v>
      </c>
      <c r="Q362">
        <f>QtyRemaining*EstMfgMin/60</f>
        <v>11.666666666666666</v>
      </c>
      <c r="U362" t="e">
        <f t="shared" si="12"/>
        <v>#REF!</v>
      </c>
      <c r="V362" s="5" t="e">
        <f t="shared" si="13"/>
        <v>#REF!</v>
      </c>
    </row>
    <row r="363" spans="1:22" x14ac:dyDescent="0.25">
      <c r="A363" s="2">
        <v>45959</v>
      </c>
      <c r="B363" s="2">
        <v>45814</v>
      </c>
      <c r="C363" t="s">
        <v>685</v>
      </c>
      <c r="D363">
        <v>44</v>
      </c>
      <c r="E363" t="s">
        <v>740</v>
      </c>
      <c r="F363" t="s">
        <v>261</v>
      </c>
      <c r="G363" t="s">
        <v>741</v>
      </c>
      <c r="H363" t="s">
        <v>742</v>
      </c>
      <c r="I363" t="s">
        <v>83</v>
      </c>
      <c r="J363" s="3" t="s">
        <v>755</v>
      </c>
      <c r="K363" t="s">
        <v>756</v>
      </c>
      <c r="L363" s="4">
        <v>4</v>
      </c>
      <c r="M363" s="4">
        <v>0</v>
      </c>
      <c r="N363">
        <v>4</v>
      </c>
      <c r="O363" t="s">
        <v>118</v>
      </c>
      <c r="P363">
        <v>175</v>
      </c>
      <c r="Q363">
        <f>QtyRemaining*EstMfgMin/60</f>
        <v>11.666666666666666</v>
      </c>
      <c r="U363" t="e">
        <f t="shared" si="12"/>
        <v>#REF!</v>
      </c>
      <c r="V363" s="5" t="e">
        <f t="shared" si="13"/>
        <v>#REF!</v>
      </c>
    </row>
    <row r="364" spans="1:22" x14ac:dyDescent="0.25">
      <c r="A364" s="2">
        <v>45959</v>
      </c>
      <c r="B364" s="2">
        <v>45814</v>
      </c>
      <c r="C364" t="s">
        <v>685</v>
      </c>
      <c r="D364">
        <v>44</v>
      </c>
      <c r="E364" t="s">
        <v>740</v>
      </c>
      <c r="F364" t="s">
        <v>261</v>
      </c>
      <c r="G364" t="s">
        <v>741</v>
      </c>
      <c r="H364" t="s">
        <v>742</v>
      </c>
      <c r="I364" t="s">
        <v>83</v>
      </c>
      <c r="J364" s="3" t="s">
        <v>757</v>
      </c>
      <c r="K364" t="s">
        <v>756</v>
      </c>
      <c r="L364" s="4">
        <v>4</v>
      </c>
      <c r="M364" s="4">
        <v>0</v>
      </c>
      <c r="N364">
        <v>4</v>
      </c>
      <c r="O364" t="s">
        <v>118</v>
      </c>
      <c r="P364">
        <v>175</v>
      </c>
      <c r="Q364">
        <f>QtyRemaining*EstMfgMin/60</f>
        <v>11.666666666666666</v>
      </c>
      <c r="U364" t="e">
        <f t="shared" si="12"/>
        <v>#REF!</v>
      </c>
      <c r="V364" s="5" t="e">
        <f t="shared" si="13"/>
        <v>#REF!</v>
      </c>
    </row>
    <row r="365" spans="1:22" x14ac:dyDescent="0.25">
      <c r="A365" s="2">
        <v>45959</v>
      </c>
      <c r="B365" s="2">
        <v>45814</v>
      </c>
      <c r="C365" t="s">
        <v>685</v>
      </c>
      <c r="D365">
        <v>44</v>
      </c>
      <c r="E365" t="s">
        <v>740</v>
      </c>
      <c r="F365" t="s">
        <v>261</v>
      </c>
      <c r="G365" t="s">
        <v>741</v>
      </c>
      <c r="H365" t="s">
        <v>742</v>
      </c>
      <c r="I365" t="s">
        <v>83</v>
      </c>
      <c r="J365" s="3" t="s">
        <v>758</v>
      </c>
      <c r="K365" t="s">
        <v>759</v>
      </c>
      <c r="L365" s="4">
        <v>4</v>
      </c>
      <c r="M365" s="4">
        <v>3</v>
      </c>
      <c r="N365">
        <v>1</v>
      </c>
      <c r="O365" t="s">
        <v>118</v>
      </c>
      <c r="P365">
        <v>65</v>
      </c>
      <c r="Q365">
        <f>QtyRemaining*EstMfgMin/60</f>
        <v>1.0833333333333333</v>
      </c>
      <c r="U365" t="e">
        <f t="shared" si="12"/>
        <v>#REF!</v>
      </c>
      <c r="V365" s="5" t="e">
        <f t="shared" si="13"/>
        <v>#REF!</v>
      </c>
    </row>
    <row r="366" spans="1:22" x14ac:dyDescent="0.25">
      <c r="A366" s="2">
        <v>45960</v>
      </c>
      <c r="B366" s="2">
        <v>45889</v>
      </c>
      <c r="C366" t="s">
        <v>485</v>
      </c>
      <c r="D366">
        <v>44</v>
      </c>
      <c r="E366" t="s">
        <v>760</v>
      </c>
      <c r="F366" t="s">
        <v>211</v>
      </c>
      <c r="G366" t="s">
        <v>761</v>
      </c>
      <c r="H366" t="s">
        <v>762</v>
      </c>
      <c r="I366" t="s">
        <v>214</v>
      </c>
      <c r="J366" s="3" t="s">
        <v>763</v>
      </c>
      <c r="K366" t="s">
        <v>764</v>
      </c>
      <c r="L366" s="4">
        <v>15</v>
      </c>
      <c r="M366" s="4">
        <v>14</v>
      </c>
      <c r="N366">
        <v>1</v>
      </c>
      <c r="O366" t="s">
        <v>765</v>
      </c>
      <c r="P366">
        <v>60</v>
      </c>
      <c r="Q366">
        <f>QtyRemaining*EstMfgMin/60</f>
        <v>1</v>
      </c>
      <c r="U366" t="e">
        <f t="shared" si="12"/>
        <v>#REF!</v>
      </c>
      <c r="V366" s="5" t="e">
        <f t="shared" si="13"/>
        <v>#REF!</v>
      </c>
    </row>
    <row r="367" spans="1:22" x14ac:dyDescent="0.25">
      <c r="A367" s="2">
        <v>45961</v>
      </c>
      <c r="B367" s="2">
        <v>45961</v>
      </c>
      <c r="C367" t="s">
        <v>209</v>
      </c>
      <c r="D367">
        <v>44</v>
      </c>
      <c r="E367" t="s">
        <v>766</v>
      </c>
      <c r="F367" t="s">
        <v>211</v>
      </c>
      <c r="G367" t="s">
        <v>459</v>
      </c>
      <c r="H367" t="s">
        <v>767</v>
      </c>
      <c r="I367" t="s">
        <v>155</v>
      </c>
      <c r="J367" s="3" t="s">
        <v>768</v>
      </c>
      <c r="K367" t="s">
        <v>769</v>
      </c>
      <c r="L367" s="4">
        <v>31</v>
      </c>
      <c r="M367" s="4">
        <v>30</v>
      </c>
      <c r="N367">
        <v>1</v>
      </c>
      <c r="P367">
        <v>0</v>
      </c>
      <c r="Q367">
        <f>QtyRemaining*EstMfgMin/60</f>
        <v>0</v>
      </c>
      <c r="U367" t="e">
        <f t="shared" si="12"/>
        <v>#REF!</v>
      </c>
      <c r="V367" s="5" t="e">
        <f t="shared" si="13"/>
        <v>#REF!</v>
      </c>
    </row>
    <row r="368" spans="1:22" x14ac:dyDescent="0.25">
      <c r="A368" s="2">
        <v>45961</v>
      </c>
      <c r="B368" s="2">
        <v>45961</v>
      </c>
      <c r="C368" t="s">
        <v>209</v>
      </c>
      <c r="D368">
        <v>44</v>
      </c>
      <c r="E368" t="s">
        <v>766</v>
      </c>
      <c r="F368" t="s">
        <v>211</v>
      </c>
      <c r="G368" t="s">
        <v>459</v>
      </c>
      <c r="H368" t="s">
        <v>767</v>
      </c>
      <c r="I368" t="s">
        <v>155</v>
      </c>
      <c r="J368" s="3" t="s">
        <v>770</v>
      </c>
      <c r="K368" t="s">
        <v>771</v>
      </c>
      <c r="L368" s="4">
        <v>30</v>
      </c>
      <c r="M368" s="4">
        <v>0</v>
      </c>
      <c r="N368">
        <v>30</v>
      </c>
      <c r="P368">
        <v>0</v>
      </c>
      <c r="Q368">
        <f>QtyRemaining*EstMfgMin/60</f>
        <v>0</v>
      </c>
      <c r="R368" t="s">
        <v>772</v>
      </c>
      <c r="U368" t="e">
        <f t="shared" si="12"/>
        <v>#REF!</v>
      </c>
      <c r="V368" s="5" t="e">
        <f t="shared" si="13"/>
        <v>#REF!</v>
      </c>
    </row>
    <row r="369" spans="1:22" x14ac:dyDescent="0.25">
      <c r="A369" s="2">
        <v>45961</v>
      </c>
      <c r="B369" s="2">
        <v>45961</v>
      </c>
      <c r="C369" t="s">
        <v>209</v>
      </c>
      <c r="D369">
        <v>44</v>
      </c>
      <c r="E369" t="s">
        <v>766</v>
      </c>
      <c r="F369" t="s">
        <v>211</v>
      </c>
      <c r="G369" t="s">
        <v>459</v>
      </c>
      <c r="H369" t="s">
        <v>767</v>
      </c>
      <c r="I369" t="s">
        <v>155</v>
      </c>
      <c r="J369" s="3" t="s">
        <v>773</v>
      </c>
      <c r="K369" t="s">
        <v>774</v>
      </c>
      <c r="L369" s="4">
        <v>84</v>
      </c>
      <c r="M369" s="4">
        <v>0</v>
      </c>
      <c r="N369">
        <v>84</v>
      </c>
      <c r="P369">
        <v>0</v>
      </c>
      <c r="Q369">
        <f>QtyRemaining*EstMfgMin/60</f>
        <v>0</v>
      </c>
      <c r="R369" t="s">
        <v>772</v>
      </c>
      <c r="U369" t="e">
        <f t="shared" si="12"/>
        <v>#REF!</v>
      </c>
      <c r="V369" s="5" t="e">
        <f t="shared" si="13"/>
        <v>#REF!</v>
      </c>
    </row>
    <row r="370" spans="1:22" x14ac:dyDescent="0.25">
      <c r="A370" s="2">
        <v>45964</v>
      </c>
      <c r="B370" s="2">
        <v>45933</v>
      </c>
      <c r="C370" t="s">
        <v>232</v>
      </c>
      <c r="D370">
        <v>45</v>
      </c>
      <c r="E370" t="s">
        <v>775</v>
      </c>
      <c r="F370" t="s">
        <v>211</v>
      </c>
      <c r="G370" t="s">
        <v>270</v>
      </c>
      <c r="H370" t="s">
        <v>776</v>
      </c>
      <c r="I370" t="s">
        <v>214</v>
      </c>
      <c r="J370" s="3" t="s">
        <v>777</v>
      </c>
      <c r="K370" t="s">
        <v>778</v>
      </c>
      <c r="L370" s="4">
        <v>20</v>
      </c>
      <c r="M370" s="4">
        <v>2</v>
      </c>
      <c r="N370">
        <v>18</v>
      </c>
      <c r="P370">
        <v>26</v>
      </c>
      <c r="Q370">
        <f>QtyRemaining*EstMfgMin/60</f>
        <v>7.8</v>
      </c>
      <c r="U370" t="e">
        <f t="shared" si="12"/>
        <v>#REF!</v>
      </c>
      <c r="V370" s="5" t="e">
        <f t="shared" si="13"/>
        <v>#REF!</v>
      </c>
    </row>
    <row r="371" spans="1:22" x14ac:dyDescent="0.25">
      <c r="A371" s="2">
        <v>45971</v>
      </c>
      <c r="B371" s="2">
        <v>46043</v>
      </c>
      <c r="C371" t="s">
        <v>550</v>
      </c>
      <c r="D371">
        <v>46</v>
      </c>
      <c r="E371" t="s">
        <v>716</v>
      </c>
      <c r="F371" t="s">
        <v>261</v>
      </c>
      <c r="G371" t="s">
        <v>552</v>
      </c>
      <c r="H371" t="s">
        <v>717</v>
      </c>
      <c r="I371" t="s">
        <v>45</v>
      </c>
      <c r="J371" s="3" t="s">
        <v>144</v>
      </c>
      <c r="K371" t="s">
        <v>718</v>
      </c>
      <c r="L371" s="4">
        <v>44</v>
      </c>
      <c r="M371" s="4">
        <v>0</v>
      </c>
      <c r="N371">
        <v>44</v>
      </c>
      <c r="O371" t="s">
        <v>146</v>
      </c>
      <c r="P371">
        <v>0</v>
      </c>
      <c r="Q371">
        <f>QtyRemaining*EstMfgMin/60</f>
        <v>0</v>
      </c>
      <c r="U371" t="e">
        <f t="shared" si="12"/>
        <v>#REF!</v>
      </c>
      <c r="V371" s="5" t="e">
        <f t="shared" si="13"/>
        <v>#REF!</v>
      </c>
    </row>
    <row r="372" spans="1:22" x14ac:dyDescent="0.25">
      <c r="A372" s="2">
        <v>45972</v>
      </c>
      <c r="B372" s="2">
        <v>46043</v>
      </c>
      <c r="C372" t="s">
        <v>550</v>
      </c>
      <c r="D372">
        <v>46</v>
      </c>
      <c r="E372" t="s">
        <v>716</v>
      </c>
      <c r="F372" t="s">
        <v>261</v>
      </c>
      <c r="G372" t="s">
        <v>552</v>
      </c>
      <c r="H372" t="s">
        <v>717</v>
      </c>
      <c r="I372" t="s">
        <v>45</v>
      </c>
      <c r="J372" s="3" t="s">
        <v>156</v>
      </c>
      <c r="K372" t="s">
        <v>779</v>
      </c>
      <c r="L372" s="4">
        <v>257</v>
      </c>
      <c r="M372" s="4">
        <v>0</v>
      </c>
      <c r="N372">
        <v>257</v>
      </c>
      <c r="O372" t="s">
        <v>780</v>
      </c>
      <c r="P372">
        <v>0</v>
      </c>
      <c r="Q372">
        <f>QtyRemaining*EstMfgMin/60</f>
        <v>0</v>
      </c>
      <c r="U372" t="e">
        <f t="shared" si="12"/>
        <v>#REF!</v>
      </c>
      <c r="V372" s="5" t="e">
        <f t="shared" si="13"/>
        <v>#REF!</v>
      </c>
    </row>
    <row r="373" spans="1:22" x14ac:dyDescent="0.25">
      <c r="A373" s="2">
        <v>45972</v>
      </c>
      <c r="B373" s="2">
        <v>46043</v>
      </c>
      <c r="C373" t="s">
        <v>550</v>
      </c>
      <c r="D373">
        <v>46</v>
      </c>
      <c r="E373" t="s">
        <v>716</v>
      </c>
      <c r="F373" t="s">
        <v>261</v>
      </c>
      <c r="G373" t="s">
        <v>552</v>
      </c>
      <c r="H373" t="s">
        <v>717</v>
      </c>
      <c r="I373" t="s">
        <v>45</v>
      </c>
      <c r="J373" s="3" t="s">
        <v>781</v>
      </c>
      <c r="K373" t="s">
        <v>782</v>
      </c>
      <c r="L373" s="4">
        <v>193</v>
      </c>
      <c r="M373" s="4">
        <v>0</v>
      </c>
      <c r="N373">
        <v>193</v>
      </c>
      <c r="O373" t="s">
        <v>146</v>
      </c>
      <c r="P373">
        <v>0</v>
      </c>
      <c r="Q373">
        <f>QtyRemaining*EstMfgMin/60</f>
        <v>0</v>
      </c>
      <c r="U373" t="e">
        <f t="shared" si="12"/>
        <v>#REF!</v>
      </c>
      <c r="V373" s="5" t="e">
        <f t="shared" si="13"/>
        <v>#REF!</v>
      </c>
    </row>
    <row r="374" spans="1:22" x14ac:dyDescent="0.25">
      <c r="A374" s="2">
        <v>45972</v>
      </c>
      <c r="B374" s="2">
        <v>46043</v>
      </c>
      <c r="C374" t="s">
        <v>550</v>
      </c>
      <c r="D374">
        <v>46</v>
      </c>
      <c r="E374" t="s">
        <v>716</v>
      </c>
      <c r="F374" t="s">
        <v>261</v>
      </c>
      <c r="G374" t="s">
        <v>552</v>
      </c>
      <c r="H374" t="s">
        <v>717</v>
      </c>
      <c r="I374" t="s">
        <v>45</v>
      </c>
      <c r="J374" s="3" t="s">
        <v>783</v>
      </c>
      <c r="K374" t="s">
        <v>784</v>
      </c>
      <c r="L374" s="4">
        <v>112</v>
      </c>
      <c r="M374" s="4">
        <v>0</v>
      </c>
      <c r="N374">
        <v>112</v>
      </c>
      <c r="O374" t="s">
        <v>151</v>
      </c>
      <c r="P374">
        <v>0</v>
      </c>
      <c r="Q374">
        <f>QtyRemaining*EstMfgMin/60</f>
        <v>0</v>
      </c>
      <c r="U374" t="e">
        <f t="shared" si="12"/>
        <v>#REF!</v>
      </c>
      <c r="V374" s="5" t="e">
        <f t="shared" si="13"/>
        <v>#REF!</v>
      </c>
    </row>
    <row r="375" spans="1:22" x14ac:dyDescent="0.25">
      <c r="A375" s="2">
        <v>45973</v>
      </c>
      <c r="B375" s="2">
        <v>45777</v>
      </c>
      <c r="C375" t="s">
        <v>633</v>
      </c>
      <c r="D375">
        <v>46</v>
      </c>
      <c r="E375" t="s">
        <v>785</v>
      </c>
      <c r="F375" t="s">
        <v>261</v>
      </c>
      <c r="G375" t="s">
        <v>262</v>
      </c>
      <c r="H375" t="s">
        <v>786</v>
      </c>
      <c r="I375" t="s">
        <v>45</v>
      </c>
      <c r="J375" s="3" t="s">
        <v>787</v>
      </c>
      <c r="K375" t="s">
        <v>788</v>
      </c>
      <c r="L375" s="4">
        <v>221</v>
      </c>
      <c r="M375" s="4">
        <v>0</v>
      </c>
      <c r="N375">
        <v>221</v>
      </c>
      <c r="O375" t="s">
        <v>457</v>
      </c>
      <c r="P375">
        <v>100</v>
      </c>
      <c r="Q375">
        <f>QtyRemaining*EstMfgMin/60</f>
        <v>368.33333333333331</v>
      </c>
      <c r="U375" t="e">
        <f t="shared" si="12"/>
        <v>#REF!</v>
      </c>
      <c r="V375" s="5" t="e">
        <f t="shared" si="13"/>
        <v>#REF!</v>
      </c>
    </row>
    <row r="376" spans="1:22" x14ac:dyDescent="0.25">
      <c r="A376" s="2">
        <v>45975</v>
      </c>
      <c r="B376" s="2">
        <v>45818</v>
      </c>
      <c r="C376" t="s">
        <v>550</v>
      </c>
      <c r="D376">
        <v>46</v>
      </c>
      <c r="E376" t="s">
        <v>789</v>
      </c>
      <c r="F376" t="s">
        <v>261</v>
      </c>
      <c r="G376" t="s">
        <v>552</v>
      </c>
      <c r="H376" t="s">
        <v>790</v>
      </c>
      <c r="I376" t="s">
        <v>122</v>
      </c>
      <c r="J376" s="3" t="s">
        <v>791</v>
      </c>
      <c r="K376" t="s">
        <v>792</v>
      </c>
      <c r="L376" s="4">
        <v>7</v>
      </c>
      <c r="M376" s="4">
        <v>0</v>
      </c>
      <c r="N376">
        <v>7</v>
      </c>
      <c r="O376" t="s">
        <v>146</v>
      </c>
      <c r="P376">
        <v>0</v>
      </c>
      <c r="Q376">
        <f>QtyRemaining*EstMfgMin/60</f>
        <v>0</v>
      </c>
      <c r="U376" t="e">
        <f t="shared" si="12"/>
        <v>#REF!</v>
      </c>
      <c r="V376" s="5" t="e">
        <f t="shared" si="13"/>
        <v>#REF!</v>
      </c>
    </row>
    <row r="377" spans="1:22" x14ac:dyDescent="0.25">
      <c r="A377" s="2">
        <v>45975</v>
      </c>
      <c r="B377" s="2">
        <v>45818</v>
      </c>
      <c r="C377" t="s">
        <v>550</v>
      </c>
      <c r="D377">
        <v>46</v>
      </c>
      <c r="E377" t="s">
        <v>789</v>
      </c>
      <c r="F377" t="s">
        <v>261</v>
      </c>
      <c r="G377" t="s">
        <v>552</v>
      </c>
      <c r="H377" t="s">
        <v>790</v>
      </c>
      <c r="I377" t="s">
        <v>122</v>
      </c>
      <c r="J377" s="3" t="s">
        <v>793</v>
      </c>
      <c r="K377" t="s">
        <v>794</v>
      </c>
      <c r="L377" s="4">
        <v>36</v>
      </c>
      <c r="M377" s="4">
        <v>0</v>
      </c>
      <c r="N377">
        <v>36</v>
      </c>
      <c r="O377" t="s">
        <v>176</v>
      </c>
      <c r="P377">
        <v>0</v>
      </c>
      <c r="Q377">
        <f>QtyRemaining*EstMfgMin/60</f>
        <v>0</v>
      </c>
      <c r="U377" t="e">
        <f t="shared" si="12"/>
        <v>#REF!</v>
      </c>
      <c r="V377" s="5" t="e">
        <f t="shared" si="13"/>
        <v>#REF!</v>
      </c>
    </row>
    <row r="378" spans="1:22" x14ac:dyDescent="0.25">
      <c r="A378" s="2">
        <v>45981</v>
      </c>
      <c r="B378" s="2">
        <v>45706</v>
      </c>
      <c r="C378" t="s">
        <v>274</v>
      </c>
      <c r="D378">
        <v>47</v>
      </c>
      <c r="E378" t="s">
        <v>625</v>
      </c>
      <c r="F378" t="s">
        <v>211</v>
      </c>
      <c r="G378" t="s">
        <v>276</v>
      </c>
      <c r="H378" t="s">
        <v>626</v>
      </c>
      <c r="I378" t="s">
        <v>83</v>
      </c>
      <c r="J378" s="3" t="s">
        <v>627</v>
      </c>
      <c r="K378" t="s">
        <v>628</v>
      </c>
      <c r="L378" s="4">
        <v>600</v>
      </c>
      <c r="M378" s="4">
        <v>0</v>
      </c>
      <c r="N378">
        <v>600</v>
      </c>
      <c r="O378" t="s">
        <v>176</v>
      </c>
      <c r="P378">
        <v>120</v>
      </c>
      <c r="Q378">
        <f>QtyRemaining*EstMfgMin/60</f>
        <v>1200</v>
      </c>
      <c r="U378" t="e">
        <f t="shared" si="12"/>
        <v>#REF!</v>
      </c>
      <c r="V378" s="5" t="e">
        <f t="shared" si="13"/>
        <v>#REF!</v>
      </c>
    </row>
    <row r="379" spans="1:22" x14ac:dyDescent="0.25">
      <c r="A379" s="2">
        <v>45989</v>
      </c>
      <c r="B379" s="2">
        <v>45961</v>
      </c>
      <c r="C379" t="s">
        <v>485</v>
      </c>
      <c r="D379">
        <v>48</v>
      </c>
      <c r="E379" t="s">
        <v>795</v>
      </c>
      <c r="F379" t="s">
        <v>211</v>
      </c>
      <c r="G379" t="s">
        <v>796</v>
      </c>
      <c r="H379" t="s">
        <v>797</v>
      </c>
      <c r="I379" t="s">
        <v>214</v>
      </c>
      <c r="J379" s="3" t="s">
        <v>798</v>
      </c>
      <c r="K379" t="s">
        <v>799</v>
      </c>
      <c r="L379" s="4">
        <v>20</v>
      </c>
      <c r="M379" s="4">
        <v>0</v>
      </c>
      <c r="N379">
        <v>20</v>
      </c>
      <c r="O379" t="s">
        <v>266</v>
      </c>
      <c r="P379">
        <v>108</v>
      </c>
      <c r="Q379">
        <f>QtyRemaining*EstMfgMin/60</f>
        <v>36</v>
      </c>
      <c r="U379" t="e">
        <f t="shared" si="12"/>
        <v>#REF!</v>
      </c>
      <c r="V379" s="5" t="e">
        <f t="shared" si="13"/>
        <v>#REF!</v>
      </c>
    </row>
    <row r="380" spans="1:22" x14ac:dyDescent="0.25">
      <c r="A380" s="2">
        <v>45989</v>
      </c>
      <c r="B380" s="2">
        <v>45972</v>
      </c>
      <c r="C380" t="s">
        <v>485</v>
      </c>
      <c r="D380">
        <v>48</v>
      </c>
      <c r="E380" t="s">
        <v>800</v>
      </c>
      <c r="F380" t="s">
        <v>211</v>
      </c>
      <c r="G380" t="s">
        <v>801</v>
      </c>
      <c r="H380" t="s">
        <v>802</v>
      </c>
      <c r="I380" t="s">
        <v>214</v>
      </c>
      <c r="J380" s="3" t="s">
        <v>803</v>
      </c>
      <c r="K380" t="s">
        <v>804</v>
      </c>
      <c r="L380" s="4">
        <v>50</v>
      </c>
      <c r="M380" s="4">
        <v>48</v>
      </c>
      <c r="N380">
        <v>2</v>
      </c>
      <c r="P380">
        <v>6</v>
      </c>
      <c r="Q380">
        <f>QtyRemaining*EstMfgMin/60</f>
        <v>0.2</v>
      </c>
      <c r="U380" t="e">
        <f t="shared" si="12"/>
        <v>#REF!</v>
      </c>
      <c r="V380" s="5" t="e">
        <f t="shared" si="13"/>
        <v>#REF!</v>
      </c>
    </row>
    <row r="381" spans="1:22" x14ac:dyDescent="0.25">
      <c r="A381" s="2">
        <v>45992</v>
      </c>
      <c r="B381" s="2">
        <v>45820</v>
      </c>
      <c r="C381" t="s">
        <v>633</v>
      </c>
      <c r="D381">
        <v>49</v>
      </c>
      <c r="E381" t="s">
        <v>805</v>
      </c>
      <c r="F381" t="s">
        <v>261</v>
      </c>
      <c r="G381" t="s">
        <v>262</v>
      </c>
      <c r="H381" t="s">
        <v>806</v>
      </c>
      <c r="I381" t="s">
        <v>155</v>
      </c>
      <c r="J381" s="3" t="s">
        <v>807</v>
      </c>
      <c r="K381" t="s">
        <v>808</v>
      </c>
      <c r="L381" s="4">
        <v>3</v>
      </c>
      <c r="M381" s="4">
        <v>0</v>
      </c>
      <c r="N381">
        <v>3</v>
      </c>
      <c r="O381" t="s">
        <v>94</v>
      </c>
      <c r="P381">
        <v>0</v>
      </c>
      <c r="Q381">
        <f>QtyRemaining*EstMfgMin/60</f>
        <v>0</v>
      </c>
      <c r="R381" t="s">
        <v>809</v>
      </c>
      <c r="U381" t="e">
        <f t="shared" si="12"/>
        <v>#REF!</v>
      </c>
      <c r="V381" s="5" t="e">
        <f t="shared" si="13"/>
        <v>#REF!</v>
      </c>
    </row>
    <row r="382" spans="1:22" x14ac:dyDescent="0.25">
      <c r="A382" s="2">
        <v>45994</v>
      </c>
      <c r="B382" s="2">
        <v>45958</v>
      </c>
      <c r="C382" t="s">
        <v>570</v>
      </c>
      <c r="D382">
        <v>49</v>
      </c>
      <c r="E382" t="s">
        <v>810</v>
      </c>
      <c r="F382" t="s">
        <v>261</v>
      </c>
      <c r="G382" t="s">
        <v>811</v>
      </c>
      <c r="H382" t="s">
        <v>812</v>
      </c>
      <c r="I382" t="s">
        <v>83</v>
      </c>
      <c r="J382" s="3" t="s">
        <v>813</v>
      </c>
      <c r="K382" t="s">
        <v>814</v>
      </c>
      <c r="L382" s="4">
        <v>11</v>
      </c>
      <c r="M382" s="4">
        <v>0</v>
      </c>
      <c r="N382">
        <v>11</v>
      </c>
      <c r="O382" t="s">
        <v>176</v>
      </c>
      <c r="P382">
        <v>20</v>
      </c>
      <c r="Q382">
        <f>QtyRemaining*EstMfgMin/60</f>
        <v>3.6666666666666665</v>
      </c>
      <c r="U382" t="e">
        <f t="shared" si="12"/>
        <v>#REF!</v>
      </c>
      <c r="V382" s="5" t="e">
        <f t="shared" si="13"/>
        <v>#REF!</v>
      </c>
    </row>
    <row r="383" spans="1:22" x14ac:dyDescent="0.25">
      <c r="A383" s="2">
        <v>45994</v>
      </c>
      <c r="B383" s="2">
        <v>45958</v>
      </c>
      <c r="C383" t="s">
        <v>570</v>
      </c>
      <c r="D383">
        <v>49</v>
      </c>
      <c r="E383" t="s">
        <v>810</v>
      </c>
      <c r="F383" t="s">
        <v>261</v>
      </c>
      <c r="G383" t="s">
        <v>811</v>
      </c>
      <c r="H383" t="s">
        <v>812</v>
      </c>
      <c r="I383" t="s">
        <v>83</v>
      </c>
      <c r="J383" s="3" t="s">
        <v>815</v>
      </c>
      <c r="K383" t="s">
        <v>816</v>
      </c>
      <c r="L383" s="4">
        <v>11</v>
      </c>
      <c r="M383" s="4">
        <v>0</v>
      </c>
      <c r="N383">
        <v>11</v>
      </c>
      <c r="O383" t="s">
        <v>118</v>
      </c>
      <c r="P383">
        <v>16</v>
      </c>
      <c r="Q383">
        <f>QtyRemaining*EstMfgMin/60</f>
        <v>2.9333333333333331</v>
      </c>
      <c r="U383" t="e">
        <f t="shared" si="12"/>
        <v>#REF!</v>
      </c>
      <c r="V383" s="5" t="e">
        <f t="shared" si="13"/>
        <v>#REF!</v>
      </c>
    </row>
    <row r="384" spans="1:22" x14ac:dyDescent="0.25">
      <c r="A384" s="2">
        <v>45994</v>
      </c>
      <c r="B384" s="2">
        <v>45958</v>
      </c>
      <c r="C384" t="s">
        <v>570</v>
      </c>
      <c r="D384">
        <v>49</v>
      </c>
      <c r="E384" t="s">
        <v>810</v>
      </c>
      <c r="F384" t="s">
        <v>261</v>
      </c>
      <c r="G384" t="s">
        <v>811</v>
      </c>
      <c r="H384" t="s">
        <v>812</v>
      </c>
      <c r="I384" t="s">
        <v>83</v>
      </c>
      <c r="J384" s="3" t="s">
        <v>817</v>
      </c>
      <c r="K384" t="s">
        <v>818</v>
      </c>
      <c r="L384" s="4">
        <v>18</v>
      </c>
      <c r="M384" s="4">
        <v>0</v>
      </c>
      <c r="N384">
        <v>18</v>
      </c>
      <c r="O384" t="s">
        <v>457</v>
      </c>
      <c r="P384">
        <v>22</v>
      </c>
      <c r="Q384">
        <f>QtyRemaining*EstMfgMin/60</f>
        <v>6.6</v>
      </c>
      <c r="U384" t="e">
        <f t="shared" si="12"/>
        <v>#REF!</v>
      </c>
      <c r="V384" s="5" t="e">
        <f t="shared" si="13"/>
        <v>#REF!</v>
      </c>
    </row>
    <row r="385" spans="1:22" x14ac:dyDescent="0.25">
      <c r="A385" s="2">
        <v>45994</v>
      </c>
      <c r="B385" s="2">
        <v>45958</v>
      </c>
      <c r="C385" t="s">
        <v>570</v>
      </c>
      <c r="D385">
        <v>49</v>
      </c>
      <c r="E385" t="s">
        <v>810</v>
      </c>
      <c r="F385" t="s">
        <v>261</v>
      </c>
      <c r="G385" t="s">
        <v>811</v>
      </c>
      <c r="H385" t="s">
        <v>812</v>
      </c>
      <c r="I385" t="s">
        <v>83</v>
      </c>
      <c r="J385" s="3" t="s">
        <v>819</v>
      </c>
      <c r="K385" t="s">
        <v>820</v>
      </c>
      <c r="L385" s="4">
        <v>44</v>
      </c>
      <c r="M385" s="4">
        <v>0</v>
      </c>
      <c r="N385">
        <v>44</v>
      </c>
      <c r="O385" t="s">
        <v>457</v>
      </c>
      <c r="P385">
        <v>20</v>
      </c>
      <c r="Q385">
        <f>QtyRemaining*EstMfgMin/60</f>
        <v>14.666666666666666</v>
      </c>
      <c r="U385" t="e">
        <f t="shared" si="12"/>
        <v>#REF!</v>
      </c>
      <c r="V385" s="5" t="e">
        <f t="shared" si="13"/>
        <v>#REF!</v>
      </c>
    </row>
    <row r="386" spans="1:22" x14ac:dyDescent="0.25">
      <c r="A386" s="2">
        <v>45994</v>
      </c>
      <c r="B386" s="2">
        <v>45958</v>
      </c>
      <c r="C386" t="s">
        <v>570</v>
      </c>
      <c r="D386">
        <v>49</v>
      </c>
      <c r="E386" t="s">
        <v>810</v>
      </c>
      <c r="F386" t="s">
        <v>261</v>
      </c>
      <c r="G386" t="s">
        <v>811</v>
      </c>
      <c r="H386" t="s">
        <v>812</v>
      </c>
      <c r="I386" t="s">
        <v>83</v>
      </c>
      <c r="J386" s="3" t="s">
        <v>821</v>
      </c>
      <c r="K386" t="s">
        <v>822</v>
      </c>
      <c r="L386" s="4">
        <v>44</v>
      </c>
      <c r="M386" s="4">
        <v>0</v>
      </c>
      <c r="N386">
        <v>44</v>
      </c>
      <c r="O386" t="s">
        <v>457</v>
      </c>
      <c r="P386">
        <v>22</v>
      </c>
      <c r="Q386">
        <f>QtyRemaining*EstMfgMin/60</f>
        <v>16.133333333333333</v>
      </c>
      <c r="U386" t="e">
        <f t="shared" si="12"/>
        <v>#REF!</v>
      </c>
      <c r="V386" s="5" t="e">
        <f t="shared" si="13"/>
        <v>#REF!</v>
      </c>
    </row>
    <row r="387" spans="1:22" x14ac:dyDescent="0.25">
      <c r="A387" s="2">
        <v>45994</v>
      </c>
      <c r="B387" s="2">
        <v>45958</v>
      </c>
      <c r="C387" t="s">
        <v>570</v>
      </c>
      <c r="D387">
        <v>49</v>
      </c>
      <c r="E387" t="s">
        <v>810</v>
      </c>
      <c r="F387" t="s">
        <v>261</v>
      </c>
      <c r="G387" t="s">
        <v>811</v>
      </c>
      <c r="H387" t="s">
        <v>812</v>
      </c>
      <c r="I387" t="s">
        <v>83</v>
      </c>
      <c r="J387" s="3" t="s">
        <v>823</v>
      </c>
      <c r="K387" t="s">
        <v>824</v>
      </c>
      <c r="L387" s="4">
        <v>18</v>
      </c>
      <c r="M387" s="4">
        <v>0</v>
      </c>
      <c r="N387">
        <v>18</v>
      </c>
      <c r="O387" t="s">
        <v>146</v>
      </c>
      <c r="P387">
        <v>15</v>
      </c>
      <c r="Q387">
        <f>QtyRemaining*EstMfgMin/60</f>
        <v>4.5</v>
      </c>
      <c r="U387" t="e">
        <f t="shared" ref="U387:U450" si="14">VLOOKUP(A387,Calendar,13,FALSE)</f>
        <v>#REF!</v>
      </c>
      <c r="V387" s="5" t="e">
        <f t="shared" ref="V387:V450" si="15">VLOOKUP(A387,Calendar,14,FALSE)</f>
        <v>#REF!</v>
      </c>
    </row>
    <row r="388" spans="1:22" x14ac:dyDescent="0.25">
      <c r="A388" s="2">
        <v>45994</v>
      </c>
      <c r="B388" s="2">
        <v>45958</v>
      </c>
      <c r="C388" t="s">
        <v>570</v>
      </c>
      <c r="D388">
        <v>49</v>
      </c>
      <c r="E388" t="s">
        <v>810</v>
      </c>
      <c r="F388" t="s">
        <v>261</v>
      </c>
      <c r="G388" t="s">
        <v>811</v>
      </c>
      <c r="H388" t="s">
        <v>812</v>
      </c>
      <c r="I388" t="s">
        <v>83</v>
      </c>
      <c r="J388" s="3" t="s">
        <v>825</v>
      </c>
      <c r="K388" t="s">
        <v>826</v>
      </c>
      <c r="L388" s="4">
        <v>34</v>
      </c>
      <c r="M388" s="4">
        <v>0</v>
      </c>
      <c r="N388">
        <v>34</v>
      </c>
      <c r="O388" t="s">
        <v>146</v>
      </c>
      <c r="P388">
        <v>15</v>
      </c>
      <c r="Q388">
        <f>QtyRemaining*EstMfgMin/60</f>
        <v>8.5</v>
      </c>
      <c r="U388" t="e">
        <f t="shared" si="14"/>
        <v>#REF!</v>
      </c>
      <c r="V388" s="5" t="e">
        <f t="shared" si="15"/>
        <v>#REF!</v>
      </c>
    </row>
    <row r="389" spans="1:22" x14ac:dyDescent="0.25">
      <c r="A389" s="2">
        <v>45994</v>
      </c>
      <c r="B389" s="2">
        <v>45958</v>
      </c>
      <c r="C389" t="s">
        <v>570</v>
      </c>
      <c r="D389">
        <v>49</v>
      </c>
      <c r="E389" t="s">
        <v>810</v>
      </c>
      <c r="F389" t="s">
        <v>261</v>
      </c>
      <c r="G389" t="s">
        <v>811</v>
      </c>
      <c r="H389" t="s">
        <v>812</v>
      </c>
      <c r="I389" t="s">
        <v>83</v>
      </c>
      <c r="J389" s="3" t="s">
        <v>827</v>
      </c>
      <c r="K389" t="s">
        <v>828</v>
      </c>
      <c r="L389" s="4">
        <v>34</v>
      </c>
      <c r="M389" s="4">
        <v>0</v>
      </c>
      <c r="N389">
        <v>34</v>
      </c>
      <c r="O389" t="s">
        <v>146</v>
      </c>
      <c r="P389">
        <v>15</v>
      </c>
      <c r="Q389">
        <f>QtyRemaining*EstMfgMin/60</f>
        <v>8.5</v>
      </c>
      <c r="U389" t="e">
        <f t="shared" si="14"/>
        <v>#REF!</v>
      </c>
      <c r="V389" s="5" t="e">
        <f t="shared" si="15"/>
        <v>#REF!</v>
      </c>
    </row>
    <row r="390" spans="1:22" x14ac:dyDescent="0.25">
      <c r="A390" s="2">
        <v>45994</v>
      </c>
      <c r="B390" s="2">
        <v>45958</v>
      </c>
      <c r="C390" t="s">
        <v>570</v>
      </c>
      <c r="D390">
        <v>49</v>
      </c>
      <c r="E390" t="s">
        <v>810</v>
      </c>
      <c r="F390" t="s">
        <v>261</v>
      </c>
      <c r="G390" t="s">
        <v>811</v>
      </c>
      <c r="H390" t="s">
        <v>812</v>
      </c>
      <c r="I390" t="s">
        <v>83</v>
      </c>
      <c r="J390" s="3" t="s">
        <v>829</v>
      </c>
      <c r="K390" t="s">
        <v>830</v>
      </c>
      <c r="L390" s="4">
        <v>34</v>
      </c>
      <c r="M390" s="4">
        <v>0</v>
      </c>
      <c r="N390">
        <v>34</v>
      </c>
      <c r="O390" t="s">
        <v>146</v>
      </c>
      <c r="P390">
        <v>15</v>
      </c>
      <c r="Q390">
        <f>QtyRemaining*EstMfgMin/60</f>
        <v>8.5</v>
      </c>
      <c r="U390" t="e">
        <f t="shared" si="14"/>
        <v>#REF!</v>
      </c>
      <c r="V390" s="5" t="e">
        <f t="shared" si="15"/>
        <v>#REF!</v>
      </c>
    </row>
    <row r="391" spans="1:22" x14ac:dyDescent="0.25">
      <c r="A391" s="2">
        <v>45994</v>
      </c>
      <c r="B391" s="2">
        <v>45958</v>
      </c>
      <c r="C391" t="s">
        <v>570</v>
      </c>
      <c r="D391">
        <v>49</v>
      </c>
      <c r="E391" t="s">
        <v>810</v>
      </c>
      <c r="F391" t="s">
        <v>261</v>
      </c>
      <c r="G391" t="s">
        <v>811</v>
      </c>
      <c r="H391" t="s">
        <v>812</v>
      </c>
      <c r="I391" t="s">
        <v>83</v>
      </c>
      <c r="J391" s="3" t="s">
        <v>831</v>
      </c>
      <c r="K391" t="s">
        <v>832</v>
      </c>
      <c r="L391" s="4">
        <v>36</v>
      </c>
      <c r="M391" s="4">
        <v>0</v>
      </c>
      <c r="N391">
        <v>36</v>
      </c>
      <c r="O391" t="s">
        <v>146</v>
      </c>
      <c r="P391">
        <v>15</v>
      </c>
      <c r="Q391">
        <f>QtyRemaining*EstMfgMin/60</f>
        <v>9</v>
      </c>
      <c r="U391" t="e">
        <f t="shared" si="14"/>
        <v>#REF!</v>
      </c>
      <c r="V391" s="5" t="e">
        <f t="shared" si="15"/>
        <v>#REF!</v>
      </c>
    </row>
    <row r="392" spans="1:22" x14ac:dyDescent="0.25">
      <c r="A392" s="2">
        <v>45994</v>
      </c>
      <c r="B392" s="2">
        <v>45958</v>
      </c>
      <c r="C392" t="s">
        <v>570</v>
      </c>
      <c r="D392">
        <v>49</v>
      </c>
      <c r="E392" t="s">
        <v>810</v>
      </c>
      <c r="F392" t="s">
        <v>261</v>
      </c>
      <c r="G392" t="s">
        <v>811</v>
      </c>
      <c r="H392" t="s">
        <v>812</v>
      </c>
      <c r="I392" t="s">
        <v>83</v>
      </c>
      <c r="J392" s="3" t="s">
        <v>833</v>
      </c>
      <c r="K392" t="s">
        <v>834</v>
      </c>
      <c r="L392" s="4">
        <v>18</v>
      </c>
      <c r="M392" s="4">
        <v>0</v>
      </c>
      <c r="N392">
        <v>18</v>
      </c>
      <c r="O392" t="s">
        <v>176</v>
      </c>
      <c r="P392">
        <v>7</v>
      </c>
      <c r="Q392">
        <f>QtyRemaining*EstMfgMin/60</f>
        <v>2.1</v>
      </c>
      <c r="U392" t="e">
        <f t="shared" si="14"/>
        <v>#REF!</v>
      </c>
      <c r="V392" s="5" t="e">
        <f t="shared" si="15"/>
        <v>#REF!</v>
      </c>
    </row>
    <row r="393" spans="1:22" x14ac:dyDescent="0.25">
      <c r="A393" s="2">
        <v>45994</v>
      </c>
      <c r="B393" s="2">
        <v>45958</v>
      </c>
      <c r="C393" t="s">
        <v>570</v>
      </c>
      <c r="D393">
        <v>49</v>
      </c>
      <c r="E393" t="s">
        <v>810</v>
      </c>
      <c r="F393" t="s">
        <v>261</v>
      </c>
      <c r="G393" t="s">
        <v>811</v>
      </c>
      <c r="H393" t="s">
        <v>812</v>
      </c>
      <c r="I393" t="s">
        <v>83</v>
      </c>
      <c r="J393" s="3" t="s">
        <v>835</v>
      </c>
      <c r="K393" t="s">
        <v>836</v>
      </c>
      <c r="L393" s="4">
        <v>18</v>
      </c>
      <c r="M393" s="4">
        <v>0</v>
      </c>
      <c r="N393">
        <v>18</v>
      </c>
      <c r="O393" t="s">
        <v>176</v>
      </c>
      <c r="P393">
        <v>7</v>
      </c>
      <c r="Q393">
        <f>QtyRemaining*EstMfgMin/60</f>
        <v>2.1</v>
      </c>
      <c r="U393" t="e">
        <f t="shared" si="14"/>
        <v>#REF!</v>
      </c>
      <c r="V393" s="5" t="e">
        <f t="shared" si="15"/>
        <v>#REF!</v>
      </c>
    </row>
    <row r="394" spans="1:22" x14ac:dyDescent="0.25">
      <c r="A394" s="2">
        <v>45994</v>
      </c>
      <c r="B394" s="2">
        <v>45958</v>
      </c>
      <c r="C394" t="s">
        <v>570</v>
      </c>
      <c r="D394">
        <v>49</v>
      </c>
      <c r="E394" t="s">
        <v>810</v>
      </c>
      <c r="F394" t="s">
        <v>261</v>
      </c>
      <c r="G394" t="s">
        <v>811</v>
      </c>
      <c r="H394" t="s">
        <v>812</v>
      </c>
      <c r="I394" t="s">
        <v>83</v>
      </c>
      <c r="J394" s="3" t="s">
        <v>837</v>
      </c>
      <c r="K394" t="s">
        <v>838</v>
      </c>
      <c r="L394" s="4">
        <v>18</v>
      </c>
      <c r="M394" s="4">
        <v>0</v>
      </c>
      <c r="N394">
        <v>18</v>
      </c>
      <c r="O394" t="s">
        <v>94</v>
      </c>
      <c r="P394">
        <v>40</v>
      </c>
      <c r="Q394">
        <f>QtyRemaining*EstMfgMin/60</f>
        <v>12</v>
      </c>
      <c r="U394" t="e">
        <f t="shared" si="14"/>
        <v>#REF!</v>
      </c>
      <c r="V394" s="5" t="e">
        <f t="shared" si="15"/>
        <v>#REF!</v>
      </c>
    </row>
    <row r="395" spans="1:22" x14ac:dyDescent="0.25">
      <c r="A395" s="2">
        <v>45994</v>
      </c>
      <c r="B395" s="2">
        <v>45958</v>
      </c>
      <c r="C395" t="s">
        <v>570</v>
      </c>
      <c r="D395">
        <v>49</v>
      </c>
      <c r="E395" t="s">
        <v>810</v>
      </c>
      <c r="F395" t="s">
        <v>261</v>
      </c>
      <c r="G395" t="s">
        <v>811</v>
      </c>
      <c r="H395" t="s">
        <v>812</v>
      </c>
      <c r="I395" t="s">
        <v>83</v>
      </c>
      <c r="J395" s="3" t="s">
        <v>839</v>
      </c>
      <c r="K395" t="s">
        <v>840</v>
      </c>
      <c r="L395" s="4">
        <v>18</v>
      </c>
      <c r="M395" s="4">
        <v>0</v>
      </c>
      <c r="N395">
        <v>18</v>
      </c>
      <c r="O395" t="s">
        <v>118</v>
      </c>
      <c r="P395">
        <v>66</v>
      </c>
      <c r="Q395">
        <f>QtyRemaining*EstMfgMin/60</f>
        <v>19.8</v>
      </c>
      <c r="U395" t="e">
        <f t="shared" si="14"/>
        <v>#REF!</v>
      </c>
      <c r="V395" s="5" t="e">
        <f t="shared" si="15"/>
        <v>#REF!</v>
      </c>
    </row>
    <row r="396" spans="1:22" x14ac:dyDescent="0.25">
      <c r="A396" s="2">
        <v>45994</v>
      </c>
      <c r="B396" s="2">
        <v>45958</v>
      </c>
      <c r="C396" t="s">
        <v>570</v>
      </c>
      <c r="D396">
        <v>49</v>
      </c>
      <c r="E396" t="s">
        <v>810</v>
      </c>
      <c r="F396" t="s">
        <v>261</v>
      </c>
      <c r="G396" t="s">
        <v>811</v>
      </c>
      <c r="H396" t="s">
        <v>812</v>
      </c>
      <c r="I396" t="s">
        <v>83</v>
      </c>
      <c r="J396" s="3" t="s">
        <v>841</v>
      </c>
      <c r="K396" t="s">
        <v>842</v>
      </c>
      <c r="L396" s="4">
        <v>16</v>
      </c>
      <c r="M396" s="4">
        <v>0</v>
      </c>
      <c r="N396">
        <v>16</v>
      </c>
      <c r="O396" t="s">
        <v>86</v>
      </c>
      <c r="P396">
        <v>15</v>
      </c>
      <c r="Q396">
        <f>QtyRemaining*EstMfgMin/60</f>
        <v>4</v>
      </c>
      <c r="U396" t="e">
        <f t="shared" si="14"/>
        <v>#REF!</v>
      </c>
      <c r="V396" s="5" t="e">
        <f t="shared" si="15"/>
        <v>#REF!</v>
      </c>
    </row>
    <row r="397" spans="1:22" x14ac:dyDescent="0.25">
      <c r="A397" s="2">
        <v>45994</v>
      </c>
      <c r="B397" s="2">
        <v>45958</v>
      </c>
      <c r="C397" t="s">
        <v>570</v>
      </c>
      <c r="D397">
        <v>49</v>
      </c>
      <c r="E397" t="s">
        <v>810</v>
      </c>
      <c r="F397" t="s">
        <v>261</v>
      </c>
      <c r="G397" t="s">
        <v>811</v>
      </c>
      <c r="H397" t="s">
        <v>812</v>
      </c>
      <c r="I397" t="s">
        <v>83</v>
      </c>
      <c r="J397" s="3" t="s">
        <v>843</v>
      </c>
      <c r="K397" t="s">
        <v>844</v>
      </c>
      <c r="L397" s="4">
        <v>22</v>
      </c>
      <c r="M397" s="4">
        <v>0</v>
      </c>
      <c r="N397">
        <v>22</v>
      </c>
      <c r="O397" t="s">
        <v>86</v>
      </c>
      <c r="P397">
        <v>20</v>
      </c>
      <c r="Q397">
        <f>QtyRemaining*EstMfgMin/60</f>
        <v>7.333333333333333</v>
      </c>
      <c r="U397" t="e">
        <f t="shared" si="14"/>
        <v>#REF!</v>
      </c>
      <c r="V397" s="5" t="e">
        <f t="shared" si="15"/>
        <v>#REF!</v>
      </c>
    </row>
    <row r="398" spans="1:22" x14ac:dyDescent="0.25">
      <c r="A398" s="2">
        <v>45994</v>
      </c>
      <c r="B398" s="2">
        <v>45958</v>
      </c>
      <c r="C398" t="s">
        <v>570</v>
      </c>
      <c r="D398">
        <v>49</v>
      </c>
      <c r="E398" t="s">
        <v>810</v>
      </c>
      <c r="F398" t="s">
        <v>261</v>
      </c>
      <c r="G398" t="s">
        <v>811</v>
      </c>
      <c r="H398" t="s">
        <v>812</v>
      </c>
      <c r="I398" t="s">
        <v>83</v>
      </c>
      <c r="J398" s="3" t="s">
        <v>845</v>
      </c>
      <c r="K398" t="s">
        <v>846</v>
      </c>
      <c r="L398" s="4">
        <v>34</v>
      </c>
      <c r="M398" s="4">
        <v>0</v>
      </c>
      <c r="N398">
        <v>34</v>
      </c>
      <c r="O398" t="s">
        <v>118</v>
      </c>
      <c r="P398">
        <v>18</v>
      </c>
      <c r="Q398">
        <f>QtyRemaining*EstMfgMin/60</f>
        <v>10.199999999999999</v>
      </c>
      <c r="U398" t="e">
        <f t="shared" si="14"/>
        <v>#REF!</v>
      </c>
      <c r="V398" s="5" t="e">
        <f t="shared" si="15"/>
        <v>#REF!</v>
      </c>
    </row>
    <row r="399" spans="1:22" x14ac:dyDescent="0.25">
      <c r="A399" s="2">
        <v>45994</v>
      </c>
      <c r="B399" s="2">
        <v>45958</v>
      </c>
      <c r="C399" t="s">
        <v>570</v>
      </c>
      <c r="D399">
        <v>49</v>
      </c>
      <c r="E399" t="s">
        <v>810</v>
      </c>
      <c r="F399" t="s">
        <v>261</v>
      </c>
      <c r="G399" t="s">
        <v>811</v>
      </c>
      <c r="H399" t="s">
        <v>812</v>
      </c>
      <c r="I399" t="s">
        <v>83</v>
      </c>
      <c r="J399" s="3" t="s">
        <v>847</v>
      </c>
      <c r="K399" t="s">
        <v>848</v>
      </c>
      <c r="L399" s="4">
        <v>65</v>
      </c>
      <c r="M399" s="4">
        <v>0</v>
      </c>
      <c r="N399">
        <v>65</v>
      </c>
      <c r="O399" t="s">
        <v>176</v>
      </c>
      <c r="P399">
        <v>13</v>
      </c>
      <c r="Q399">
        <f>QtyRemaining*EstMfgMin/60</f>
        <v>14.083333333333334</v>
      </c>
      <c r="U399" t="e">
        <f t="shared" si="14"/>
        <v>#REF!</v>
      </c>
      <c r="V399" s="5" t="e">
        <f t="shared" si="15"/>
        <v>#REF!</v>
      </c>
    </row>
    <row r="400" spans="1:22" x14ac:dyDescent="0.25">
      <c r="A400" s="2">
        <v>45994</v>
      </c>
      <c r="B400" s="2">
        <v>45958</v>
      </c>
      <c r="C400" t="s">
        <v>570</v>
      </c>
      <c r="D400">
        <v>49</v>
      </c>
      <c r="E400" t="s">
        <v>810</v>
      </c>
      <c r="F400" t="s">
        <v>261</v>
      </c>
      <c r="G400" t="s">
        <v>811</v>
      </c>
      <c r="H400" t="s">
        <v>812</v>
      </c>
      <c r="I400" t="s">
        <v>83</v>
      </c>
      <c r="J400" s="3" t="s">
        <v>849</v>
      </c>
      <c r="K400" t="s">
        <v>850</v>
      </c>
      <c r="L400" s="4">
        <v>65</v>
      </c>
      <c r="M400" s="4">
        <v>0</v>
      </c>
      <c r="N400">
        <v>65</v>
      </c>
      <c r="O400" t="s">
        <v>86</v>
      </c>
      <c r="P400">
        <v>15</v>
      </c>
      <c r="Q400">
        <f>QtyRemaining*EstMfgMin/60</f>
        <v>16.25</v>
      </c>
      <c r="U400" t="e">
        <f t="shared" si="14"/>
        <v>#REF!</v>
      </c>
      <c r="V400" s="5" t="e">
        <f t="shared" si="15"/>
        <v>#REF!</v>
      </c>
    </row>
    <row r="401" spans="1:22" x14ac:dyDescent="0.25">
      <c r="A401" s="2">
        <v>45994</v>
      </c>
      <c r="B401" s="2">
        <v>45958</v>
      </c>
      <c r="C401" t="s">
        <v>570</v>
      </c>
      <c r="D401">
        <v>49</v>
      </c>
      <c r="E401" t="s">
        <v>810</v>
      </c>
      <c r="F401" t="s">
        <v>261</v>
      </c>
      <c r="G401" t="s">
        <v>811</v>
      </c>
      <c r="H401" t="s">
        <v>812</v>
      </c>
      <c r="I401" t="s">
        <v>83</v>
      </c>
      <c r="J401" s="3" t="s">
        <v>851</v>
      </c>
      <c r="K401" t="s">
        <v>852</v>
      </c>
      <c r="L401" s="4">
        <v>65</v>
      </c>
      <c r="M401" s="4">
        <v>0</v>
      </c>
      <c r="N401">
        <v>65</v>
      </c>
      <c r="O401" t="s">
        <v>176</v>
      </c>
      <c r="P401">
        <v>15</v>
      </c>
      <c r="Q401">
        <f>QtyRemaining*EstMfgMin/60</f>
        <v>16.25</v>
      </c>
      <c r="U401" t="e">
        <f t="shared" si="14"/>
        <v>#REF!</v>
      </c>
      <c r="V401" s="5" t="e">
        <f t="shared" si="15"/>
        <v>#REF!</v>
      </c>
    </row>
    <row r="402" spans="1:22" x14ac:dyDescent="0.25">
      <c r="A402" s="2">
        <v>45994</v>
      </c>
      <c r="B402" s="2">
        <v>45958</v>
      </c>
      <c r="C402" t="s">
        <v>570</v>
      </c>
      <c r="D402">
        <v>49</v>
      </c>
      <c r="E402" t="s">
        <v>810</v>
      </c>
      <c r="F402" t="s">
        <v>261</v>
      </c>
      <c r="G402" t="s">
        <v>811</v>
      </c>
      <c r="H402" t="s">
        <v>812</v>
      </c>
      <c r="I402" t="s">
        <v>83</v>
      </c>
      <c r="J402" s="3" t="s">
        <v>853</v>
      </c>
      <c r="K402" t="s">
        <v>854</v>
      </c>
      <c r="L402" s="4">
        <v>65</v>
      </c>
      <c r="M402" s="4">
        <v>0</v>
      </c>
      <c r="N402">
        <v>65</v>
      </c>
      <c r="O402" t="s">
        <v>118</v>
      </c>
      <c r="P402">
        <v>10</v>
      </c>
      <c r="Q402">
        <f>QtyRemaining*EstMfgMin/60</f>
        <v>10.833333333333334</v>
      </c>
      <c r="U402" t="e">
        <f t="shared" si="14"/>
        <v>#REF!</v>
      </c>
      <c r="V402" s="5" t="e">
        <f t="shared" si="15"/>
        <v>#REF!</v>
      </c>
    </row>
    <row r="403" spans="1:22" x14ac:dyDescent="0.25">
      <c r="A403" s="2">
        <v>45994</v>
      </c>
      <c r="B403" s="2">
        <v>45958</v>
      </c>
      <c r="C403" t="s">
        <v>570</v>
      </c>
      <c r="D403">
        <v>49</v>
      </c>
      <c r="E403" t="s">
        <v>810</v>
      </c>
      <c r="F403" t="s">
        <v>261</v>
      </c>
      <c r="G403" t="s">
        <v>811</v>
      </c>
      <c r="H403" t="s">
        <v>812</v>
      </c>
      <c r="I403" t="s">
        <v>83</v>
      </c>
      <c r="J403" s="3" t="s">
        <v>855</v>
      </c>
      <c r="K403" t="s">
        <v>856</v>
      </c>
      <c r="L403" s="4">
        <v>34</v>
      </c>
      <c r="M403" s="4">
        <v>0</v>
      </c>
      <c r="N403">
        <v>34</v>
      </c>
      <c r="O403" t="s">
        <v>86</v>
      </c>
      <c r="P403">
        <v>21</v>
      </c>
      <c r="Q403">
        <f>QtyRemaining*EstMfgMin/60</f>
        <v>11.9</v>
      </c>
      <c r="U403" t="e">
        <f t="shared" si="14"/>
        <v>#REF!</v>
      </c>
      <c r="V403" s="5" t="e">
        <f t="shared" si="15"/>
        <v>#REF!</v>
      </c>
    </row>
    <row r="404" spans="1:22" x14ac:dyDescent="0.25">
      <c r="A404" s="2">
        <v>45994</v>
      </c>
      <c r="B404" s="2">
        <v>45958</v>
      </c>
      <c r="C404" t="s">
        <v>570</v>
      </c>
      <c r="D404">
        <v>49</v>
      </c>
      <c r="E404" t="s">
        <v>810</v>
      </c>
      <c r="F404" t="s">
        <v>261</v>
      </c>
      <c r="G404" t="s">
        <v>811</v>
      </c>
      <c r="H404" t="s">
        <v>812</v>
      </c>
      <c r="I404" t="s">
        <v>83</v>
      </c>
      <c r="J404" s="3" t="s">
        <v>857</v>
      </c>
      <c r="K404" t="s">
        <v>858</v>
      </c>
      <c r="L404" s="4">
        <v>65</v>
      </c>
      <c r="M404" s="4">
        <v>0</v>
      </c>
      <c r="N404">
        <v>65</v>
      </c>
      <c r="O404" t="s">
        <v>86</v>
      </c>
      <c r="P404">
        <v>10</v>
      </c>
      <c r="Q404">
        <f>QtyRemaining*EstMfgMin/60</f>
        <v>10.833333333333334</v>
      </c>
      <c r="U404" t="e">
        <f t="shared" si="14"/>
        <v>#REF!</v>
      </c>
      <c r="V404" s="5" t="e">
        <f t="shared" si="15"/>
        <v>#REF!</v>
      </c>
    </row>
    <row r="405" spans="1:22" x14ac:dyDescent="0.25">
      <c r="A405" s="2">
        <v>45994</v>
      </c>
      <c r="B405" s="2">
        <v>45958</v>
      </c>
      <c r="C405" t="s">
        <v>570</v>
      </c>
      <c r="D405">
        <v>49</v>
      </c>
      <c r="E405" t="s">
        <v>810</v>
      </c>
      <c r="F405" t="s">
        <v>261</v>
      </c>
      <c r="G405" t="s">
        <v>811</v>
      </c>
      <c r="H405" t="s">
        <v>812</v>
      </c>
      <c r="I405" t="s">
        <v>83</v>
      </c>
      <c r="J405" s="3" t="s">
        <v>859</v>
      </c>
      <c r="K405" t="s">
        <v>860</v>
      </c>
      <c r="L405" s="4">
        <v>16</v>
      </c>
      <c r="M405" s="4">
        <v>0</v>
      </c>
      <c r="N405">
        <v>16</v>
      </c>
      <c r="O405" t="s">
        <v>86</v>
      </c>
      <c r="P405">
        <v>121</v>
      </c>
      <c r="Q405">
        <f>QtyRemaining*EstMfgMin/60</f>
        <v>32.266666666666666</v>
      </c>
      <c r="U405" t="e">
        <f t="shared" si="14"/>
        <v>#REF!</v>
      </c>
      <c r="V405" s="5" t="e">
        <f t="shared" si="15"/>
        <v>#REF!</v>
      </c>
    </row>
    <row r="406" spans="1:22" x14ac:dyDescent="0.25">
      <c r="A406" s="2">
        <v>45994</v>
      </c>
      <c r="B406" s="2">
        <v>45958</v>
      </c>
      <c r="C406" t="s">
        <v>570</v>
      </c>
      <c r="D406">
        <v>49</v>
      </c>
      <c r="E406" t="s">
        <v>810</v>
      </c>
      <c r="F406" t="s">
        <v>261</v>
      </c>
      <c r="G406" t="s">
        <v>811</v>
      </c>
      <c r="H406" t="s">
        <v>812</v>
      </c>
      <c r="I406" t="s">
        <v>83</v>
      </c>
      <c r="J406" s="3" t="s">
        <v>861</v>
      </c>
      <c r="K406" t="s">
        <v>862</v>
      </c>
      <c r="L406" s="4">
        <v>36</v>
      </c>
      <c r="M406" s="4">
        <v>0</v>
      </c>
      <c r="N406">
        <v>36</v>
      </c>
      <c r="O406" t="s">
        <v>118</v>
      </c>
      <c r="P406">
        <v>20</v>
      </c>
      <c r="Q406">
        <f>QtyRemaining*EstMfgMin/60</f>
        <v>12</v>
      </c>
      <c r="U406" t="e">
        <f t="shared" si="14"/>
        <v>#REF!</v>
      </c>
      <c r="V406" s="5" t="e">
        <f t="shared" si="15"/>
        <v>#REF!</v>
      </c>
    </row>
    <row r="407" spans="1:22" x14ac:dyDescent="0.25">
      <c r="A407" s="2">
        <v>45994</v>
      </c>
      <c r="B407" s="2">
        <v>45967</v>
      </c>
      <c r="C407" t="s">
        <v>485</v>
      </c>
      <c r="D407">
        <v>49</v>
      </c>
      <c r="E407" t="s">
        <v>863</v>
      </c>
      <c r="F407" t="s">
        <v>211</v>
      </c>
      <c r="G407" t="s">
        <v>864</v>
      </c>
      <c r="H407" t="s">
        <v>865</v>
      </c>
      <c r="I407" t="s">
        <v>214</v>
      </c>
      <c r="J407" s="3" t="s">
        <v>866</v>
      </c>
      <c r="K407" t="s">
        <v>867</v>
      </c>
      <c r="L407" s="4">
        <v>50</v>
      </c>
      <c r="M407" s="4">
        <v>49</v>
      </c>
      <c r="N407">
        <v>1</v>
      </c>
      <c r="O407" t="s">
        <v>868</v>
      </c>
      <c r="P407">
        <v>10</v>
      </c>
      <c r="Q407">
        <f>QtyRemaining*EstMfgMin/60</f>
        <v>0.16666666666666666</v>
      </c>
      <c r="U407" t="e">
        <f t="shared" si="14"/>
        <v>#REF!</v>
      </c>
      <c r="V407" s="5" t="e">
        <f t="shared" si="15"/>
        <v>#REF!</v>
      </c>
    </row>
    <row r="408" spans="1:22" x14ac:dyDescent="0.25">
      <c r="A408" s="2">
        <v>45994</v>
      </c>
      <c r="B408" s="2">
        <v>45967</v>
      </c>
      <c r="C408" t="s">
        <v>485</v>
      </c>
      <c r="D408">
        <v>49</v>
      </c>
      <c r="E408" t="s">
        <v>863</v>
      </c>
      <c r="F408" t="s">
        <v>211</v>
      </c>
      <c r="G408" t="s">
        <v>864</v>
      </c>
      <c r="H408" t="s">
        <v>865</v>
      </c>
      <c r="I408" t="s">
        <v>214</v>
      </c>
      <c r="J408" s="3" t="s">
        <v>869</v>
      </c>
      <c r="K408" t="s">
        <v>870</v>
      </c>
      <c r="L408" s="4">
        <v>75</v>
      </c>
      <c r="M408" s="4">
        <v>50</v>
      </c>
      <c r="N408">
        <v>25</v>
      </c>
      <c r="O408" t="s">
        <v>871</v>
      </c>
      <c r="P408">
        <v>333</v>
      </c>
      <c r="Q408">
        <f>QtyRemaining*EstMfgMin/60</f>
        <v>138.75</v>
      </c>
      <c r="U408" t="e">
        <f t="shared" si="14"/>
        <v>#REF!</v>
      </c>
      <c r="V408" s="5" t="e">
        <f t="shared" si="15"/>
        <v>#REF!</v>
      </c>
    </row>
    <row r="409" spans="1:22" x14ac:dyDescent="0.25">
      <c r="A409" s="2">
        <v>45996</v>
      </c>
      <c r="B409" s="2">
        <v>45975</v>
      </c>
      <c r="C409" t="s">
        <v>465</v>
      </c>
      <c r="D409">
        <v>49</v>
      </c>
      <c r="E409" t="s">
        <v>872</v>
      </c>
      <c r="F409" t="s">
        <v>211</v>
      </c>
      <c r="G409" t="s">
        <v>467</v>
      </c>
      <c r="H409" t="s">
        <v>873</v>
      </c>
      <c r="I409" t="s">
        <v>874</v>
      </c>
      <c r="J409" s="3" t="s">
        <v>875</v>
      </c>
      <c r="K409" t="s">
        <v>876</v>
      </c>
      <c r="L409" s="4">
        <v>1</v>
      </c>
      <c r="M409" s="4">
        <v>0</v>
      </c>
      <c r="N409">
        <v>1</v>
      </c>
      <c r="P409">
        <v>0</v>
      </c>
      <c r="Q409">
        <f>QtyRemaining*EstMfgMin/60</f>
        <v>0</v>
      </c>
      <c r="U409" t="e">
        <f t="shared" si="14"/>
        <v>#REF!</v>
      </c>
      <c r="V409" s="5" t="e">
        <f t="shared" si="15"/>
        <v>#REF!</v>
      </c>
    </row>
    <row r="410" spans="1:22" x14ac:dyDescent="0.25">
      <c r="A410" s="2">
        <v>45999</v>
      </c>
      <c r="B410" s="2">
        <v>45933</v>
      </c>
      <c r="C410" t="s">
        <v>465</v>
      </c>
      <c r="D410">
        <v>50</v>
      </c>
      <c r="E410" t="s">
        <v>877</v>
      </c>
      <c r="F410" t="s">
        <v>211</v>
      </c>
      <c r="G410" t="s">
        <v>467</v>
      </c>
      <c r="H410" t="s">
        <v>878</v>
      </c>
      <c r="I410" t="s">
        <v>214</v>
      </c>
      <c r="J410" s="3" t="s">
        <v>879</v>
      </c>
      <c r="K410" t="s">
        <v>880</v>
      </c>
      <c r="L410" s="4">
        <v>3</v>
      </c>
      <c r="M410" s="4">
        <v>0</v>
      </c>
      <c r="N410">
        <v>3</v>
      </c>
      <c r="O410" t="s">
        <v>266</v>
      </c>
      <c r="P410">
        <v>90</v>
      </c>
      <c r="Q410">
        <f>QtyRemaining*EstMfgMin/60</f>
        <v>4.5</v>
      </c>
      <c r="U410" t="e">
        <f t="shared" si="14"/>
        <v>#REF!</v>
      </c>
      <c r="V410" s="5" t="e">
        <f t="shared" si="15"/>
        <v>#REF!</v>
      </c>
    </row>
    <row r="411" spans="1:22" x14ac:dyDescent="0.25">
      <c r="A411" s="2">
        <v>46000</v>
      </c>
      <c r="B411" s="2">
        <v>45932</v>
      </c>
      <c r="C411" t="s">
        <v>478</v>
      </c>
      <c r="D411">
        <v>50</v>
      </c>
      <c r="E411" t="s">
        <v>881</v>
      </c>
      <c r="F411" t="s">
        <v>261</v>
      </c>
      <c r="G411" t="s">
        <v>882</v>
      </c>
      <c r="H411" t="s">
        <v>883</v>
      </c>
      <c r="I411" t="s">
        <v>83</v>
      </c>
      <c r="J411" s="3" t="s">
        <v>884</v>
      </c>
      <c r="K411" t="s">
        <v>885</v>
      </c>
      <c r="L411" s="4">
        <v>1</v>
      </c>
      <c r="M411" s="4">
        <v>0</v>
      </c>
      <c r="N411">
        <v>1</v>
      </c>
      <c r="P411">
        <v>0</v>
      </c>
      <c r="Q411">
        <f>QtyRemaining*EstMfgMin/60</f>
        <v>0</v>
      </c>
      <c r="U411" t="e">
        <f t="shared" si="14"/>
        <v>#REF!</v>
      </c>
      <c r="V411" s="5" t="e">
        <f t="shared" si="15"/>
        <v>#REF!</v>
      </c>
    </row>
    <row r="412" spans="1:22" x14ac:dyDescent="0.25">
      <c r="A412" s="2">
        <v>46001</v>
      </c>
      <c r="B412" s="2">
        <v>45958</v>
      </c>
      <c r="C412" t="s">
        <v>570</v>
      </c>
      <c r="D412">
        <v>50</v>
      </c>
      <c r="E412" t="s">
        <v>810</v>
      </c>
      <c r="F412" t="s">
        <v>261</v>
      </c>
      <c r="G412" t="s">
        <v>811</v>
      </c>
      <c r="H412" t="s">
        <v>812</v>
      </c>
      <c r="I412" t="s">
        <v>83</v>
      </c>
      <c r="J412" s="3" t="s">
        <v>886</v>
      </c>
      <c r="K412" t="s">
        <v>824</v>
      </c>
      <c r="L412" s="4">
        <v>162</v>
      </c>
      <c r="M412" s="4">
        <v>0</v>
      </c>
      <c r="N412">
        <v>162</v>
      </c>
      <c r="O412" t="s">
        <v>146</v>
      </c>
      <c r="P412">
        <v>15</v>
      </c>
      <c r="Q412">
        <f>QtyRemaining*EstMfgMin/60</f>
        <v>40.5</v>
      </c>
      <c r="U412" t="e">
        <f t="shared" si="14"/>
        <v>#REF!</v>
      </c>
      <c r="V412" s="5" t="e">
        <f t="shared" si="15"/>
        <v>#REF!</v>
      </c>
    </row>
    <row r="413" spans="1:22" x14ac:dyDescent="0.25">
      <c r="A413" s="2">
        <v>46001</v>
      </c>
      <c r="B413" s="2">
        <v>45958</v>
      </c>
      <c r="C413" t="s">
        <v>570</v>
      </c>
      <c r="D413">
        <v>50</v>
      </c>
      <c r="E413" t="s">
        <v>810</v>
      </c>
      <c r="F413" t="s">
        <v>261</v>
      </c>
      <c r="G413" t="s">
        <v>811</v>
      </c>
      <c r="H413" t="s">
        <v>812</v>
      </c>
      <c r="I413" t="s">
        <v>83</v>
      </c>
      <c r="J413" s="3" t="s">
        <v>887</v>
      </c>
      <c r="K413" t="s">
        <v>888</v>
      </c>
      <c r="L413" s="4">
        <v>18</v>
      </c>
      <c r="M413" s="4">
        <v>0</v>
      </c>
      <c r="N413">
        <v>18</v>
      </c>
      <c r="O413" t="s">
        <v>86</v>
      </c>
      <c r="P413">
        <v>174</v>
      </c>
      <c r="Q413">
        <f>QtyRemaining*EstMfgMin/60</f>
        <v>52.2</v>
      </c>
      <c r="U413" t="e">
        <f t="shared" si="14"/>
        <v>#REF!</v>
      </c>
      <c r="V413" s="5" t="e">
        <f t="shared" si="15"/>
        <v>#REF!</v>
      </c>
    </row>
    <row r="414" spans="1:22" x14ac:dyDescent="0.25">
      <c r="A414" s="2">
        <v>46001</v>
      </c>
      <c r="B414" s="2">
        <v>45958</v>
      </c>
      <c r="C414" t="s">
        <v>570</v>
      </c>
      <c r="D414">
        <v>50</v>
      </c>
      <c r="E414" t="s">
        <v>810</v>
      </c>
      <c r="F414" t="s">
        <v>261</v>
      </c>
      <c r="G414" t="s">
        <v>811</v>
      </c>
      <c r="H414" t="s">
        <v>812</v>
      </c>
      <c r="I414" t="s">
        <v>83</v>
      </c>
      <c r="J414" s="3" t="s">
        <v>889</v>
      </c>
      <c r="K414" t="s">
        <v>890</v>
      </c>
      <c r="L414" s="4">
        <v>18</v>
      </c>
      <c r="M414" s="4">
        <v>0</v>
      </c>
      <c r="N414">
        <v>18</v>
      </c>
      <c r="O414" t="s">
        <v>86</v>
      </c>
      <c r="P414">
        <v>20</v>
      </c>
      <c r="Q414">
        <f>QtyRemaining*EstMfgMin/60</f>
        <v>6</v>
      </c>
      <c r="U414" t="e">
        <f t="shared" si="14"/>
        <v>#REF!</v>
      </c>
      <c r="V414" s="5" t="e">
        <f t="shared" si="15"/>
        <v>#REF!</v>
      </c>
    </row>
    <row r="415" spans="1:22" x14ac:dyDescent="0.25">
      <c r="A415" s="2">
        <v>46001</v>
      </c>
      <c r="B415" s="2">
        <v>45958</v>
      </c>
      <c r="C415" t="s">
        <v>570</v>
      </c>
      <c r="D415">
        <v>50</v>
      </c>
      <c r="E415" t="s">
        <v>810</v>
      </c>
      <c r="F415" t="s">
        <v>261</v>
      </c>
      <c r="G415" t="s">
        <v>811</v>
      </c>
      <c r="H415" t="s">
        <v>812</v>
      </c>
      <c r="I415" t="s">
        <v>83</v>
      </c>
      <c r="J415" s="3" t="s">
        <v>891</v>
      </c>
      <c r="K415" t="s">
        <v>892</v>
      </c>
      <c r="L415" s="4">
        <v>18</v>
      </c>
      <c r="M415" s="4">
        <v>0</v>
      </c>
      <c r="N415">
        <v>18</v>
      </c>
      <c r="O415" t="s">
        <v>86</v>
      </c>
      <c r="P415">
        <v>20</v>
      </c>
      <c r="Q415">
        <f>QtyRemaining*EstMfgMin/60</f>
        <v>6</v>
      </c>
      <c r="U415" t="e">
        <f t="shared" si="14"/>
        <v>#REF!</v>
      </c>
      <c r="V415" s="5" t="e">
        <f t="shared" si="15"/>
        <v>#REF!</v>
      </c>
    </row>
    <row r="416" spans="1:22" x14ac:dyDescent="0.25">
      <c r="A416" s="2">
        <v>46001</v>
      </c>
      <c r="B416" s="2">
        <v>45958</v>
      </c>
      <c r="C416" t="s">
        <v>570</v>
      </c>
      <c r="D416">
        <v>50</v>
      </c>
      <c r="E416" t="s">
        <v>810</v>
      </c>
      <c r="F416" t="s">
        <v>261</v>
      </c>
      <c r="G416" t="s">
        <v>811</v>
      </c>
      <c r="H416" t="s">
        <v>812</v>
      </c>
      <c r="I416" t="s">
        <v>83</v>
      </c>
      <c r="J416" s="3" t="s">
        <v>893</v>
      </c>
      <c r="K416" t="s">
        <v>844</v>
      </c>
      <c r="L416" s="4">
        <v>176</v>
      </c>
      <c r="M416" s="4">
        <v>0</v>
      </c>
      <c r="N416">
        <v>176</v>
      </c>
      <c r="O416" t="s">
        <v>86</v>
      </c>
      <c r="P416">
        <v>20</v>
      </c>
      <c r="Q416">
        <f>QtyRemaining*EstMfgMin/60</f>
        <v>58.666666666666664</v>
      </c>
      <c r="U416" t="e">
        <f t="shared" si="14"/>
        <v>#REF!</v>
      </c>
      <c r="V416" s="5" t="e">
        <f t="shared" si="15"/>
        <v>#REF!</v>
      </c>
    </row>
    <row r="417" spans="1:22" x14ac:dyDescent="0.25">
      <c r="A417" s="2">
        <v>46001</v>
      </c>
      <c r="B417" s="2">
        <v>45958</v>
      </c>
      <c r="C417" t="s">
        <v>570</v>
      </c>
      <c r="D417">
        <v>50</v>
      </c>
      <c r="E417" t="s">
        <v>810</v>
      </c>
      <c r="F417" t="s">
        <v>261</v>
      </c>
      <c r="G417" t="s">
        <v>811</v>
      </c>
      <c r="H417" t="s">
        <v>812</v>
      </c>
      <c r="I417" t="s">
        <v>83</v>
      </c>
      <c r="J417" s="3" t="s">
        <v>894</v>
      </c>
      <c r="K417" t="s">
        <v>895</v>
      </c>
      <c r="L417" s="4">
        <v>18</v>
      </c>
      <c r="M417" s="4">
        <v>0</v>
      </c>
      <c r="N417">
        <v>18</v>
      </c>
      <c r="O417" t="s">
        <v>86</v>
      </c>
      <c r="P417">
        <v>23</v>
      </c>
      <c r="Q417">
        <f>QtyRemaining*EstMfgMin/60</f>
        <v>6.9</v>
      </c>
      <c r="U417" t="e">
        <f t="shared" si="14"/>
        <v>#REF!</v>
      </c>
      <c r="V417" s="5" t="e">
        <f t="shared" si="15"/>
        <v>#REF!</v>
      </c>
    </row>
    <row r="418" spans="1:22" x14ac:dyDescent="0.25">
      <c r="A418" s="2">
        <v>46001</v>
      </c>
      <c r="B418" s="2">
        <v>45958</v>
      </c>
      <c r="C418" t="s">
        <v>570</v>
      </c>
      <c r="D418">
        <v>50</v>
      </c>
      <c r="E418" t="s">
        <v>810</v>
      </c>
      <c r="F418" t="s">
        <v>261</v>
      </c>
      <c r="G418" t="s">
        <v>811</v>
      </c>
      <c r="H418" t="s">
        <v>812</v>
      </c>
      <c r="I418" t="s">
        <v>83</v>
      </c>
      <c r="J418" s="3" t="s">
        <v>896</v>
      </c>
      <c r="K418" t="s">
        <v>897</v>
      </c>
      <c r="L418" s="4">
        <v>181</v>
      </c>
      <c r="M418" s="4">
        <v>0</v>
      </c>
      <c r="N418">
        <v>181</v>
      </c>
      <c r="O418" t="s">
        <v>94</v>
      </c>
      <c r="P418">
        <v>55</v>
      </c>
      <c r="Q418">
        <f>QtyRemaining*EstMfgMin/60</f>
        <v>165.91666666666666</v>
      </c>
      <c r="U418" t="e">
        <f t="shared" si="14"/>
        <v>#REF!</v>
      </c>
      <c r="V418" s="5" t="e">
        <f t="shared" si="15"/>
        <v>#REF!</v>
      </c>
    </row>
    <row r="419" spans="1:22" x14ac:dyDescent="0.25">
      <c r="A419" s="2">
        <v>46001</v>
      </c>
      <c r="B419" s="2">
        <v>45958</v>
      </c>
      <c r="C419" t="s">
        <v>570</v>
      </c>
      <c r="D419">
        <v>50</v>
      </c>
      <c r="E419" t="s">
        <v>810</v>
      </c>
      <c r="F419" t="s">
        <v>261</v>
      </c>
      <c r="G419" t="s">
        <v>811</v>
      </c>
      <c r="H419" t="s">
        <v>812</v>
      </c>
      <c r="I419" t="s">
        <v>83</v>
      </c>
      <c r="J419" s="3" t="s">
        <v>898</v>
      </c>
      <c r="K419" t="s">
        <v>899</v>
      </c>
      <c r="L419" s="4">
        <v>81</v>
      </c>
      <c r="M419" s="4">
        <v>0</v>
      </c>
      <c r="N419">
        <v>81</v>
      </c>
      <c r="O419" t="s">
        <v>176</v>
      </c>
      <c r="P419">
        <v>15</v>
      </c>
      <c r="Q419">
        <f>QtyRemaining*EstMfgMin/60</f>
        <v>20.25</v>
      </c>
      <c r="U419" t="e">
        <f t="shared" si="14"/>
        <v>#REF!</v>
      </c>
      <c r="V419" s="5" t="e">
        <f t="shared" si="15"/>
        <v>#REF!</v>
      </c>
    </row>
    <row r="420" spans="1:22" x14ac:dyDescent="0.25">
      <c r="A420" s="2">
        <v>46001</v>
      </c>
      <c r="B420" s="2">
        <v>45958</v>
      </c>
      <c r="C420" t="s">
        <v>570</v>
      </c>
      <c r="D420">
        <v>50</v>
      </c>
      <c r="E420" t="s">
        <v>810</v>
      </c>
      <c r="F420" t="s">
        <v>261</v>
      </c>
      <c r="G420" t="s">
        <v>811</v>
      </c>
      <c r="H420" t="s">
        <v>812</v>
      </c>
      <c r="I420" t="s">
        <v>83</v>
      </c>
      <c r="J420" s="3" t="s">
        <v>900</v>
      </c>
      <c r="K420" t="s">
        <v>901</v>
      </c>
      <c r="L420" s="4">
        <v>81</v>
      </c>
      <c r="M420" s="4">
        <v>0</v>
      </c>
      <c r="N420">
        <v>81</v>
      </c>
      <c r="O420" t="s">
        <v>176</v>
      </c>
      <c r="P420">
        <v>15</v>
      </c>
      <c r="Q420">
        <f>QtyRemaining*EstMfgMin/60</f>
        <v>20.25</v>
      </c>
      <c r="U420" t="e">
        <f t="shared" si="14"/>
        <v>#REF!</v>
      </c>
      <c r="V420" s="5" t="e">
        <f t="shared" si="15"/>
        <v>#REF!</v>
      </c>
    </row>
    <row r="421" spans="1:22" x14ac:dyDescent="0.25">
      <c r="A421" s="2">
        <v>46001</v>
      </c>
      <c r="B421" s="2">
        <v>45958</v>
      </c>
      <c r="C421" t="s">
        <v>570</v>
      </c>
      <c r="D421">
        <v>50</v>
      </c>
      <c r="E421" t="s">
        <v>810</v>
      </c>
      <c r="F421" t="s">
        <v>261</v>
      </c>
      <c r="G421" t="s">
        <v>811</v>
      </c>
      <c r="H421" t="s">
        <v>812</v>
      </c>
      <c r="I421" t="s">
        <v>83</v>
      </c>
      <c r="J421" s="3" t="s">
        <v>902</v>
      </c>
      <c r="K421" t="s">
        <v>903</v>
      </c>
      <c r="L421" s="4">
        <v>81</v>
      </c>
      <c r="M421" s="4">
        <v>0</v>
      </c>
      <c r="N421">
        <v>81</v>
      </c>
      <c r="O421" t="s">
        <v>176</v>
      </c>
      <c r="P421">
        <v>13</v>
      </c>
      <c r="Q421">
        <f>QtyRemaining*EstMfgMin/60</f>
        <v>17.55</v>
      </c>
      <c r="U421" t="e">
        <f t="shared" si="14"/>
        <v>#REF!</v>
      </c>
      <c r="V421" s="5" t="e">
        <f t="shared" si="15"/>
        <v>#REF!</v>
      </c>
    </row>
    <row r="422" spans="1:22" x14ac:dyDescent="0.25">
      <c r="A422" s="2">
        <v>46001</v>
      </c>
      <c r="B422" s="2">
        <v>45958</v>
      </c>
      <c r="C422" t="s">
        <v>570</v>
      </c>
      <c r="D422">
        <v>50</v>
      </c>
      <c r="E422" t="s">
        <v>810</v>
      </c>
      <c r="F422" t="s">
        <v>261</v>
      </c>
      <c r="G422" t="s">
        <v>811</v>
      </c>
      <c r="H422" t="s">
        <v>812</v>
      </c>
      <c r="I422" t="s">
        <v>83</v>
      </c>
      <c r="J422" s="3" t="s">
        <v>904</v>
      </c>
      <c r="K422" t="s">
        <v>897</v>
      </c>
      <c r="L422" s="4">
        <v>181</v>
      </c>
      <c r="M422" s="4">
        <v>0</v>
      </c>
      <c r="N422">
        <v>181</v>
      </c>
      <c r="O422" t="s">
        <v>118</v>
      </c>
      <c r="P422">
        <v>23</v>
      </c>
      <c r="Q422">
        <f>QtyRemaining*EstMfgMin/60</f>
        <v>69.38333333333334</v>
      </c>
      <c r="U422" t="e">
        <f t="shared" si="14"/>
        <v>#REF!</v>
      </c>
      <c r="V422" s="5" t="e">
        <f t="shared" si="15"/>
        <v>#REF!</v>
      </c>
    </row>
    <row r="423" spans="1:22" x14ac:dyDescent="0.25">
      <c r="A423" s="2">
        <v>46001</v>
      </c>
      <c r="B423" s="2">
        <v>45958</v>
      </c>
      <c r="C423" t="s">
        <v>570</v>
      </c>
      <c r="D423">
        <v>50</v>
      </c>
      <c r="E423" t="s">
        <v>810</v>
      </c>
      <c r="F423" t="s">
        <v>261</v>
      </c>
      <c r="G423" t="s">
        <v>811</v>
      </c>
      <c r="H423" t="s">
        <v>812</v>
      </c>
      <c r="I423" t="s">
        <v>83</v>
      </c>
      <c r="J423" s="3" t="s">
        <v>905</v>
      </c>
      <c r="K423" t="s">
        <v>906</v>
      </c>
      <c r="L423" s="4">
        <v>65</v>
      </c>
      <c r="M423" s="4">
        <v>0</v>
      </c>
      <c r="N423">
        <v>65</v>
      </c>
      <c r="O423" t="s">
        <v>94</v>
      </c>
      <c r="P423">
        <v>50</v>
      </c>
      <c r="Q423">
        <f>QtyRemaining*EstMfgMin/60</f>
        <v>54.166666666666664</v>
      </c>
      <c r="U423" t="e">
        <f t="shared" si="14"/>
        <v>#REF!</v>
      </c>
      <c r="V423" s="5" t="e">
        <f t="shared" si="15"/>
        <v>#REF!</v>
      </c>
    </row>
    <row r="424" spans="1:22" x14ac:dyDescent="0.25">
      <c r="A424" s="2">
        <v>46001</v>
      </c>
      <c r="B424" s="2">
        <v>45958</v>
      </c>
      <c r="C424" t="s">
        <v>570</v>
      </c>
      <c r="D424">
        <v>50</v>
      </c>
      <c r="E424" t="s">
        <v>810</v>
      </c>
      <c r="F424" t="s">
        <v>261</v>
      </c>
      <c r="G424" t="s">
        <v>811</v>
      </c>
      <c r="H424" t="s">
        <v>812</v>
      </c>
      <c r="I424" t="s">
        <v>83</v>
      </c>
      <c r="J424" s="3" t="s">
        <v>907</v>
      </c>
      <c r="K424" t="s">
        <v>908</v>
      </c>
      <c r="L424" s="4">
        <v>34</v>
      </c>
      <c r="M424" s="4">
        <v>0</v>
      </c>
      <c r="N424">
        <v>34</v>
      </c>
      <c r="O424" t="s">
        <v>176</v>
      </c>
      <c r="P424">
        <v>15</v>
      </c>
      <c r="Q424">
        <f>QtyRemaining*EstMfgMin/60</f>
        <v>8.5</v>
      </c>
      <c r="U424" t="e">
        <f t="shared" si="14"/>
        <v>#REF!</v>
      </c>
      <c r="V424" s="5" t="e">
        <f t="shared" si="15"/>
        <v>#REF!</v>
      </c>
    </row>
    <row r="425" spans="1:22" x14ac:dyDescent="0.25">
      <c r="A425" s="2">
        <v>46001</v>
      </c>
      <c r="B425" s="2">
        <v>45958</v>
      </c>
      <c r="C425" t="s">
        <v>570</v>
      </c>
      <c r="D425">
        <v>50</v>
      </c>
      <c r="E425" t="s">
        <v>810</v>
      </c>
      <c r="F425" t="s">
        <v>261</v>
      </c>
      <c r="G425" t="s">
        <v>811</v>
      </c>
      <c r="H425" t="s">
        <v>812</v>
      </c>
      <c r="I425" t="s">
        <v>83</v>
      </c>
      <c r="J425" s="3" t="s">
        <v>909</v>
      </c>
      <c r="K425" t="s">
        <v>910</v>
      </c>
      <c r="L425" s="4">
        <v>65</v>
      </c>
      <c r="M425" s="4">
        <v>0</v>
      </c>
      <c r="N425">
        <v>65</v>
      </c>
      <c r="O425" t="s">
        <v>86</v>
      </c>
      <c r="P425">
        <v>5</v>
      </c>
      <c r="Q425">
        <f>QtyRemaining*EstMfgMin/60</f>
        <v>5.416666666666667</v>
      </c>
      <c r="U425" t="e">
        <f t="shared" si="14"/>
        <v>#REF!</v>
      </c>
      <c r="V425" s="5" t="e">
        <f t="shared" si="15"/>
        <v>#REF!</v>
      </c>
    </row>
    <row r="426" spans="1:22" x14ac:dyDescent="0.25">
      <c r="A426" s="2">
        <v>46001</v>
      </c>
      <c r="B426" s="2">
        <v>45979</v>
      </c>
      <c r="C426" t="s">
        <v>485</v>
      </c>
      <c r="D426">
        <v>50</v>
      </c>
      <c r="E426" t="s">
        <v>911</v>
      </c>
      <c r="F426" t="s">
        <v>211</v>
      </c>
      <c r="G426" t="s">
        <v>912</v>
      </c>
      <c r="H426" t="s">
        <v>913</v>
      </c>
      <c r="I426" t="s">
        <v>214</v>
      </c>
      <c r="J426" s="3" t="s">
        <v>914</v>
      </c>
      <c r="K426" t="s">
        <v>915</v>
      </c>
      <c r="L426" s="4">
        <v>20</v>
      </c>
      <c r="M426" s="4">
        <v>19</v>
      </c>
      <c r="N426">
        <v>1</v>
      </c>
      <c r="O426" t="s">
        <v>94</v>
      </c>
      <c r="P426">
        <v>54</v>
      </c>
      <c r="Q426">
        <f>QtyRemaining*EstMfgMin/60</f>
        <v>0.9</v>
      </c>
      <c r="U426" t="e">
        <f t="shared" si="14"/>
        <v>#REF!</v>
      </c>
      <c r="V426" s="5" t="e">
        <f t="shared" si="15"/>
        <v>#REF!</v>
      </c>
    </row>
    <row r="427" spans="1:22" x14ac:dyDescent="0.25">
      <c r="A427" s="2">
        <v>46001</v>
      </c>
      <c r="B427" s="2">
        <v>45979</v>
      </c>
      <c r="C427" t="s">
        <v>485</v>
      </c>
      <c r="D427">
        <v>50</v>
      </c>
      <c r="E427" t="s">
        <v>911</v>
      </c>
      <c r="F427" t="s">
        <v>211</v>
      </c>
      <c r="G427" t="s">
        <v>912</v>
      </c>
      <c r="H427" t="s">
        <v>913</v>
      </c>
      <c r="I427" t="s">
        <v>214</v>
      </c>
      <c r="J427" s="3" t="s">
        <v>916</v>
      </c>
      <c r="K427" t="s">
        <v>917</v>
      </c>
      <c r="L427" s="4">
        <v>20</v>
      </c>
      <c r="M427" s="4">
        <v>18</v>
      </c>
      <c r="N427">
        <v>2</v>
      </c>
      <c r="O427" t="s">
        <v>457</v>
      </c>
      <c r="P427">
        <v>54</v>
      </c>
      <c r="Q427">
        <f>QtyRemaining*EstMfgMin/60</f>
        <v>1.8</v>
      </c>
      <c r="U427" t="e">
        <f t="shared" si="14"/>
        <v>#REF!</v>
      </c>
      <c r="V427" s="5" t="e">
        <f t="shared" si="15"/>
        <v>#REF!</v>
      </c>
    </row>
    <row r="428" spans="1:22" x14ac:dyDescent="0.25">
      <c r="A428" s="2">
        <v>46001</v>
      </c>
      <c r="B428" s="2">
        <v>45979</v>
      </c>
      <c r="C428" t="s">
        <v>485</v>
      </c>
      <c r="D428">
        <v>50</v>
      </c>
      <c r="E428" t="s">
        <v>911</v>
      </c>
      <c r="F428" t="s">
        <v>211</v>
      </c>
      <c r="G428" t="s">
        <v>912</v>
      </c>
      <c r="H428" t="s">
        <v>913</v>
      </c>
      <c r="I428" t="s">
        <v>214</v>
      </c>
      <c r="J428" s="3" t="s">
        <v>918</v>
      </c>
      <c r="K428" t="s">
        <v>919</v>
      </c>
      <c r="L428" s="4">
        <v>20</v>
      </c>
      <c r="M428" s="4">
        <v>0</v>
      </c>
      <c r="N428">
        <v>20</v>
      </c>
      <c r="O428" t="s">
        <v>457</v>
      </c>
      <c r="P428">
        <v>54</v>
      </c>
      <c r="Q428">
        <f>QtyRemaining*EstMfgMin/60</f>
        <v>18</v>
      </c>
      <c r="U428" t="e">
        <f t="shared" si="14"/>
        <v>#REF!</v>
      </c>
      <c r="V428" s="5" t="e">
        <f t="shared" si="15"/>
        <v>#REF!</v>
      </c>
    </row>
    <row r="429" spans="1:22" x14ac:dyDescent="0.25">
      <c r="A429" s="2">
        <v>46002</v>
      </c>
      <c r="B429" s="2">
        <v>46043</v>
      </c>
      <c r="C429" t="s">
        <v>550</v>
      </c>
      <c r="D429">
        <v>50</v>
      </c>
      <c r="E429" t="s">
        <v>716</v>
      </c>
      <c r="F429" t="s">
        <v>261</v>
      </c>
      <c r="G429" t="s">
        <v>552</v>
      </c>
      <c r="H429" t="s">
        <v>717</v>
      </c>
      <c r="I429" t="s">
        <v>45</v>
      </c>
      <c r="J429" s="3" t="s">
        <v>156</v>
      </c>
      <c r="K429" t="s">
        <v>779</v>
      </c>
      <c r="L429" s="4">
        <v>257</v>
      </c>
      <c r="M429" s="4">
        <v>0</v>
      </c>
      <c r="N429">
        <v>257</v>
      </c>
      <c r="O429" t="s">
        <v>780</v>
      </c>
      <c r="P429">
        <v>0</v>
      </c>
      <c r="Q429">
        <f>QtyRemaining*EstMfgMin/60</f>
        <v>0</v>
      </c>
      <c r="U429" t="e">
        <f t="shared" si="14"/>
        <v>#REF!</v>
      </c>
      <c r="V429" s="5" t="e">
        <f t="shared" si="15"/>
        <v>#REF!</v>
      </c>
    </row>
    <row r="430" spans="1:22" x14ac:dyDescent="0.25">
      <c r="A430" s="2">
        <v>46002</v>
      </c>
      <c r="B430" s="2">
        <v>46043</v>
      </c>
      <c r="C430" t="s">
        <v>550</v>
      </c>
      <c r="D430">
        <v>50</v>
      </c>
      <c r="E430" t="s">
        <v>716</v>
      </c>
      <c r="F430" t="s">
        <v>261</v>
      </c>
      <c r="G430" t="s">
        <v>552</v>
      </c>
      <c r="H430" t="s">
        <v>717</v>
      </c>
      <c r="I430" t="s">
        <v>45</v>
      </c>
      <c r="J430" s="3" t="s">
        <v>781</v>
      </c>
      <c r="K430" t="s">
        <v>782</v>
      </c>
      <c r="L430" s="4">
        <v>193</v>
      </c>
      <c r="M430" s="4">
        <v>0</v>
      </c>
      <c r="N430">
        <v>193</v>
      </c>
      <c r="O430" t="s">
        <v>146</v>
      </c>
      <c r="P430">
        <v>0</v>
      </c>
      <c r="Q430">
        <f>QtyRemaining*EstMfgMin/60</f>
        <v>0</v>
      </c>
      <c r="U430" t="e">
        <f t="shared" si="14"/>
        <v>#REF!</v>
      </c>
      <c r="V430" s="5" t="e">
        <f t="shared" si="15"/>
        <v>#REF!</v>
      </c>
    </row>
    <row r="431" spans="1:22" x14ac:dyDescent="0.25">
      <c r="A431" s="2">
        <v>46002</v>
      </c>
      <c r="B431" s="2">
        <v>46043</v>
      </c>
      <c r="C431" t="s">
        <v>550</v>
      </c>
      <c r="D431">
        <v>50</v>
      </c>
      <c r="E431" t="s">
        <v>716</v>
      </c>
      <c r="F431" t="s">
        <v>261</v>
      </c>
      <c r="G431" t="s">
        <v>552</v>
      </c>
      <c r="H431" t="s">
        <v>717</v>
      </c>
      <c r="I431" t="s">
        <v>45</v>
      </c>
      <c r="J431" s="3" t="s">
        <v>783</v>
      </c>
      <c r="K431" t="s">
        <v>784</v>
      </c>
      <c r="L431" s="4">
        <v>112</v>
      </c>
      <c r="M431" s="4">
        <v>0</v>
      </c>
      <c r="N431">
        <v>112</v>
      </c>
      <c r="O431" t="s">
        <v>151</v>
      </c>
      <c r="P431">
        <v>0</v>
      </c>
      <c r="Q431">
        <f>QtyRemaining*EstMfgMin/60</f>
        <v>0</v>
      </c>
      <c r="U431" t="e">
        <f t="shared" si="14"/>
        <v>#REF!</v>
      </c>
      <c r="V431" s="5" t="e">
        <f t="shared" si="15"/>
        <v>#REF!</v>
      </c>
    </row>
    <row r="432" spans="1:22" x14ac:dyDescent="0.25">
      <c r="A432" s="2">
        <v>46003</v>
      </c>
      <c r="B432" s="2">
        <v>45953</v>
      </c>
      <c r="C432" t="s">
        <v>920</v>
      </c>
      <c r="D432">
        <v>50</v>
      </c>
      <c r="E432" t="s">
        <v>921</v>
      </c>
      <c r="F432" t="s">
        <v>261</v>
      </c>
      <c r="G432" t="s">
        <v>510</v>
      </c>
      <c r="H432" t="s">
        <v>922</v>
      </c>
      <c r="I432" t="s">
        <v>45</v>
      </c>
      <c r="J432" s="3" t="s">
        <v>875</v>
      </c>
      <c r="K432" t="s">
        <v>923</v>
      </c>
      <c r="L432" s="4">
        <v>1</v>
      </c>
      <c r="M432" s="4">
        <v>0</v>
      </c>
      <c r="N432">
        <v>1</v>
      </c>
      <c r="P432">
        <v>0</v>
      </c>
      <c r="Q432">
        <f>QtyRemaining*EstMfgMin/60</f>
        <v>0</v>
      </c>
      <c r="U432" t="e">
        <f t="shared" si="14"/>
        <v>#REF!</v>
      </c>
      <c r="V432" s="5" t="e">
        <f t="shared" si="15"/>
        <v>#REF!</v>
      </c>
    </row>
    <row r="433" spans="1:22" x14ac:dyDescent="0.25">
      <c r="A433" s="2">
        <v>46003</v>
      </c>
      <c r="B433" s="2">
        <v>45953</v>
      </c>
      <c r="C433" t="s">
        <v>920</v>
      </c>
      <c r="D433">
        <v>50</v>
      </c>
      <c r="E433" t="s">
        <v>921</v>
      </c>
      <c r="F433" t="s">
        <v>261</v>
      </c>
      <c r="G433" t="s">
        <v>510</v>
      </c>
      <c r="H433" t="s">
        <v>922</v>
      </c>
      <c r="I433" t="s">
        <v>45</v>
      </c>
      <c r="J433" s="3" t="s">
        <v>924</v>
      </c>
      <c r="K433" t="s">
        <v>925</v>
      </c>
      <c r="L433" s="4">
        <v>6</v>
      </c>
      <c r="M433" s="4">
        <v>0</v>
      </c>
      <c r="N433">
        <v>6</v>
      </c>
      <c r="O433" t="s">
        <v>176</v>
      </c>
      <c r="P433">
        <v>5</v>
      </c>
      <c r="Q433">
        <f>QtyRemaining*EstMfgMin/60</f>
        <v>0.5</v>
      </c>
      <c r="U433" t="e">
        <f t="shared" si="14"/>
        <v>#REF!</v>
      </c>
      <c r="V433" s="5" t="e">
        <f t="shared" si="15"/>
        <v>#REF!</v>
      </c>
    </row>
    <row r="434" spans="1:22" x14ac:dyDescent="0.25">
      <c r="A434" s="2">
        <v>46003</v>
      </c>
      <c r="B434" s="2">
        <v>45995</v>
      </c>
      <c r="C434" t="s">
        <v>465</v>
      </c>
      <c r="D434">
        <v>50</v>
      </c>
      <c r="E434" t="s">
        <v>926</v>
      </c>
      <c r="F434" t="s">
        <v>211</v>
      </c>
      <c r="G434" t="s">
        <v>467</v>
      </c>
      <c r="H434" t="s">
        <v>927</v>
      </c>
      <c r="I434" t="s">
        <v>214</v>
      </c>
      <c r="J434" s="3" t="s">
        <v>928</v>
      </c>
      <c r="K434" t="s">
        <v>929</v>
      </c>
      <c r="L434" s="4">
        <v>-1</v>
      </c>
      <c r="M434" s="4">
        <v>0</v>
      </c>
      <c r="N434">
        <v>-1</v>
      </c>
      <c r="O434" t="s">
        <v>176</v>
      </c>
      <c r="P434">
        <v>172</v>
      </c>
      <c r="Q434">
        <f>QtyRemaining*EstMfgMin/60</f>
        <v>-2.8666666666666667</v>
      </c>
      <c r="U434" t="e">
        <f t="shared" si="14"/>
        <v>#REF!</v>
      </c>
      <c r="V434" s="5" t="e">
        <f t="shared" si="15"/>
        <v>#REF!</v>
      </c>
    </row>
    <row r="435" spans="1:22" x14ac:dyDescent="0.25">
      <c r="A435" s="2">
        <v>46003</v>
      </c>
      <c r="B435" s="2">
        <v>45995</v>
      </c>
      <c r="C435" t="s">
        <v>465</v>
      </c>
      <c r="D435">
        <v>50</v>
      </c>
      <c r="E435" t="s">
        <v>926</v>
      </c>
      <c r="F435" t="s">
        <v>211</v>
      </c>
      <c r="G435" t="s">
        <v>467</v>
      </c>
      <c r="H435" t="s">
        <v>927</v>
      </c>
      <c r="I435" t="s">
        <v>214</v>
      </c>
      <c r="J435" s="3" t="s">
        <v>928</v>
      </c>
      <c r="K435" t="s">
        <v>929</v>
      </c>
      <c r="L435" s="4">
        <v>1</v>
      </c>
      <c r="M435" s="4">
        <v>0</v>
      </c>
      <c r="N435">
        <v>1</v>
      </c>
      <c r="O435" t="s">
        <v>176</v>
      </c>
      <c r="P435">
        <v>172</v>
      </c>
      <c r="Q435">
        <f>QtyRemaining*EstMfgMin/60</f>
        <v>2.8666666666666667</v>
      </c>
      <c r="U435" t="e">
        <f t="shared" si="14"/>
        <v>#REF!</v>
      </c>
      <c r="V435" s="5" t="e">
        <f t="shared" si="15"/>
        <v>#REF!</v>
      </c>
    </row>
    <row r="436" spans="1:22" x14ac:dyDescent="0.25">
      <c r="A436" s="2">
        <v>46006</v>
      </c>
      <c r="B436" s="2">
        <v>45435</v>
      </c>
      <c r="C436" t="s">
        <v>221</v>
      </c>
      <c r="D436">
        <v>51</v>
      </c>
      <c r="E436" t="s">
        <v>930</v>
      </c>
      <c r="F436" t="s">
        <v>211</v>
      </c>
      <c r="G436" t="s">
        <v>519</v>
      </c>
      <c r="H436" t="s">
        <v>931</v>
      </c>
      <c r="I436" t="s">
        <v>83</v>
      </c>
      <c r="J436" s="3" t="s">
        <v>932</v>
      </c>
      <c r="K436" t="s">
        <v>933</v>
      </c>
      <c r="L436" s="4">
        <v>59</v>
      </c>
      <c r="M436" s="4">
        <v>39</v>
      </c>
      <c r="N436">
        <v>20</v>
      </c>
      <c r="O436" t="s">
        <v>118</v>
      </c>
      <c r="P436">
        <v>0</v>
      </c>
      <c r="Q436">
        <f>QtyRemaining*EstMfgMin/60</f>
        <v>0</v>
      </c>
      <c r="U436" t="e">
        <f t="shared" si="14"/>
        <v>#REF!</v>
      </c>
      <c r="V436" s="5" t="e">
        <f t="shared" si="15"/>
        <v>#REF!</v>
      </c>
    </row>
    <row r="437" spans="1:22" x14ac:dyDescent="0.25">
      <c r="A437" s="2">
        <v>46006</v>
      </c>
      <c r="B437" s="2">
        <v>45754</v>
      </c>
      <c r="C437" t="s">
        <v>221</v>
      </c>
      <c r="D437">
        <v>51</v>
      </c>
      <c r="E437" t="s">
        <v>601</v>
      </c>
      <c r="F437" t="s">
        <v>211</v>
      </c>
      <c r="G437" t="s">
        <v>519</v>
      </c>
      <c r="H437" t="s">
        <v>602</v>
      </c>
      <c r="I437" t="s">
        <v>83</v>
      </c>
      <c r="J437" s="3" t="s">
        <v>934</v>
      </c>
      <c r="K437" t="s">
        <v>935</v>
      </c>
      <c r="L437" s="4">
        <v>7</v>
      </c>
      <c r="M437" s="4">
        <v>0</v>
      </c>
      <c r="N437">
        <v>7</v>
      </c>
      <c r="O437" t="s">
        <v>86</v>
      </c>
      <c r="P437">
        <v>0</v>
      </c>
      <c r="Q437">
        <f>QtyRemaining*EstMfgMin/60</f>
        <v>0</v>
      </c>
      <c r="U437" t="e">
        <f t="shared" si="14"/>
        <v>#REF!</v>
      </c>
      <c r="V437" s="5" t="e">
        <f t="shared" si="15"/>
        <v>#REF!</v>
      </c>
    </row>
    <row r="438" spans="1:22" x14ac:dyDescent="0.25">
      <c r="A438" s="2">
        <v>46006</v>
      </c>
      <c r="B438" s="2">
        <v>45754</v>
      </c>
      <c r="C438" t="s">
        <v>221</v>
      </c>
      <c r="D438">
        <v>51</v>
      </c>
      <c r="E438" t="s">
        <v>601</v>
      </c>
      <c r="F438" t="s">
        <v>211</v>
      </c>
      <c r="G438" t="s">
        <v>519</v>
      </c>
      <c r="H438" t="s">
        <v>602</v>
      </c>
      <c r="I438" t="s">
        <v>83</v>
      </c>
      <c r="J438" s="3" t="s">
        <v>936</v>
      </c>
      <c r="K438" t="s">
        <v>937</v>
      </c>
      <c r="L438" s="4">
        <v>7</v>
      </c>
      <c r="M438" s="4">
        <v>0</v>
      </c>
      <c r="N438">
        <v>7</v>
      </c>
      <c r="O438" t="s">
        <v>86</v>
      </c>
      <c r="P438">
        <v>0</v>
      </c>
      <c r="Q438">
        <f>QtyRemaining*EstMfgMin/60</f>
        <v>0</v>
      </c>
      <c r="U438" t="e">
        <f t="shared" si="14"/>
        <v>#REF!</v>
      </c>
      <c r="V438" s="5" t="e">
        <f t="shared" si="15"/>
        <v>#REF!</v>
      </c>
    </row>
    <row r="439" spans="1:22" x14ac:dyDescent="0.25">
      <c r="A439" s="2">
        <v>46006</v>
      </c>
      <c r="B439" s="2">
        <v>45754</v>
      </c>
      <c r="C439" t="s">
        <v>221</v>
      </c>
      <c r="D439">
        <v>51</v>
      </c>
      <c r="E439" t="s">
        <v>601</v>
      </c>
      <c r="F439" t="s">
        <v>211</v>
      </c>
      <c r="G439" t="s">
        <v>519</v>
      </c>
      <c r="H439" t="s">
        <v>602</v>
      </c>
      <c r="I439" t="s">
        <v>83</v>
      </c>
      <c r="J439" s="3" t="s">
        <v>938</v>
      </c>
      <c r="K439" t="s">
        <v>937</v>
      </c>
      <c r="L439" s="4">
        <v>7</v>
      </c>
      <c r="M439" s="4">
        <v>0</v>
      </c>
      <c r="N439">
        <v>7</v>
      </c>
      <c r="O439" t="s">
        <v>86</v>
      </c>
      <c r="P439">
        <v>0</v>
      </c>
      <c r="Q439">
        <f>QtyRemaining*EstMfgMin/60</f>
        <v>0</v>
      </c>
      <c r="U439" t="e">
        <f t="shared" si="14"/>
        <v>#REF!</v>
      </c>
      <c r="V439" s="5" t="e">
        <f t="shared" si="15"/>
        <v>#REF!</v>
      </c>
    </row>
    <row r="440" spans="1:22" x14ac:dyDescent="0.25">
      <c r="A440" s="2">
        <v>46006</v>
      </c>
      <c r="B440" s="2">
        <v>45754</v>
      </c>
      <c r="C440" t="s">
        <v>221</v>
      </c>
      <c r="D440">
        <v>51</v>
      </c>
      <c r="E440" t="s">
        <v>601</v>
      </c>
      <c r="F440" t="s">
        <v>211</v>
      </c>
      <c r="G440" t="s">
        <v>519</v>
      </c>
      <c r="H440" t="s">
        <v>602</v>
      </c>
      <c r="I440" t="s">
        <v>83</v>
      </c>
      <c r="J440" s="3" t="s">
        <v>939</v>
      </c>
      <c r="K440" t="s">
        <v>940</v>
      </c>
      <c r="L440" s="4">
        <v>7</v>
      </c>
      <c r="M440" s="4">
        <v>0</v>
      </c>
      <c r="N440">
        <v>7</v>
      </c>
      <c r="O440" t="s">
        <v>118</v>
      </c>
      <c r="P440">
        <v>0</v>
      </c>
      <c r="Q440">
        <f>QtyRemaining*EstMfgMin/60</f>
        <v>0</v>
      </c>
      <c r="U440" t="e">
        <f t="shared" si="14"/>
        <v>#REF!</v>
      </c>
      <c r="V440" s="5" t="e">
        <f t="shared" si="15"/>
        <v>#REF!</v>
      </c>
    </row>
    <row r="441" spans="1:22" x14ac:dyDescent="0.25">
      <c r="A441" s="2">
        <v>46006</v>
      </c>
      <c r="B441" s="2">
        <v>45754</v>
      </c>
      <c r="C441" t="s">
        <v>221</v>
      </c>
      <c r="D441">
        <v>51</v>
      </c>
      <c r="E441" t="s">
        <v>601</v>
      </c>
      <c r="F441" t="s">
        <v>211</v>
      </c>
      <c r="G441" t="s">
        <v>519</v>
      </c>
      <c r="H441" t="s">
        <v>602</v>
      </c>
      <c r="I441" t="s">
        <v>83</v>
      </c>
      <c r="J441" s="3" t="s">
        <v>941</v>
      </c>
      <c r="K441" t="s">
        <v>942</v>
      </c>
      <c r="L441" s="4">
        <v>7</v>
      </c>
      <c r="M441" s="4">
        <v>0</v>
      </c>
      <c r="N441">
        <v>7</v>
      </c>
      <c r="O441" t="s">
        <v>176</v>
      </c>
      <c r="P441">
        <v>0</v>
      </c>
      <c r="Q441">
        <f>QtyRemaining*EstMfgMin/60</f>
        <v>0</v>
      </c>
      <c r="U441" t="e">
        <f t="shared" si="14"/>
        <v>#REF!</v>
      </c>
      <c r="V441" s="5" t="e">
        <f t="shared" si="15"/>
        <v>#REF!</v>
      </c>
    </row>
    <row r="442" spans="1:22" x14ac:dyDescent="0.25">
      <c r="A442" s="2">
        <v>46006</v>
      </c>
      <c r="B442" s="2">
        <v>45754</v>
      </c>
      <c r="C442" t="s">
        <v>221</v>
      </c>
      <c r="D442">
        <v>51</v>
      </c>
      <c r="E442" t="s">
        <v>601</v>
      </c>
      <c r="F442" t="s">
        <v>211</v>
      </c>
      <c r="G442" t="s">
        <v>519</v>
      </c>
      <c r="H442" t="s">
        <v>602</v>
      </c>
      <c r="I442" t="s">
        <v>83</v>
      </c>
      <c r="J442" s="3" t="s">
        <v>943</v>
      </c>
      <c r="K442" t="s">
        <v>944</v>
      </c>
      <c r="L442" s="4">
        <v>7</v>
      </c>
      <c r="M442" s="4">
        <v>0</v>
      </c>
      <c r="N442">
        <v>7</v>
      </c>
      <c r="O442" t="s">
        <v>86</v>
      </c>
      <c r="P442">
        <v>0</v>
      </c>
      <c r="Q442">
        <f>QtyRemaining*EstMfgMin/60</f>
        <v>0</v>
      </c>
      <c r="U442" t="e">
        <f t="shared" si="14"/>
        <v>#REF!</v>
      </c>
      <c r="V442" s="5" t="e">
        <f t="shared" si="15"/>
        <v>#REF!</v>
      </c>
    </row>
    <row r="443" spans="1:22" x14ac:dyDescent="0.25">
      <c r="A443" s="2">
        <v>46006</v>
      </c>
      <c r="B443" s="2">
        <v>45754</v>
      </c>
      <c r="C443" t="s">
        <v>221</v>
      </c>
      <c r="D443">
        <v>51</v>
      </c>
      <c r="E443" t="s">
        <v>601</v>
      </c>
      <c r="F443" t="s">
        <v>211</v>
      </c>
      <c r="G443" t="s">
        <v>519</v>
      </c>
      <c r="H443" t="s">
        <v>602</v>
      </c>
      <c r="I443" t="s">
        <v>83</v>
      </c>
      <c r="J443" s="3" t="s">
        <v>945</v>
      </c>
      <c r="K443" t="s">
        <v>946</v>
      </c>
      <c r="L443" s="4">
        <v>7</v>
      </c>
      <c r="M443" s="4">
        <v>0</v>
      </c>
      <c r="N443">
        <v>7</v>
      </c>
      <c r="O443" t="s">
        <v>176</v>
      </c>
      <c r="P443">
        <v>0</v>
      </c>
      <c r="Q443">
        <f>QtyRemaining*EstMfgMin/60</f>
        <v>0</v>
      </c>
      <c r="U443" t="e">
        <f t="shared" si="14"/>
        <v>#REF!</v>
      </c>
      <c r="V443" s="5" t="e">
        <f t="shared" si="15"/>
        <v>#REF!</v>
      </c>
    </row>
    <row r="444" spans="1:22" x14ac:dyDescent="0.25">
      <c r="A444" s="2">
        <v>46006</v>
      </c>
      <c r="B444" s="2">
        <v>45754</v>
      </c>
      <c r="C444" t="s">
        <v>221</v>
      </c>
      <c r="D444">
        <v>51</v>
      </c>
      <c r="E444" t="s">
        <v>601</v>
      </c>
      <c r="F444" t="s">
        <v>211</v>
      </c>
      <c r="G444" t="s">
        <v>519</v>
      </c>
      <c r="H444" t="s">
        <v>602</v>
      </c>
      <c r="I444" t="s">
        <v>83</v>
      </c>
      <c r="J444" s="3" t="s">
        <v>947</v>
      </c>
      <c r="K444" t="s">
        <v>948</v>
      </c>
      <c r="L444" s="4">
        <v>7</v>
      </c>
      <c r="M444" s="4">
        <v>0</v>
      </c>
      <c r="N444">
        <v>7</v>
      </c>
      <c r="O444" t="s">
        <v>176</v>
      </c>
      <c r="P444">
        <v>0</v>
      </c>
      <c r="Q444">
        <f>QtyRemaining*EstMfgMin/60</f>
        <v>0</v>
      </c>
      <c r="U444" t="e">
        <f t="shared" si="14"/>
        <v>#REF!</v>
      </c>
      <c r="V444" s="5" t="e">
        <f t="shared" si="15"/>
        <v>#REF!</v>
      </c>
    </row>
    <row r="445" spans="1:22" x14ac:dyDescent="0.25">
      <c r="A445" s="2">
        <v>46006</v>
      </c>
      <c r="B445" s="2">
        <v>45754</v>
      </c>
      <c r="C445" t="s">
        <v>221</v>
      </c>
      <c r="D445">
        <v>51</v>
      </c>
      <c r="E445" t="s">
        <v>601</v>
      </c>
      <c r="F445" t="s">
        <v>211</v>
      </c>
      <c r="G445" t="s">
        <v>519</v>
      </c>
      <c r="H445" t="s">
        <v>602</v>
      </c>
      <c r="I445" t="s">
        <v>83</v>
      </c>
      <c r="J445" s="3" t="s">
        <v>949</v>
      </c>
      <c r="K445" t="s">
        <v>950</v>
      </c>
      <c r="L445" s="4">
        <v>7</v>
      </c>
      <c r="M445" s="4">
        <v>0</v>
      </c>
      <c r="N445">
        <v>7</v>
      </c>
      <c r="O445" t="s">
        <v>94</v>
      </c>
      <c r="P445">
        <v>0</v>
      </c>
      <c r="Q445">
        <f>QtyRemaining*EstMfgMin/60</f>
        <v>0</v>
      </c>
      <c r="U445" t="e">
        <f t="shared" si="14"/>
        <v>#REF!</v>
      </c>
      <c r="V445" s="5" t="e">
        <f t="shared" si="15"/>
        <v>#REF!</v>
      </c>
    </row>
    <row r="446" spans="1:22" x14ac:dyDescent="0.25">
      <c r="A446" s="2">
        <v>46006</v>
      </c>
      <c r="B446" s="2">
        <v>45754</v>
      </c>
      <c r="C446" t="s">
        <v>221</v>
      </c>
      <c r="D446">
        <v>51</v>
      </c>
      <c r="E446" t="s">
        <v>601</v>
      </c>
      <c r="F446" t="s">
        <v>211</v>
      </c>
      <c r="G446" t="s">
        <v>519</v>
      </c>
      <c r="H446" t="s">
        <v>602</v>
      </c>
      <c r="I446" t="s">
        <v>83</v>
      </c>
      <c r="J446" s="3" t="s">
        <v>951</v>
      </c>
      <c r="K446" t="s">
        <v>952</v>
      </c>
      <c r="L446" s="4">
        <v>7</v>
      </c>
      <c r="M446" s="4">
        <v>0</v>
      </c>
      <c r="N446">
        <v>7</v>
      </c>
      <c r="O446" t="s">
        <v>176</v>
      </c>
      <c r="P446">
        <v>0</v>
      </c>
      <c r="Q446">
        <f>QtyRemaining*EstMfgMin/60</f>
        <v>0</v>
      </c>
      <c r="U446" t="e">
        <f t="shared" si="14"/>
        <v>#REF!</v>
      </c>
      <c r="V446" s="5" t="e">
        <f t="shared" si="15"/>
        <v>#REF!</v>
      </c>
    </row>
    <row r="447" spans="1:22" x14ac:dyDescent="0.25">
      <c r="A447" s="2">
        <v>46006</v>
      </c>
      <c r="B447" s="2">
        <v>45831</v>
      </c>
      <c r="C447" t="s">
        <v>274</v>
      </c>
      <c r="D447">
        <v>51</v>
      </c>
      <c r="E447" t="s">
        <v>953</v>
      </c>
      <c r="F447" t="s">
        <v>211</v>
      </c>
      <c r="G447" t="s">
        <v>276</v>
      </c>
      <c r="H447" t="s">
        <v>954</v>
      </c>
      <c r="I447" t="s">
        <v>214</v>
      </c>
      <c r="J447" s="3" t="s">
        <v>627</v>
      </c>
      <c r="K447" t="s">
        <v>628</v>
      </c>
      <c r="L447" s="4">
        <v>7</v>
      </c>
      <c r="M447" s="4">
        <v>0</v>
      </c>
      <c r="N447">
        <v>7</v>
      </c>
      <c r="O447" t="s">
        <v>86</v>
      </c>
      <c r="P447">
        <v>120</v>
      </c>
      <c r="Q447">
        <f>QtyRemaining*EstMfgMin/60</f>
        <v>14</v>
      </c>
      <c r="U447" t="e">
        <f t="shared" si="14"/>
        <v>#REF!</v>
      </c>
      <c r="V447" s="5" t="e">
        <f t="shared" si="15"/>
        <v>#REF!</v>
      </c>
    </row>
    <row r="448" spans="1:22" x14ac:dyDescent="0.25">
      <c r="A448" s="2">
        <v>46006</v>
      </c>
      <c r="B448" s="2">
        <v>45831</v>
      </c>
      <c r="C448" t="s">
        <v>274</v>
      </c>
      <c r="D448">
        <v>51</v>
      </c>
      <c r="E448" t="s">
        <v>953</v>
      </c>
      <c r="F448" t="s">
        <v>211</v>
      </c>
      <c r="G448" t="s">
        <v>276</v>
      </c>
      <c r="H448" t="s">
        <v>954</v>
      </c>
      <c r="I448" t="s">
        <v>214</v>
      </c>
      <c r="J448" s="3" t="s">
        <v>955</v>
      </c>
      <c r="K448" t="s">
        <v>642</v>
      </c>
      <c r="L448" s="4">
        <v>7</v>
      </c>
      <c r="M448" s="4">
        <v>0</v>
      </c>
      <c r="N448">
        <v>7</v>
      </c>
      <c r="O448" t="s">
        <v>643</v>
      </c>
      <c r="P448">
        <v>40</v>
      </c>
      <c r="Q448">
        <f>QtyRemaining*EstMfgMin/60</f>
        <v>4.666666666666667</v>
      </c>
      <c r="U448" t="e">
        <f t="shared" si="14"/>
        <v>#REF!</v>
      </c>
      <c r="V448" s="5" t="e">
        <f t="shared" si="15"/>
        <v>#REF!</v>
      </c>
    </row>
    <row r="449" spans="1:22" x14ac:dyDescent="0.25">
      <c r="A449" s="2">
        <v>46006</v>
      </c>
      <c r="B449" s="2">
        <v>45831</v>
      </c>
      <c r="C449" t="s">
        <v>274</v>
      </c>
      <c r="D449">
        <v>51</v>
      </c>
      <c r="E449" t="s">
        <v>953</v>
      </c>
      <c r="F449" t="s">
        <v>211</v>
      </c>
      <c r="G449" t="s">
        <v>276</v>
      </c>
      <c r="H449" t="s">
        <v>954</v>
      </c>
      <c r="I449" t="s">
        <v>214</v>
      </c>
      <c r="J449" s="3" t="s">
        <v>714</v>
      </c>
      <c r="K449" t="s">
        <v>715</v>
      </c>
      <c r="L449" s="4">
        <v>7</v>
      </c>
      <c r="M449" s="4">
        <v>0</v>
      </c>
      <c r="N449">
        <v>7</v>
      </c>
      <c r="O449" t="s">
        <v>266</v>
      </c>
      <c r="P449">
        <v>132</v>
      </c>
      <c r="Q449">
        <f>QtyRemaining*EstMfgMin/60</f>
        <v>15.4</v>
      </c>
      <c r="U449" t="e">
        <f t="shared" si="14"/>
        <v>#REF!</v>
      </c>
      <c r="V449" s="5" t="e">
        <f t="shared" si="15"/>
        <v>#REF!</v>
      </c>
    </row>
    <row r="450" spans="1:22" x14ac:dyDescent="0.25">
      <c r="A450" s="2">
        <v>46006</v>
      </c>
      <c r="B450" s="2">
        <v>45831</v>
      </c>
      <c r="C450" t="s">
        <v>274</v>
      </c>
      <c r="D450">
        <v>51</v>
      </c>
      <c r="E450" t="s">
        <v>953</v>
      </c>
      <c r="F450" t="s">
        <v>211</v>
      </c>
      <c r="G450" t="s">
        <v>276</v>
      </c>
      <c r="H450" t="s">
        <v>954</v>
      </c>
      <c r="I450" t="s">
        <v>214</v>
      </c>
      <c r="J450" s="3" t="s">
        <v>956</v>
      </c>
      <c r="K450" t="s">
        <v>957</v>
      </c>
      <c r="L450" s="4">
        <v>36</v>
      </c>
      <c r="M450" s="4">
        <v>0</v>
      </c>
      <c r="N450">
        <v>36</v>
      </c>
      <c r="O450" t="s">
        <v>457</v>
      </c>
      <c r="P450">
        <v>5</v>
      </c>
      <c r="Q450">
        <f>QtyRemaining*EstMfgMin/60</f>
        <v>3</v>
      </c>
      <c r="U450" t="e">
        <f t="shared" si="14"/>
        <v>#REF!</v>
      </c>
      <c r="V450" s="5" t="e">
        <f t="shared" si="15"/>
        <v>#REF!</v>
      </c>
    </row>
    <row r="451" spans="1:22" x14ac:dyDescent="0.25">
      <c r="A451" s="2">
        <v>46006</v>
      </c>
      <c r="B451" s="2">
        <v>45831</v>
      </c>
      <c r="C451" t="s">
        <v>274</v>
      </c>
      <c r="D451">
        <v>51</v>
      </c>
      <c r="E451" t="s">
        <v>953</v>
      </c>
      <c r="F451" t="s">
        <v>211</v>
      </c>
      <c r="G451" t="s">
        <v>276</v>
      </c>
      <c r="H451" t="s">
        <v>954</v>
      </c>
      <c r="I451" t="s">
        <v>214</v>
      </c>
      <c r="J451" s="3" t="s">
        <v>958</v>
      </c>
      <c r="K451" t="s">
        <v>957</v>
      </c>
      <c r="L451" s="4">
        <v>36</v>
      </c>
      <c r="M451" s="4">
        <v>0</v>
      </c>
      <c r="N451">
        <v>36</v>
      </c>
      <c r="O451" t="s">
        <v>457</v>
      </c>
      <c r="P451">
        <v>4</v>
      </c>
      <c r="Q451">
        <f>QtyRemaining*EstMfgMin/60</f>
        <v>2.4</v>
      </c>
      <c r="U451" t="e">
        <f t="shared" ref="U451:U514" si="16">VLOOKUP(A451,Calendar,13,FALSE)</f>
        <v>#REF!</v>
      </c>
      <c r="V451" s="5" t="e">
        <f t="shared" ref="V451:V514" si="17">VLOOKUP(A451,Calendar,14,FALSE)</f>
        <v>#REF!</v>
      </c>
    </row>
    <row r="452" spans="1:22" x14ac:dyDescent="0.25">
      <c r="A452" s="2">
        <v>46006</v>
      </c>
      <c r="B452" s="2">
        <v>45831</v>
      </c>
      <c r="C452" t="s">
        <v>274</v>
      </c>
      <c r="D452">
        <v>51</v>
      </c>
      <c r="E452" t="s">
        <v>953</v>
      </c>
      <c r="F452" t="s">
        <v>211</v>
      </c>
      <c r="G452" t="s">
        <v>276</v>
      </c>
      <c r="H452" t="s">
        <v>954</v>
      </c>
      <c r="I452" t="s">
        <v>214</v>
      </c>
      <c r="J452" s="3" t="s">
        <v>959</v>
      </c>
      <c r="K452" t="s">
        <v>957</v>
      </c>
      <c r="L452" s="4">
        <v>72</v>
      </c>
      <c r="M452" s="4">
        <v>0</v>
      </c>
      <c r="N452">
        <v>72</v>
      </c>
      <c r="O452" t="s">
        <v>457</v>
      </c>
      <c r="P452">
        <v>5</v>
      </c>
      <c r="Q452">
        <f>QtyRemaining*EstMfgMin/60</f>
        <v>6</v>
      </c>
      <c r="U452" t="e">
        <f t="shared" si="16"/>
        <v>#REF!</v>
      </c>
      <c r="V452" s="5" t="e">
        <f t="shared" si="17"/>
        <v>#REF!</v>
      </c>
    </row>
    <row r="453" spans="1:22" x14ac:dyDescent="0.25">
      <c r="A453" s="2">
        <v>46006</v>
      </c>
      <c r="B453" s="2">
        <v>45831</v>
      </c>
      <c r="C453" t="s">
        <v>274</v>
      </c>
      <c r="D453">
        <v>51</v>
      </c>
      <c r="E453" t="s">
        <v>953</v>
      </c>
      <c r="F453" t="s">
        <v>211</v>
      </c>
      <c r="G453" t="s">
        <v>276</v>
      </c>
      <c r="H453" t="s">
        <v>954</v>
      </c>
      <c r="I453" t="s">
        <v>214</v>
      </c>
      <c r="J453" s="3" t="s">
        <v>960</v>
      </c>
      <c r="K453" t="s">
        <v>957</v>
      </c>
      <c r="L453" s="4">
        <v>36</v>
      </c>
      <c r="M453" s="4">
        <v>0</v>
      </c>
      <c r="N453">
        <v>36</v>
      </c>
      <c r="O453" t="s">
        <v>457</v>
      </c>
      <c r="P453">
        <v>5</v>
      </c>
      <c r="Q453">
        <f>QtyRemaining*EstMfgMin/60</f>
        <v>3</v>
      </c>
      <c r="U453" t="e">
        <f t="shared" si="16"/>
        <v>#REF!</v>
      </c>
      <c r="V453" s="5" t="e">
        <f t="shared" si="17"/>
        <v>#REF!</v>
      </c>
    </row>
    <row r="454" spans="1:22" x14ac:dyDescent="0.25">
      <c r="A454" s="2">
        <v>46006</v>
      </c>
      <c r="B454" s="2">
        <v>45831</v>
      </c>
      <c r="C454" t="s">
        <v>274</v>
      </c>
      <c r="D454">
        <v>51</v>
      </c>
      <c r="E454" t="s">
        <v>953</v>
      </c>
      <c r="F454" t="s">
        <v>211</v>
      </c>
      <c r="G454" t="s">
        <v>276</v>
      </c>
      <c r="H454" t="s">
        <v>954</v>
      </c>
      <c r="I454" t="s">
        <v>214</v>
      </c>
      <c r="J454" s="3" t="s">
        <v>961</v>
      </c>
      <c r="K454" t="s">
        <v>962</v>
      </c>
      <c r="L454" s="4">
        <v>36</v>
      </c>
      <c r="M454" s="4">
        <v>0</v>
      </c>
      <c r="N454">
        <v>36</v>
      </c>
      <c r="O454" t="s">
        <v>118</v>
      </c>
      <c r="P454">
        <v>0</v>
      </c>
      <c r="Q454">
        <f>QtyRemaining*EstMfgMin/60</f>
        <v>0</v>
      </c>
      <c r="U454" t="e">
        <f t="shared" si="16"/>
        <v>#REF!</v>
      </c>
      <c r="V454" s="5" t="e">
        <f t="shared" si="17"/>
        <v>#REF!</v>
      </c>
    </row>
    <row r="455" spans="1:22" x14ac:dyDescent="0.25">
      <c r="A455" s="2">
        <v>46006</v>
      </c>
      <c r="B455" s="2">
        <v>45862</v>
      </c>
      <c r="C455" t="s">
        <v>685</v>
      </c>
      <c r="D455">
        <v>51</v>
      </c>
      <c r="E455" t="s">
        <v>963</v>
      </c>
      <c r="F455" t="s">
        <v>211</v>
      </c>
      <c r="G455" t="s">
        <v>276</v>
      </c>
      <c r="H455" t="s">
        <v>964</v>
      </c>
      <c r="I455" t="s">
        <v>155</v>
      </c>
      <c r="J455" s="3" t="s">
        <v>965</v>
      </c>
      <c r="K455" t="s">
        <v>966</v>
      </c>
      <c r="L455" s="4">
        <v>7</v>
      </c>
      <c r="M455" s="4">
        <v>0</v>
      </c>
      <c r="N455">
        <v>7</v>
      </c>
      <c r="O455" t="s">
        <v>514</v>
      </c>
      <c r="P455">
        <v>76</v>
      </c>
      <c r="Q455">
        <f>QtyRemaining*EstMfgMin/60</f>
        <v>8.8666666666666671</v>
      </c>
      <c r="R455" t="s">
        <v>967</v>
      </c>
      <c r="U455" t="e">
        <f t="shared" si="16"/>
        <v>#REF!</v>
      </c>
      <c r="V455" s="5" t="e">
        <f t="shared" si="17"/>
        <v>#REF!</v>
      </c>
    </row>
    <row r="456" spans="1:22" x14ac:dyDescent="0.25">
      <c r="A456" s="2">
        <v>46006</v>
      </c>
      <c r="B456" s="2">
        <v>45862</v>
      </c>
      <c r="C456" t="s">
        <v>685</v>
      </c>
      <c r="D456">
        <v>51</v>
      </c>
      <c r="E456" t="s">
        <v>963</v>
      </c>
      <c r="F456" t="s">
        <v>211</v>
      </c>
      <c r="G456" t="s">
        <v>276</v>
      </c>
      <c r="H456" t="s">
        <v>964</v>
      </c>
      <c r="I456" t="s">
        <v>155</v>
      </c>
      <c r="J456" s="3" t="s">
        <v>968</v>
      </c>
      <c r="K456" t="s">
        <v>969</v>
      </c>
      <c r="L456" s="4">
        <v>7</v>
      </c>
      <c r="M456" s="4">
        <v>0</v>
      </c>
      <c r="N456">
        <v>7</v>
      </c>
      <c r="O456" t="s">
        <v>91</v>
      </c>
      <c r="P456">
        <v>32</v>
      </c>
      <c r="Q456">
        <f>QtyRemaining*EstMfgMin/60</f>
        <v>3.7333333333333334</v>
      </c>
      <c r="R456" t="s">
        <v>967</v>
      </c>
      <c r="U456" t="e">
        <f t="shared" si="16"/>
        <v>#REF!</v>
      </c>
      <c r="V456" s="5" t="e">
        <f t="shared" si="17"/>
        <v>#REF!</v>
      </c>
    </row>
    <row r="457" spans="1:22" x14ac:dyDescent="0.25">
      <c r="A457" s="2">
        <v>46006</v>
      </c>
      <c r="B457" s="2">
        <v>45862</v>
      </c>
      <c r="C457" t="s">
        <v>685</v>
      </c>
      <c r="D457">
        <v>51</v>
      </c>
      <c r="E457" t="s">
        <v>963</v>
      </c>
      <c r="F457" t="s">
        <v>211</v>
      </c>
      <c r="G457" t="s">
        <v>276</v>
      </c>
      <c r="H457" t="s">
        <v>964</v>
      </c>
      <c r="I457" t="s">
        <v>155</v>
      </c>
      <c r="J457" s="3" t="s">
        <v>970</v>
      </c>
      <c r="K457" t="s">
        <v>971</v>
      </c>
      <c r="L457" s="4">
        <v>2</v>
      </c>
      <c r="M457" s="4">
        <v>0</v>
      </c>
      <c r="N457">
        <v>2</v>
      </c>
      <c r="O457" t="s">
        <v>702</v>
      </c>
      <c r="P457">
        <v>0</v>
      </c>
      <c r="Q457">
        <f>QtyRemaining*EstMfgMin/60</f>
        <v>0</v>
      </c>
      <c r="R457" t="s">
        <v>967</v>
      </c>
      <c r="U457" t="e">
        <f t="shared" si="16"/>
        <v>#REF!</v>
      </c>
      <c r="V457" s="5" t="e">
        <f t="shared" si="17"/>
        <v>#REF!</v>
      </c>
    </row>
    <row r="458" spans="1:22" x14ac:dyDescent="0.25">
      <c r="A458" s="2">
        <v>46007</v>
      </c>
      <c r="B458" s="2">
        <v>45771</v>
      </c>
      <c r="C458" t="s">
        <v>685</v>
      </c>
      <c r="D458">
        <v>51</v>
      </c>
      <c r="E458" t="s">
        <v>972</v>
      </c>
      <c r="F458" t="s">
        <v>261</v>
      </c>
      <c r="G458" t="s">
        <v>262</v>
      </c>
      <c r="H458" t="s">
        <v>973</v>
      </c>
      <c r="I458" t="s">
        <v>83</v>
      </c>
      <c r="J458" s="3" t="s">
        <v>974</v>
      </c>
      <c r="K458" t="s">
        <v>975</v>
      </c>
      <c r="L458" s="4">
        <v>80</v>
      </c>
      <c r="M458" s="4">
        <v>0</v>
      </c>
      <c r="N458">
        <v>80</v>
      </c>
      <c r="O458" t="s">
        <v>86</v>
      </c>
      <c r="P458">
        <v>400</v>
      </c>
      <c r="Q458">
        <f>QtyRemaining*EstMfgMin/60</f>
        <v>533.33333333333337</v>
      </c>
      <c r="U458" t="e">
        <f t="shared" si="16"/>
        <v>#REF!</v>
      </c>
      <c r="V458" s="5" t="e">
        <f t="shared" si="17"/>
        <v>#REF!</v>
      </c>
    </row>
    <row r="459" spans="1:22" x14ac:dyDescent="0.25">
      <c r="A459" s="2">
        <v>46009</v>
      </c>
      <c r="B459" s="2">
        <v>45958</v>
      </c>
      <c r="C459" t="s">
        <v>570</v>
      </c>
      <c r="D459">
        <v>51</v>
      </c>
      <c r="E459" t="s">
        <v>810</v>
      </c>
      <c r="F459" t="s">
        <v>261</v>
      </c>
      <c r="G459" t="s">
        <v>811</v>
      </c>
      <c r="H459" t="s">
        <v>812</v>
      </c>
      <c r="I459" t="s">
        <v>83</v>
      </c>
      <c r="J459" s="3" t="s">
        <v>976</v>
      </c>
      <c r="K459" t="s">
        <v>977</v>
      </c>
      <c r="L459" s="4">
        <v>18</v>
      </c>
      <c r="M459" s="4">
        <v>0</v>
      </c>
      <c r="N459">
        <v>18</v>
      </c>
      <c r="O459" t="s">
        <v>118</v>
      </c>
      <c r="P459">
        <v>27</v>
      </c>
      <c r="Q459">
        <f>QtyRemaining*EstMfgMin/60</f>
        <v>8.1</v>
      </c>
      <c r="U459" t="e">
        <f t="shared" si="16"/>
        <v>#REF!</v>
      </c>
      <c r="V459" s="5" t="e">
        <f t="shared" si="17"/>
        <v>#REF!</v>
      </c>
    </row>
    <row r="460" spans="1:22" x14ac:dyDescent="0.25">
      <c r="A460" s="2">
        <v>46009</v>
      </c>
      <c r="B460" s="2">
        <v>45958</v>
      </c>
      <c r="C460" t="s">
        <v>570</v>
      </c>
      <c r="D460">
        <v>51</v>
      </c>
      <c r="E460" t="s">
        <v>810</v>
      </c>
      <c r="F460" t="s">
        <v>261</v>
      </c>
      <c r="G460" t="s">
        <v>811</v>
      </c>
      <c r="H460" t="s">
        <v>812</v>
      </c>
      <c r="I460" t="s">
        <v>83</v>
      </c>
      <c r="J460" s="3" t="s">
        <v>978</v>
      </c>
      <c r="K460" t="s">
        <v>979</v>
      </c>
      <c r="L460" s="4">
        <v>18</v>
      </c>
      <c r="M460" s="4">
        <v>0</v>
      </c>
      <c r="N460">
        <v>18</v>
      </c>
      <c r="O460" t="s">
        <v>118</v>
      </c>
      <c r="P460">
        <v>30</v>
      </c>
      <c r="Q460">
        <f>QtyRemaining*EstMfgMin/60</f>
        <v>9</v>
      </c>
      <c r="U460" t="e">
        <f t="shared" si="16"/>
        <v>#REF!</v>
      </c>
      <c r="V460" s="5" t="e">
        <f t="shared" si="17"/>
        <v>#REF!</v>
      </c>
    </row>
    <row r="461" spans="1:22" x14ac:dyDescent="0.25">
      <c r="A461" s="2">
        <v>46009</v>
      </c>
      <c r="B461" s="2">
        <v>45958</v>
      </c>
      <c r="C461" t="s">
        <v>570</v>
      </c>
      <c r="D461">
        <v>51</v>
      </c>
      <c r="E461" t="s">
        <v>810</v>
      </c>
      <c r="F461" t="s">
        <v>261</v>
      </c>
      <c r="G461" t="s">
        <v>811</v>
      </c>
      <c r="H461" t="s">
        <v>812</v>
      </c>
      <c r="I461" t="s">
        <v>83</v>
      </c>
      <c r="J461" s="3" t="s">
        <v>980</v>
      </c>
      <c r="K461" t="s">
        <v>981</v>
      </c>
      <c r="L461" s="4">
        <v>18</v>
      </c>
      <c r="M461" s="4">
        <v>0</v>
      </c>
      <c r="N461">
        <v>18</v>
      </c>
      <c r="O461" t="s">
        <v>118</v>
      </c>
      <c r="P461">
        <v>27</v>
      </c>
      <c r="Q461">
        <f>QtyRemaining*EstMfgMin/60</f>
        <v>8.1</v>
      </c>
      <c r="U461" t="e">
        <f t="shared" si="16"/>
        <v>#REF!</v>
      </c>
      <c r="V461" s="5" t="e">
        <f t="shared" si="17"/>
        <v>#REF!</v>
      </c>
    </row>
    <row r="462" spans="1:22" x14ac:dyDescent="0.25">
      <c r="A462" s="2">
        <v>46009</v>
      </c>
      <c r="B462" s="2">
        <v>45958</v>
      </c>
      <c r="C462" t="s">
        <v>570</v>
      </c>
      <c r="D462">
        <v>51</v>
      </c>
      <c r="E462" t="s">
        <v>810</v>
      </c>
      <c r="F462" t="s">
        <v>261</v>
      </c>
      <c r="G462" t="s">
        <v>811</v>
      </c>
      <c r="H462" t="s">
        <v>812</v>
      </c>
      <c r="I462" t="s">
        <v>83</v>
      </c>
      <c r="J462" s="3" t="s">
        <v>982</v>
      </c>
      <c r="K462" t="s">
        <v>983</v>
      </c>
      <c r="L462" s="4">
        <v>18</v>
      </c>
      <c r="M462" s="4">
        <v>0</v>
      </c>
      <c r="N462">
        <v>18</v>
      </c>
      <c r="O462" t="s">
        <v>118</v>
      </c>
      <c r="P462">
        <v>30</v>
      </c>
      <c r="Q462">
        <f>QtyRemaining*EstMfgMin/60</f>
        <v>9</v>
      </c>
      <c r="U462" t="e">
        <f t="shared" si="16"/>
        <v>#REF!</v>
      </c>
      <c r="V462" s="5" t="e">
        <f t="shared" si="17"/>
        <v>#REF!</v>
      </c>
    </row>
    <row r="463" spans="1:22" x14ac:dyDescent="0.25">
      <c r="A463" s="2">
        <v>46009</v>
      </c>
      <c r="B463" s="2">
        <v>45958</v>
      </c>
      <c r="C463" t="s">
        <v>570</v>
      </c>
      <c r="D463">
        <v>51</v>
      </c>
      <c r="E463" t="s">
        <v>810</v>
      </c>
      <c r="F463" t="s">
        <v>261</v>
      </c>
      <c r="G463" t="s">
        <v>811</v>
      </c>
      <c r="H463" t="s">
        <v>812</v>
      </c>
      <c r="I463" t="s">
        <v>83</v>
      </c>
      <c r="J463" s="3" t="s">
        <v>984</v>
      </c>
      <c r="K463" t="s">
        <v>985</v>
      </c>
      <c r="L463" s="4">
        <v>18</v>
      </c>
      <c r="M463" s="4">
        <v>0</v>
      </c>
      <c r="N463">
        <v>18</v>
      </c>
      <c r="O463" t="s">
        <v>118</v>
      </c>
      <c r="P463">
        <v>30</v>
      </c>
      <c r="Q463">
        <f>QtyRemaining*EstMfgMin/60</f>
        <v>9</v>
      </c>
      <c r="U463" t="e">
        <f t="shared" si="16"/>
        <v>#REF!</v>
      </c>
      <c r="V463" s="5" t="e">
        <f t="shared" si="17"/>
        <v>#REF!</v>
      </c>
    </row>
    <row r="464" spans="1:22" x14ac:dyDescent="0.25">
      <c r="A464" s="2">
        <v>46009</v>
      </c>
      <c r="B464" s="2">
        <v>45958</v>
      </c>
      <c r="C464" t="s">
        <v>570</v>
      </c>
      <c r="D464">
        <v>51</v>
      </c>
      <c r="E464" t="s">
        <v>810</v>
      </c>
      <c r="F464" t="s">
        <v>261</v>
      </c>
      <c r="G464" t="s">
        <v>811</v>
      </c>
      <c r="H464" t="s">
        <v>812</v>
      </c>
      <c r="I464" t="s">
        <v>83</v>
      </c>
      <c r="J464" s="3" t="s">
        <v>986</v>
      </c>
      <c r="K464" t="s">
        <v>987</v>
      </c>
      <c r="L464" s="4">
        <v>18</v>
      </c>
      <c r="M464" s="4">
        <v>0</v>
      </c>
      <c r="N464">
        <v>18</v>
      </c>
      <c r="O464" t="s">
        <v>118</v>
      </c>
      <c r="P464">
        <v>30</v>
      </c>
      <c r="Q464">
        <f>QtyRemaining*EstMfgMin/60</f>
        <v>9</v>
      </c>
      <c r="U464" t="e">
        <f t="shared" si="16"/>
        <v>#REF!</v>
      </c>
      <c r="V464" s="5" t="e">
        <f t="shared" si="17"/>
        <v>#REF!</v>
      </c>
    </row>
    <row r="465" spans="1:22" x14ac:dyDescent="0.25">
      <c r="A465" s="2">
        <v>46009</v>
      </c>
      <c r="B465" s="2">
        <v>45958</v>
      </c>
      <c r="C465" t="s">
        <v>570</v>
      </c>
      <c r="D465">
        <v>51</v>
      </c>
      <c r="E465" t="s">
        <v>810</v>
      </c>
      <c r="F465" t="s">
        <v>261</v>
      </c>
      <c r="G465" t="s">
        <v>811</v>
      </c>
      <c r="H465" t="s">
        <v>812</v>
      </c>
      <c r="I465" t="s">
        <v>83</v>
      </c>
      <c r="J465" s="3" t="s">
        <v>988</v>
      </c>
      <c r="K465" t="s">
        <v>989</v>
      </c>
      <c r="L465" s="4">
        <v>18</v>
      </c>
      <c r="M465" s="4">
        <v>0</v>
      </c>
      <c r="N465">
        <v>18</v>
      </c>
      <c r="O465" t="s">
        <v>118</v>
      </c>
      <c r="P465">
        <v>30</v>
      </c>
      <c r="Q465">
        <f>QtyRemaining*EstMfgMin/60</f>
        <v>9</v>
      </c>
      <c r="U465" t="e">
        <f t="shared" si="16"/>
        <v>#REF!</v>
      </c>
      <c r="V465" s="5" t="e">
        <f t="shared" si="17"/>
        <v>#REF!</v>
      </c>
    </row>
    <row r="466" spans="1:22" x14ac:dyDescent="0.25">
      <c r="A466" s="2">
        <v>46009</v>
      </c>
      <c r="B466" s="2">
        <v>45958</v>
      </c>
      <c r="C466" t="s">
        <v>570</v>
      </c>
      <c r="D466">
        <v>51</v>
      </c>
      <c r="E466" t="s">
        <v>810</v>
      </c>
      <c r="F466" t="s">
        <v>261</v>
      </c>
      <c r="G466" t="s">
        <v>811</v>
      </c>
      <c r="H466" t="s">
        <v>812</v>
      </c>
      <c r="I466" t="s">
        <v>83</v>
      </c>
      <c r="J466" s="3" t="s">
        <v>990</v>
      </c>
      <c r="K466" t="s">
        <v>991</v>
      </c>
      <c r="L466" s="4">
        <v>16</v>
      </c>
      <c r="M466" s="4">
        <v>0</v>
      </c>
      <c r="N466">
        <v>16</v>
      </c>
      <c r="O466" t="s">
        <v>176</v>
      </c>
      <c r="P466">
        <v>45</v>
      </c>
      <c r="Q466">
        <f>QtyRemaining*EstMfgMin/60</f>
        <v>12</v>
      </c>
      <c r="U466" t="e">
        <f t="shared" si="16"/>
        <v>#REF!</v>
      </c>
      <c r="V466" s="5" t="e">
        <f t="shared" si="17"/>
        <v>#REF!</v>
      </c>
    </row>
    <row r="467" spans="1:22" x14ac:dyDescent="0.25">
      <c r="A467" s="2">
        <v>46009</v>
      </c>
      <c r="B467" s="2">
        <v>45958</v>
      </c>
      <c r="C467" t="s">
        <v>570</v>
      </c>
      <c r="D467">
        <v>51</v>
      </c>
      <c r="E467" t="s">
        <v>810</v>
      </c>
      <c r="F467" t="s">
        <v>261</v>
      </c>
      <c r="G467" t="s">
        <v>811</v>
      </c>
      <c r="H467" t="s">
        <v>812</v>
      </c>
      <c r="I467" t="s">
        <v>83</v>
      </c>
      <c r="J467" s="3" t="s">
        <v>992</v>
      </c>
      <c r="K467" t="s">
        <v>993</v>
      </c>
      <c r="L467" s="4">
        <v>16</v>
      </c>
      <c r="M467" s="4">
        <v>0</v>
      </c>
      <c r="N467">
        <v>16</v>
      </c>
      <c r="O467" t="s">
        <v>176</v>
      </c>
      <c r="P467">
        <v>138</v>
      </c>
      <c r="Q467">
        <f>QtyRemaining*EstMfgMin/60</f>
        <v>36.799999999999997</v>
      </c>
      <c r="U467" t="e">
        <f t="shared" si="16"/>
        <v>#REF!</v>
      </c>
      <c r="V467" s="5" t="e">
        <f t="shared" si="17"/>
        <v>#REF!</v>
      </c>
    </row>
    <row r="468" spans="1:22" x14ac:dyDescent="0.25">
      <c r="A468" s="2">
        <v>46013</v>
      </c>
      <c r="B468" s="2">
        <v>45882</v>
      </c>
      <c r="C468" t="s">
        <v>478</v>
      </c>
      <c r="D468">
        <v>52</v>
      </c>
      <c r="E468" t="s">
        <v>669</v>
      </c>
      <c r="F468" t="s">
        <v>261</v>
      </c>
      <c r="G468" t="s">
        <v>670</v>
      </c>
      <c r="H468" t="s">
        <v>671</v>
      </c>
      <c r="I468" t="s">
        <v>155</v>
      </c>
      <c r="J468" s="3" t="s">
        <v>672</v>
      </c>
      <c r="K468" t="s">
        <v>673</v>
      </c>
      <c r="L468" s="4">
        <v>28</v>
      </c>
      <c r="M468" s="4">
        <v>0</v>
      </c>
      <c r="N468">
        <v>28</v>
      </c>
      <c r="O468" t="s">
        <v>994</v>
      </c>
      <c r="P468">
        <v>16</v>
      </c>
      <c r="Q468">
        <f>QtyRemaining*EstMfgMin/60</f>
        <v>7.4666666666666668</v>
      </c>
      <c r="R468" t="s">
        <v>995</v>
      </c>
      <c r="U468" t="e">
        <f t="shared" si="16"/>
        <v>#REF!</v>
      </c>
      <c r="V468" s="5" t="e">
        <f t="shared" si="17"/>
        <v>#REF!</v>
      </c>
    </row>
    <row r="469" spans="1:22" x14ac:dyDescent="0.25">
      <c r="A469" s="2">
        <v>46013</v>
      </c>
      <c r="B469" s="2">
        <v>45958</v>
      </c>
      <c r="C469" t="s">
        <v>570</v>
      </c>
      <c r="D469">
        <v>52</v>
      </c>
      <c r="E469" t="s">
        <v>810</v>
      </c>
      <c r="F469" t="s">
        <v>261</v>
      </c>
      <c r="G469" t="s">
        <v>811</v>
      </c>
      <c r="H469" t="s">
        <v>812</v>
      </c>
      <c r="I469" t="s">
        <v>83</v>
      </c>
      <c r="J469" s="3" t="s">
        <v>996</v>
      </c>
      <c r="K469" t="s">
        <v>997</v>
      </c>
      <c r="L469" s="4">
        <v>44</v>
      </c>
      <c r="M469" s="4">
        <v>0</v>
      </c>
      <c r="N469">
        <v>44</v>
      </c>
      <c r="O469" t="s">
        <v>457</v>
      </c>
      <c r="P469">
        <v>15</v>
      </c>
      <c r="Q469">
        <f>QtyRemaining*EstMfgMin/60</f>
        <v>11</v>
      </c>
      <c r="U469" t="e">
        <f t="shared" si="16"/>
        <v>#REF!</v>
      </c>
      <c r="V469" s="5" t="e">
        <f t="shared" si="17"/>
        <v>#REF!</v>
      </c>
    </row>
    <row r="470" spans="1:22" x14ac:dyDescent="0.25">
      <c r="A470" s="2">
        <v>46013</v>
      </c>
      <c r="B470" s="2">
        <v>45958</v>
      </c>
      <c r="C470" t="s">
        <v>570</v>
      </c>
      <c r="D470">
        <v>52</v>
      </c>
      <c r="E470" t="s">
        <v>810</v>
      </c>
      <c r="F470" t="s">
        <v>261</v>
      </c>
      <c r="G470" t="s">
        <v>811</v>
      </c>
      <c r="H470" t="s">
        <v>812</v>
      </c>
      <c r="I470" t="s">
        <v>83</v>
      </c>
      <c r="J470" s="3" t="s">
        <v>998</v>
      </c>
      <c r="K470" t="s">
        <v>999</v>
      </c>
      <c r="L470" s="4">
        <v>23</v>
      </c>
      <c r="M470" s="4">
        <v>0</v>
      </c>
      <c r="N470">
        <v>23</v>
      </c>
      <c r="O470" t="s">
        <v>457</v>
      </c>
      <c r="P470">
        <v>15</v>
      </c>
      <c r="Q470">
        <f>QtyRemaining*EstMfgMin/60</f>
        <v>5.75</v>
      </c>
      <c r="U470" t="e">
        <f t="shared" si="16"/>
        <v>#REF!</v>
      </c>
      <c r="V470" s="5" t="e">
        <f t="shared" si="17"/>
        <v>#REF!</v>
      </c>
    </row>
    <row r="471" spans="1:22" x14ac:dyDescent="0.25">
      <c r="A471" s="2">
        <v>46013</v>
      </c>
      <c r="B471" s="2">
        <v>45958</v>
      </c>
      <c r="C471" t="s">
        <v>570</v>
      </c>
      <c r="D471">
        <v>52</v>
      </c>
      <c r="E471" t="s">
        <v>810</v>
      </c>
      <c r="F471" t="s">
        <v>261</v>
      </c>
      <c r="G471" t="s">
        <v>811</v>
      </c>
      <c r="H471" t="s">
        <v>812</v>
      </c>
      <c r="I471" t="s">
        <v>83</v>
      </c>
      <c r="J471" s="3" t="s">
        <v>1000</v>
      </c>
      <c r="K471" t="s">
        <v>1001</v>
      </c>
      <c r="L471" s="4">
        <v>18</v>
      </c>
      <c r="M471" s="4">
        <v>0</v>
      </c>
      <c r="N471">
        <v>18</v>
      </c>
      <c r="O471" t="s">
        <v>176</v>
      </c>
      <c r="P471">
        <v>40</v>
      </c>
      <c r="Q471">
        <f>QtyRemaining*EstMfgMin/60</f>
        <v>12</v>
      </c>
      <c r="U471" t="e">
        <f t="shared" si="16"/>
        <v>#REF!</v>
      </c>
      <c r="V471" s="5" t="e">
        <f t="shared" si="17"/>
        <v>#REF!</v>
      </c>
    </row>
    <row r="472" spans="1:22" x14ac:dyDescent="0.25">
      <c r="A472" s="2">
        <v>46013</v>
      </c>
      <c r="B472" s="2">
        <v>45958</v>
      </c>
      <c r="C472" t="s">
        <v>570</v>
      </c>
      <c r="D472">
        <v>52</v>
      </c>
      <c r="E472" t="s">
        <v>810</v>
      </c>
      <c r="F472" t="s">
        <v>261</v>
      </c>
      <c r="G472" t="s">
        <v>811</v>
      </c>
      <c r="H472" t="s">
        <v>812</v>
      </c>
      <c r="I472" t="s">
        <v>83</v>
      </c>
      <c r="J472" s="3" t="s">
        <v>1002</v>
      </c>
      <c r="K472" t="s">
        <v>1003</v>
      </c>
      <c r="L472" s="4">
        <v>36</v>
      </c>
      <c r="M472" s="4">
        <v>0</v>
      </c>
      <c r="N472">
        <v>36</v>
      </c>
      <c r="O472" t="s">
        <v>176</v>
      </c>
      <c r="P472">
        <v>200</v>
      </c>
      <c r="Q472">
        <f>QtyRemaining*EstMfgMin/60</f>
        <v>120</v>
      </c>
      <c r="U472" t="e">
        <f t="shared" si="16"/>
        <v>#REF!</v>
      </c>
      <c r="V472" s="5" t="e">
        <f t="shared" si="17"/>
        <v>#REF!</v>
      </c>
    </row>
    <row r="473" spans="1:22" x14ac:dyDescent="0.25">
      <c r="A473" s="2">
        <v>46013</v>
      </c>
      <c r="B473" s="2">
        <v>46002</v>
      </c>
      <c r="C473" t="s">
        <v>523</v>
      </c>
      <c r="D473">
        <v>52</v>
      </c>
      <c r="E473" t="s">
        <v>1004</v>
      </c>
      <c r="F473" t="s">
        <v>261</v>
      </c>
      <c r="G473" t="s">
        <v>525</v>
      </c>
      <c r="H473" t="s">
        <v>1005</v>
      </c>
      <c r="I473" t="s">
        <v>45</v>
      </c>
      <c r="J473" s="3" t="s">
        <v>1006</v>
      </c>
      <c r="K473" t="s">
        <v>1007</v>
      </c>
      <c r="L473" s="4">
        <v>45</v>
      </c>
      <c r="M473" s="4">
        <v>0</v>
      </c>
      <c r="N473">
        <v>45</v>
      </c>
      <c r="P473">
        <v>0</v>
      </c>
      <c r="Q473">
        <f>QtyRemaining*EstMfgMin/60</f>
        <v>0</v>
      </c>
      <c r="U473" t="e">
        <f t="shared" si="16"/>
        <v>#REF!</v>
      </c>
      <c r="V473" s="5" t="e">
        <f t="shared" si="17"/>
        <v>#REF!</v>
      </c>
    </row>
    <row r="474" spans="1:22" x14ac:dyDescent="0.25">
      <c r="A474" s="2">
        <v>46013</v>
      </c>
      <c r="B474" s="2">
        <v>46024</v>
      </c>
      <c r="C474" t="s">
        <v>485</v>
      </c>
      <c r="D474">
        <v>52</v>
      </c>
      <c r="E474" t="s">
        <v>1008</v>
      </c>
      <c r="F474" t="s">
        <v>211</v>
      </c>
      <c r="G474" t="s">
        <v>1009</v>
      </c>
      <c r="H474" t="s">
        <v>1010</v>
      </c>
      <c r="I474" t="s">
        <v>214</v>
      </c>
      <c r="J474" s="3" t="s">
        <v>1011</v>
      </c>
      <c r="K474" t="s">
        <v>1012</v>
      </c>
      <c r="L474" s="4">
        <v>5</v>
      </c>
      <c r="M474" s="4">
        <v>0</v>
      </c>
      <c r="N474">
        <v>5</v>
      </c>
      <c r="P474">
        <v>32</v>
      </c>
      <c r="Q474">
        <f>QtyRemaining*EstMfgMin/60</f>
        <v>2.6666666666666665</v>
      </c>
      <c r="U474" t="e">
        <f t="shared" si="16"/>
        <v>#REF!</v>
      </c>
      <c r="V474" s="5" t="e">
        <f t="shared" si="17"/>
        <v>#REF!</v>
      </c>
    </row>
    <row r="475" spans="1:22" x14ac:dyDescent="0.25">
      <c r="A475" s="2">
        <v>46014</v>
      </c>
      <c r="B475" s="2">
        <v>45926</v>
      </c>
      <c r="C475" t="s">
        <v>685</v>
      </c>
      <c r="D475">
        <v>52</v>
      </c>
      <c r="E475" t="s">
        <v>1013</v>
      </c>
      <c r="F475" t="s">
        <v>261</v>
      </c>
      <c r="G475" t="s">
        <v>262</v>
      </c>
      <c r="H475" t="s">
        <v>1014</v>
      </c>
      <c r="I475" t="s">
        <v>83</v>
      </c>
      <c r="J475" s="3" t="s">
        <v>205</v>
      </c>
      <c r="K475" t="s">
        <v>1015</v>
      </c>
      <c r="L475" s="4">
        <v>1</v>
      </c>
      <c r="M475" s="4">
        <v>0</v>
      </c>
      <c r="N475">
        <v>1</v>
      </c>
      <c r="P475">
        <v>0</v>
      </c>
      <c r="Q475">
        <f>QtyRemaining*EstMfgMin/60</f>
        <v>0</v>
      </c>
      <c r="U475" t="e">
        <f t="shared" si="16"/>
        <v>#REF!</v>
      </c>
      <c r="V475" s="5" t="e">
        <f t="shared" si="17"/>
        <v>#REF!</v>
      </c>
    </row>
    <row r="476" spans="1:22" x14ac:dyDescent="0.25">
      <c r="A476" s="2">
        <v>46014</v>
      </c>
      <c r="B476" s="2">
        <v>45932</v>
      </c>
      <c r="C476" t="s">
        <v>478</v>
      </c>
      <c r="D476">
        <v>52</v>
      </c>
      <c r="E476" t="s">
        <v>881</v>
      </c>
      <c r="F476" t="s">
        <v>261</v>
      </c>
      <c r="G476" t="s">
        <v>882</v>
      </c>
      <c r="H476" t="s">
        <v>883</v>
      </c>
      <c r="I476" t="s">
        <v>83</v>
      </c>
      <c r="J476" s="3" t="s">
        <v>1016</v>
      </c>
      <c r="K476" t="s">
        <v>1017</v>
      </c>
      <c r="L476" s="4">
        <v>1</v>
      </c>
      <c r="M476" s="4">
        <v>0</v>
      </c>
      <c r="N476">
        <v>1</v>
      </c>
      <c r="O476" t="s">
        <v>1018</v>
      </c>
      <c r="P476">
        <v>26</v>
      </c>
      <c r="Q476">
        <f>QtyRemaining*EstMfgMin/60</f>
        <v>0.43333333333333335</v>
      </c>
      <c r="U476" t="e">
        <f t="shared" si="16"/>
        <v>#REF!</v>
      </c>
      <c r="V476" s="5" t="e">
        <f t="shared" si="17"/>
        <v>#REF!</v>
      </c>
    </row>
    <row r="477" spans="1:22" x14ac:dyDescent="0.25">
      <c r="A477" s="2">
        <v>46014</v>
      </c>
      <c r="B477" s="2">
        <v>45932</v>
      </c>
      <c r="C477" t="s">
        <v>478</v>
      </c>
      <c r="D477">
        <v>52</v>
      </c>
      <c r="E477" t="s">
        <v>881</v>
      </c>
      <c r="F477" t="s">
        <v>261</v>
      </c>
      <c r="G477" t="s">
        <v>882</v>
      </c>
      <c r="H477" t="s">
        <v>883</v>
      </c>
      <c r="I477" t="s">
        <v>83</v>
      </c>
      <c r="J477" s="3" t="s">
        <v>1019</v>
      </c>
      <c r="K477" t="s">
        <v>1017</v>
      </c>
      <c r="L477" s="4">
        <v>1</v>
      </c>
      <c r="M477" s="4">
        <v>0</v>
      </c>
      <c r="N477">
        <v>1</v>
      </c>
      <c r="O477" t="s">
        <v>1018</v>
      </c>
      <c r="P477">
        <v>26</v>
      </c>
      <c r="Q477">
        <f>QtyRemaining*EstMfgMin/60</f>
        <v>0.43333333333333335</v>
      </c>
      <c r="U477" t="e">
        <f t="shared" si="16"/>
        <v>#REF!</v>
      </c>
      <c r="V477" s="5" t="e">
        <f t="shared" si="17"/>
        <v>#REF!</v>
      </c>
    </row>
    <row r="478" spans="1:22" x14ac:dyDescent="0.25">
      <c r="A478" s="2">
        <v>46014</v>
      </c>
      <c r="B478" s="2">
        <v>45932</v>
      </c>
      <c r="C478" t="s">
        <v>478</v>
      </c>
      <c r="D478">
        <v>52</v>
      </c>
      <c r="E478" t="s">
        <v>881</v>
      </c>
      <c r="F478" t="s">
        <v>261</v>
      </c>
      <c r="G478" t="s">
        <v>882</v>
      </c>
      <c r="H478" t="s">
        <v>883</v>
      </c>
      <c r="I478" t="s">
        <v>83</v>
      </c>
      <c r="J478" s="3" t="s">
        <v>1019</v>
      </c>
      <c r="K478" t="s">
        <v>1017</v>
      </c>
      <c r="L478" s="4">
        <v>6</v>
      </c>
      <c r="M478" s="4">
        <v>0</v>
      </c>
      <c r="N478">
        <v>6</v>
      </c>
      <c r="O478" t="s">
        <v>1018</v>
      </c>
      <c r="P478">
        <v>26</v>
      </c>
      <c r="Q478">
        <f>QtyRemaining*EstMfgMin/60</f>
        <v>2.6</v>
      </c>
      <c r="U478" t="e">
        <f t="shared" si="16"/>
        <v>#REF!</v>
      </c>
      <c r="V478" s="5" t="e">
        <f t="shared" si="17"/>
        <v>#REF!</v>
      </c>
    </row>
    <row r="479" spans="1:22" x14ac:dyDescent="0.25">
      <c r="A479" s="2">
        <v>46015</v>
      </c>
      <c r="B479" s="2">
        <v>45428</v>
      </c>
      <c r="C479" t="s">
        <v>523</v>
      </c>
      <c r="D479">
        <v>52</v>
      </c>
      <c r="E479" t="s">
        <v>1020</v>
      </c>
      <c r="F479" t="s">
        <v>261</v>
      </c>
      <c r="G479" t="s">
        <v>1021</v>
      </c>
      <c r="H479" t="s">
        <v>1022</v>
      </c>
      <c r="I479" t="s">
        <v>83</v>
      </c>
      <c r="J479" s="3" t="s">
        <v>1023</v>
      </c>
      <c r="K479" t="s">
        <v>1024</v>
      </c>
      <c r="L479" s="4">
        <v>461</v>
      </c>
      <c r="M479" s="4">
        <v>190</v>
      </c>
      <c r="N479">
        <v>271</v>
      </c>
      <c r="O479" t="s">
        <v>1025</v>
      </c>
      <c r="P479">
        <v>267</v>
      </c>
      <c r="Q479">
        <f>QtyRemaining*EstMfgMin/60</f>
        <v>1205.95</v>
      </c>
      <c r="S479" t="s">
        <v>1026</v>
      </c>
      <c r="U479" t="e">
        <f t="shared" si="16"/>
        <v>#REF!</v>
      </c>
      <c r="V479" s="5" t="e">
        <f t="shared" si="17"/>
        <v>#REF!</v>
      </c>
    </row>
    <row r="480" spans="1:22" x14ac:dyDescent="0.25">
      <c r="A480" s="2">
        <v>46015</v>
      </c>
      <c r="B480" s="2">
        <v>45958</v>
      </c>
      <c r="C480" t="s">
        <v>478</v>
      </c>
      <c r="D480">
        <v>52</v>
      </c>
      <c r="E480" t="s">
        <v>1027</v>
      </c>
      <c r="F480" t="s">
        <v>261</v>
      </c>
      <c r="G480" t="s">
        <v>670</v>
      </c>
      <c r="H480" t="s">
        <v>1028</v>
      </c>
      <c r="I480" t="s">
        <v>83</v>
      </c>
      <c r="J480" s="3" t="s">
        <v>1029</v>
      </c>
      <c r="K480" t="s">
        <v>1030</v>
      </c>
      <c r="L480" s="4">
        <v>6</v>
      </c>
      <c r="M480" s="4">
        <v>0</v>
      </c>
      <c r="N480">
        <v>6</v>
      </c>
      <c r="O480" t="s">
        <v>86</v>
      </c>
      <c r="P480">
        <v>289</v>
      </c>
      <c r="Q480">
        <f>QtyRemaining*EstMfgMin/60</f>
        <v>28.9</v>
      </c>
      <c r="U480" t="e">
        <f t="shared" si="16"/>
        <v>#REF!</v>
      </c>
      <c r="V480" s="5" t="e">
        <f t="shared" si="17"/>
        <v>#REF!</v>
      </c>
    </row>
    <row r="481" spans="1:22" x14ac:dyDescent="0.25">
      <c r="A481" s="2">
        <v>46015</v>
      </c>
      <c r="B481" s="2">
        <v>45958</v>
      </c>
      <c r="C481" t="s">
        <v>478</v>
      </c>
      <c r="D481">
        <v>52</v>
      </c>
      <c r="E481" t="s">
        <v>1027</v>
      </c>
      <c r="F481" t="s">
        <v>261</v>
      </c>
      <c r="G481" t="s">
        <v>670</v>
      </c>
      <c r="H481" t="s">
        <v>1028</v>
      </c>
      <c r="I481" t="s">
        <v>83</v>
      </c>
      <c r="J481" s="3" t="s">
        <v>1031</v>
      </c>
      <c r="K481" t="s">
        <v>1032</v>
      </c>
      <c r="L481" s="4">
        <v>6</v>
      </c>
      <c r="M481" s="4">
        <v>0</v>
      </c>
      <c r="N481">
        <v>6</v>
      </c>
      <c r="O481" t="s">
        <v>176</v>
      </c>
      <c r="P481">
        <v>129</v>
      </c>
      <c r="Q481">
        <f>QtyRemaining*EstMfgMin/60</f>
        <v>12.9</v>
      </c>
      <c r="U481" t="e">
        <f t="shared" si="16"/>
        <v>#REF!</v>
      </c>
      <c r="V481" s="5" t="e">
        <f t="shared" si="17"/>
        <v>#REF!</v>
      </c>
    </row>
    <row r="482" spans="1:22" x14ac:dyDescent="0.25">
      <c r="A482" s="2">
        <v>46015</v>
      </c>
      <c r="B482" s="2">
        <v>45958</v>
      </c>
      <c r="C482" t="s">
        <v>478</v>
      </c>
      <c r="D482">
        <v>52</v>
      </c>
      <c r="E482" t="s">
        <v>1027</v>
      </c>
      <c r="F482" t="s">
        <v>261</v>
      </c>
      <c r="G482" t="s">
        <v>670</v>
      </c>
      <c r="H482" t="s">
        <v>1028</v>
      </c>
      <c r="I482" t="s">
        <v>83</v>
      </c>
      <c r="J482" s="3" t="s">
        <v>1033</v>
      </c>
      <c r="K482" t="s">
        <v>1034</v>
      </c>
      <c r="L482" s="4">
        <v>17</v>
      </c>
      <c r="M482" s="4">
        <v>0</v>
      </c>
      <c r="N482">
        <v>17</v>
      </c>
      <c r="O482" t="s">
        <v>176</v>
      </c>
      <c r="P482">
        <v>324</v>
      </c>
      <c r="Q482">
        <f>QtyRemaining*EstMfgMin/60</f>
        <v>91.8</v>
      </c>
      <c r="U482" t="e">
        <f t="shared" si="16"/>
        <v>#REF!</v>
      </c>
      <c r="V482" s="5" t="e">
        <f t="shared" si="17"/>
        <v>#REF!</v>
      </c>
    </row>
    <row r="483" spans="1:22" x14ac:dyDescent="0.25">
      <c r="A483" s="2">
        <v>46016</v>
      </c>
      <c r="B483" s="2">
        <v>45855</v>
      </c>
      <c r="C483" t="s">
        <v>633</v>
      </c>
      <c r="D483">
        <v>52</v>
      </c>
      <c r="E483" t="s">
        <v>1035</v>
      </c>
      <c r="F483" t="s">
        <v>261</v>
      </c>
      <c r="G483" t="s">
        <v>262</v>
      </c>
      <c r="H483" t="s">
        <v>1036</v>
      </c>
      <c r="I483" t="s">
        <v>122</v>
      </c>
      <c r="J483" s="3" t="s">
        <v>636</v>
      </c>
      <c r="K483" t="s">
        <v>637</v>
      </c>
      <c r="L483" s="4">
        <v>27</v>
      </c>
      <c r="M483" s="4">
        <v>0</v>
      </c>
      <c r="N483">
        <v>27</v>
      </c>
      <c r="O483" t="s">
        <v>638</v>
      </c>
      <c r="P483">
        <v>77</v>
      </c>
      <c r="Q483">
        <f>QtyRemaining*EstMfgMin/60</f>
        <v>34.65</v>
      </c>
      <c r="U483" t="e">
        <f t="shared" si="16"/>
        <v>#REF!</v>
      </c>
      <c r="V483" s="5" t="e">
        <f t="shared" si="17"/>
        <v>#REF!</v>
      </c>
    </row>
    <row r="484" spans="1:22" x14ac:dyDescent="0.25">
      <c r="A484" s="2">
        <v>46020</v>
      </c>
      <c r="B484" s="2">
        <v>45839</v>
      </c>
      <c r="C484" t="s">
        <v>633</v>
      </c>
      <c r="D484">
        <v>53</v>
      </c>
      <c r="E484" t="s">
        <v>1037</v>
      </c>
      <c r="F484" t="s">
        <v>261</v>
      </c>
      <c r="G484" t="s">
        <v>262</v>
      </c>
      <c r="H484" t="s">
        <v>1038</v>
      </c>
      <c r="I484" t="s">
        <v>155</v>
      </c>
      <c r="J484" s="3" t="s">
        <v>1039</v>
      </c>
      <c r="K484" t="s">
        <v>1040</v>
      </c>
      <c r="L484" s="4">
        <v>26</v>
      </c>
      <c r="M484" s="4">
        <v>0</v>
      </c>
      <c r="N484">
        <v>26</v>
      </c>
      <c r="O484" t="s">
        <v>643</v>
      </c>
      <c r="P484">
        <v>38</v>
      </c>
      <c r="Q484">
        <f>QtyRemaining*EstMfgMin/60</f>
        <v>16.466666666666665</v>
      </c>
      <c r="R484" t="s">
        <v>967</v>
      </c>
      <c r="U484" t="e">
        <f t="shared" si="16"/>
        <v>#REF!</v>
      </c>
      <c r="V484" s="5" t="e">
        <f t="shared" si="17"/>
        <v>#REF!</v>
      </c>
    </row>
    <row r="485" spans="1:22" x14ac:dyDescent="0.25">
      <c r="A485" s="2">
        <v>46020</v>
      </c>
      <c r="B485" s="2">
        <v>45958</v>
      </c>
      <c r="C485" t="s">
        <v>570</v>
      </c>
      <c r="D485">
        <v>53</v>
      </c>
      <c r="E485" t="s">
        <v>810</v>
      </c>
      <c r="F485" t="s">
        <v>261</v>
      </c>
      <c r="G485" t="s">
        <v>811</v>
      </c>
      <c r="H485" t="s">
        <v>812</v>
      </c>
      <c r="I485" t="s">
        <v>83</v>
      </c>
      <c r="J485" s="3" t="s">
        <v>1041</v>
      </c>
      <c r="K485" t="s">
        <v>1042</v>
      </c>
      <c r="L485" s="4">
        <v>181</v>
      </c>
      <c r="M485" s="4">
        <v>0</v>
      </c>
      <c r="N485">
        <v>181</v>
      </c>
      <c r="O485" t="s">
        <v>118</v>
      </c>
      <c r="P485">
        <v>33</v>
      </c>
      <c r="Q485">
        <f>QtyRemaining*EstMfgMin/60</f>
        <v>99.55</v>
      </c>
      <c r="U485" t="e">
        <f t="shared" si="16"/>
        <v>#REF!</v>
      </c>
      <c r="V485" s="5" t="e">
        <f t="shared" si="17"/>
        <v>#REF!</v>
      </c>
    </row>
    <row r="486" spans="1:22" x14ac:dyDescent="0.25">
      <c r="A486" s="2">
        <v>46020</v>
      </c>
      <c r="B486" s="2">
        <v>45958</v>
      </c>
      <c r="C486" t="s">
        <v>570</v>
      </c>
      <c r="D486">
        <v>53</v>
      </c>
      <c r="E486" t="s">
        <v>810</v>
      </c>
      <c r="F486" t="s">
        <v>261</v>
      </c>
      <c r="G486" t="s">
        <v>811</v>
      </c>
      <c r="H486" t="s">
        <v>812</v>
      </c>
      <c r="I486" t="s">
        <v>83</v>
      </c>
      <c r="J486" s="3" t="s">
        <v>1043</v>
      </c>
      <c r="K486" t="s">
        <v>1044</v>
      </c>
      <c r="L486" s="4">
        <v>23</v>
      </c>
      <c r="M486" s="4">
        <v>0</v>
      </c>
      <c r="N486">
        <v>23</v>
      </c>
      <c r="O486" t="s">
        <v>94</v>
      </c>
      <c r="P486">
        <v>37</v>
      </c>
      <c r="Q486">
        <f>QtyRemaining*EstMfgMin/60</f>
        <v>14.183333333333334</v>
      </c>
      <c r="U486" t="e">
        <f t="shared" si="16"/>
        <v>#REF!</v>
      </c>
      <c r="V486" s="5" t="e">
        <f t="shared" si="17"/>
        <v>#REF!</v>
      </c>
    </row>
    <row r="487" spans="1:22" x14ac:dyDescent="0.25">
      <c r="A487" s="2">
        <v>46020</v>
      </c>
      <c r="B487" s="2">
        <v>45958</v>
      </c>
      <c r="C487" t="s">
        <v>570</v>
      </c>
      <c r="D487">
        <v>53</v>
      </c>
      <c r="E487" t="s">
        <v>810</v>
      </c>
      <c r="F487" t="s">
        <v>261</v>
      </c>
      <c r="G487" t="s">
        <v>811</v>
      </c>
      <c r="H487" t="s">
        <v>812</v>
      </c>
      <c r="I487" t="s">
        <v>83</v>
      </c>
      <c r="J487" s="3" t="s">
        <v>1045</v>
      </c>
      <c r="K487" t="s">
        <v>1046</v>
      </c>
      <c r="L487" s="4">
        <v>34</v>
      </c>
      <c r="M487" s="4">
        <v>0</v>
      </c>
      <c r="N487">
        <v>34</v>
      </c>
      <c r="O487" t="s">
        <v>266</v>
      </c>
      <c r="P487">
        <v>42</v>
      </c>
      <c r="Q487">
        <f>QtyRemaining*EstMfgMin/60</f>
        <v>23.8</v>
      </c>
      <c r="U487" t="e">
        <f t="shared" si="16"/>
        <v>#REF!</v>
      </c>
      <c r="V487" s="5" t="e">
        <f t="shared" si="17"/>
        <v>#REF!</v>
      </c>
    </row>
    <row r="488" spans="1:22" x14ac:dyDescent="0.25">
      <c r="A488" s="2">
        <v>46020</v>
      </c>
      <c r="B488" s="2">
        <v>45981</v>
      </c>
      <c r="C488" t="s">
        <v>570</v>
      </c>
      <c r="D488">
        <v>53</v>
      </c>
      <c r="E488" t="s">
        <v>1047</v>
      </c>
      <c r="F488" t="s">
        <v>261</v>
      </c>
      <c r="G488" t="s">
        <v>1021</v>
      </c>
      <c r="H488" t="s">
        <v>1048</v>
      </c>
      <c r="I488" t="s">
        <v>874</v>
      </c>
      <c r="J488" s="3" t="s">
        <v>875</v>
      </c>
      <c r="K488" t="s">
        <v>1049</v>
      </c>
      <c r="L488" s="4">
        <v>1</v>
      </c>
      <c r="M488" s="4">
        <v>0</v>
      </c>
      <c r="N488">
        <v>1</v>
      </c>
      <c r="P488">
        <v>0</v>
      </c>
      <c r="Q488">
        <f>QtyRemaining*EstMfgMin/60</f>
        <v>0</v>
      </c>
      <c r="U488" t="e">
        <f t="shared" si="16"/>
        <v>#REF!</v>
      </c>
      <c r="V488" s="5" t="e">
        <f t="shared" si="17"/>
        <v>#REF!</v>
      </c>
    </row>
    <row r="489" spans="1:22" x14ac:dyDescent="0.25">
      <c r="A489" s="2">
        <v>46020</v>
      </c>
      <c r="B489" s="2">
        <v>45981</v>
      </c>
      <c r="C489" t="s">
        <v>570</v>
      </c>
      <c r="D489">
        <v>53</v>
      </c>
      <c r="E489" t="s">
        <v>1047</v>
      </c>
      <c r="F489" t="s">
        <v>261</v>
      </c>
      <c r="G489" t="s">
        <v>1021</v>
      </c>
      <c r="H489" t="s">
        <v>1048</v>
      </c>
      <c r="I489" t="s">
        <v>874</v>
      </c>
      <c r="J489" s="3" t="s">
        <v>494</v>
      </c>
      <c r="K489" t="s">
        <v>1050</v>
      </c>
      <c r="L489" s="4">
        <v>1</v>
      </c>
      <c r="M489" s="4">
        <v>0</v>
      </c>
      <c r="N489">
        <v>1</v>
      </c>
      <c r="P489">
        <v>0</v>
      </c>
      <c r="Q489">
        <f>QtyRemaining*EstMfgMin/60</f>
        <v>0</v>
      </c>
      <c r="U489" t="e">
        <f t="shared" si="16"/>
        <v>#REF!</v>
      </c>
      <c r="V489" s="5" t="e">
        <f t="shared" si="17"/>
        <v>#REF!</v>
      </c>
    </row>
    <row r="490" spans="1:22" x14ac:dyDescent="0.25">
      <c r="A490" s="2">
        <v>46020</v>
      </c>
      <c r="B490" s="2">
        <v>45981</v>
      </c>
      <c r="C490" t="s">
        <v>570</v>
      </c>
      <c r="D490">
        <v>53</v>
      </c>
      <c r="E490" t="s">
        <v>1047</v>
      </c>
      <c r="F490" t="s">
        <v>261</v>
      </c>
      <c r="G490" t="s">
        <v>1021</v>
      </c>
      <c r="H490" t="s">
        <v>1048</v>
      </c>
      <c r="I490" t="s">
        <v>83</v>
      </c>
      <c r="J490" s="3" t="s">
        <v>1051</v>
      </c>
      <c r="K490" t="s">
        <v>1052</v>
      </c>
      <c r="L490" s="4">
        <v>7</v>
      </c>
      <c r="M490" s="4">
        <v>0</v>
      </c>
      <c r="N490">
        <v>7</v>
      </c>
      <c r="O490" t="s">
        <v>42</v>
      </c>
      <c r="P490">
        <v>15</v>
      </c>
      <c r="Q490">
        <f>QtyRemaining*EstMfgMin/60</f>
        <v>1.75</v>
      </c>
      <c r="U490" t="e">
        <f t="shared" si="16"/>
        <v>#REF!</v>
      </c>
      <c r="V490" s="5" t="e">
        <f t="shared" si="17"/>
        <v>#REF!</v>
      </c>
    </row>
    <row r="491" spans="1:22" x14ac:dyDescent="0.25">
      <c r="A491" s="2">
        <v>46021</v>
      </c>
      <c r="B491" s="2">
        <v>45701</v>
      </c>
      <c r="C491" t="s">
        <v>478</v>
      </c>
      <c r="D491">
        <v>53</v>
      </c>
      <c r="E491" t="s">
        <v>1053</v>
      </c>
      <c r="F491" t="s">
        <v>261</v>
      </c>
      <c r="G491" t="s">
        <v>510</v>
      </c>
      <c r="H491" t="s">
        <v>1054</v>
      </c>
      <c r="I491" t="s">
        <v>83</v>
      </c>
      <c r="J491" s="3" t="s">
        <v>1055</v>
      </c>
      <c r="K491" t="s">
        <v>1056</v>
      </c>
      <c r="L491" s="4">
        <v>40</v>
      </c>
      <c r="M491" s="4">
        <v>0</v>
      </c>
      <c r="N491">
        <v>40</v>
      </c>
      <c r="O491" t="s">
        <v>1057</v>
      </c>
      <c r="P491">
        <v>105</v>
      </c>
      <c r="Q491">
        <f>QtyRemaining*EstMfgMin/60</f>
        <v>70</v>
      </c>
      <c r="U491" t="e">
        <f t="shared" si="16"/>
        <v>#REF!</v>
      </c>
      <c r="V491" s="5" t="e">
        <f t="shared" si="17"/>
        <v>#REF!</v>
      </c>
    </row>
    <row r="492" spans="1:22" x14ac:dyDescent="0.25">
      <c r="A492" s="2">
        <v>46022</v>
      </c>
      <c r="B492" s="2">
        <v>45867</v>
      </c>
      <c r="C492" t="s">
        <v>274</v>
      </c>
      <c r="D492">
        <v>53</v>
      </c>
      <c r="E492" t="s">
        <v>1058</v>
      </c>
      <c r="F492" t="s">
        <v>211</v>
      </c>
      <c r="G492" t="s">
        <v>276</v>
      </c>
      <c r="H492" t="s">
        <v>1059</v>
      </c>
      <c r="I492" t="s">
        <v>83</v>
      </c>
      <c r="J492" s="3" t="s">
        <v>627</v>
      </c>
      <c r="K492" t="s">
        <v>628</v>
      </c>
      <c r="L492" s="4">
        <v>57</v>
      </c>
      <c r="M492" s="4">
        <v>0</v>
      </c>
      <c r="N492">
        <v>57</v>
      </c>
      <c r="O492" t="s">
        <v>86</v>
      </c>
      <c r="P492">
        <v>120</v>
      </c>
      <c r="Q492">
        <f>QtyRemaining*EstMfgMin/60</f>
        <v>114</v>
      </c>
      <c r="U492" t="e">
        <f t="shared" si="16"/>
        <v>#REF!</v>
      </c>
      <c r="V492" s="5" t="e">
        <f t="shared" si="17"/>
        <v>#REF!</v>
      </c>
    </row>
    <row r="493" spans="1:22" x14ac:dyDescent="0.25">
      <c r="A493" s="2">
        <v>46022</v>
      </c>
      <c r="B493" s="2">
        <v>45867</v>
      </c>
      <c r="C493" t="s">
        <v>274</v>
      </c>
      <c r="D493">
        <v>53</v>
      </c>
      <c r="E493" t="s">
        <v>1058</v>
      </c>
      <c r="F493" t="s">
        <v>211</v>
      </c>
      <c r="G493" t="s">
        <v>276</v>
      </c>
      <c r="H493" t="s">
        <v>1059</v>
      </c>
      <c r="I493" t="s">
        <v>83</v>
      </c>
      <c r="J493" s="3" t="s">
        <v>641</v>
      </c>
      <c r="K493" t="s">
        <v>642</v>
      </c>
      <c r="L493" s="4">
        <v>57</v>
      </c>
      <c r="M493" s="4">
        <v>0</v>
      </c>
      <c r="N493">
        <v>57</v>
      </c>
      <c r="O493" t="s">
        <v>643</v>
      </c>
      <c r="P493">
        <v>40</v>
      </c>
      <c r="Q493">
        <f>QtyRemaining*EstMfgMin/60</f>
        <v>38</v>
      </c>
      <c r="U493" t="e">
        <f t="shared" si="16"/>
        <v>#REF!</v>
      </c>
      <c r="V493" s="5" t="e">
        <f t="shared" si="17"/>
        <v>#REF!</v>
      </c>
    </row>
    <row r="494" spans="1:22" x14ac:dyDescent="0.25">
      <c r="A494" s="2">
        <v>46022</v>
      </c>
      <c r="B494" s="2">
        <v>45867</v>
      </c>
      <c r="C494" t="s">
        <v>274</v>
      </c>
      <c r="D494">
        <v>53</v>
      </c>
      <c r="E494" t="s">
        <v>1058</v>
      </c>
      <c r="F494" t="s">
        <v>211</v>
      </c>
      <c r="G494" t="s">
        <v>276</v>
      </c>
      <c r="H494" t="s">
        <v>1059</v>
      </c>
      <c r="I494" t="s">
        <v>83</v>
      </c>
      <c r="J494" s="3" t="s">
        <v>644</v>
      </c>
      <c r="K494" t="s">
        <v>645</v>
      </c>
      <c r="L494" s="4">
        <v>57</v>
      </c>
      <c r="M494" s="4">
        <v>0</v>
      </c>
      <c r="N494">
        <v>57</v>
      </c>
      <c r="O494" t="s">
        <v>146</v>
      </c>
      <c r="P494">
        <v>234</v>
      </c>
      <c r="Q494">
        <f>QtyRemaining*EstMfgMin/60</f>
        <v>222.3</v>
      </c>
      <c r="U494" t="e">
        <f t="shared" si="16"/>
        <v>#REF!</v>
      </c>
      <c r="V494" s="5" t="e">
        <f t="shared" si="17"/>
        <v>#REF!</v>
      </c>
    </row>
    <row r="495" spans="1:22" x14ac:dyDescent="0.25">
      <c r="A495" s="2">
        <v>46022</v>
      </c>
      <c r="B495" s="2">
        <v>45867</v>
      </c>
      <c r="C495" t="s">
        <v>274</v>
      </c>
      <c r="D495">
        <v>53</v>
      </c>
      <c r="E495" t="s">
        <v>1058</v>
      </c>
      <c r="F495" t="s">
        <v>211</v>
      </c>
      <c r="G495" t="s">
        <v>276</v>
      </c>
      <c r="H495" t="s">
        <v>1059</v>
      </c>
      <c r="I495" t="s">
        <v>155</v>
      </c>
      <c r="J495" s="3" t="s">
        <v>1060</v>
      </c>
      <c r="K495" t="s">
        <v>1061</v>
      </c>
      <c r="L495" s="4">
        <v>57</v>
      </c>
      <c r="M495" s="4">
        <v>0</v>
      </c>
      <c r="N495">
        <v>57</v>
      </c>
      <c r="O495" t="s">
        <v>643</v>
      </c>
      <c r="P495">
        <v>0</v>
      </c>
      <c r="Q495">
        <f>QtyRemaining*EstMfgMin/60</f>
        <v>0</v>
      </c>
      <c r="R495" t="s">
        <v>1062</v>
      </c>
      <c r="U495" t="e">
        <f t="shared" si="16"/>
        <v>#REF!</v>
      </c>
      <c r="V495" s="5" t="e">
        <f t="shared" si="17"/>
        <v>#REF!</v>
      </c>
    </row>
    <row r="496" spans="1:22" x14ac:dyDescent="0.25">
      <c r="A496" s="2">
        <v>46022</v>
      </c>
      <c r="B496" s="2">
        <v>45867</v>
      </c>
      <c r="C496" t="s">
        <v>274</v>
      </c>
      <c r="D496">
        <v>53</v>
      </c>
      <c r="E496" t="s">
        <v>1058</v>
      </c>
      <c r="F496" t="s">
        <v>211</v>
      </c>
      <c r="G496" t="s">
        <v>276</v>
      </c>
      <c r="H496" t="s">
        <v>1059</v>
      </c>
      <c r="I496" t="s">
        <v>155</v>
      </c>
      <c r="J496" s="3" t="s">
        <v>1063</v>
      </c>
      <c r="K496" t="s">
        <v>1064</v>
      </c>
      <c r="L496" s="4">
        <v>57</v>
      </c>
      <c r="M496" s="4">
        <v>0</v>
      </c>
      <c r="N496">
        <v>57</v>
      </c>
      <c r="O496" t="s">
        <v>91</v>
      </c>
      <c r="P496">
        <v>0</v>
      </c>
      <c r="Q496">
        <f>QtyRemaining*EstMfgMin/60</f>
        <v>0</v>
      </c>
      <c r="R496" t="s">
        <v>967</v>
      </c>
      <c r="U496" t="e">
        <f t="shared" si="16"/>
        <v>#REF!</v>
      </c>
      <c r="V496" s="5" t="e">
        <f t="shared" si="17"/>
        <v>#REF!</v>
      </c>
    </row>
    <row r="497" spans="1:22" x14ac:dyDescent="0.25">
      <c r="A497" s="2">
        <v>46024</v>
      </c>
      <c r="B497" s="2">
        <v>45819</v>
      </c>
      <c r="C497" t="s">
        <v>485</v>
      </c>
      <c r="D497">
        <v>1</v>
      </c>
      <c r="E497" t="s">
        <v>1065</v>
      </c>
      <c r="F497" t="s">
        <v>211</v>
      </c>
      <c r="G497" t="s">
        <v>1066</v>
      </c>
      <c r="H497" t="s">
        <v>1067</v>
      </c>
      <c r="I497" t="s">
        <v>214</v>
      </c>
      <c r="J497" s="3" t="s">
        <v>1068</v>
      </c>
      <c r="K497" t="s">
        <v>1069</v>
      </c>
      <c r="L497" s="4">
        <v>500</v>
      </c>
      <c r="M497" s="4">
        <v>0</v>
      </c>
      <c r="N497">
        <v>500</v>
      </c>
      <c r="O497" t="s">
        <v>94</v>
      </c>
      <c r="P497">
        <v>4</v>
      </c>
      <c r="Q497">
        <f>QtyRemaining*EstMfgMin/60</f>
        <v>33.333333333333336</v>
      </c>
      <c r="U497" t="e">
        <f t="shared" si="16"/>
        <v>#REF!</v>
      </c>
      <c r="V497" s="5" t="e">
        <f t="shared" si="17"/>
        <v>#REF!</v>
      </c>
    </row>
    <row r="498" spans="1:22" x14ac:dyDescent="0.25">
      <c r="A498" s="2">
        <v>46024</v>
      </c>
      <c r="B498" s="2">
        <v>45819</v>
      </c>
      <c r="C498" t="s">
        <v>485</v>
      </c>
      <c r="D498">
        <v>1</v>
      </c>
      <c r="E498" t="s">
        <v>1070</v>
      </c>
      <c r="F498" t="s">
        <v>211</v>
      </c>
      <c r="G498" t="s">
        <v>1066</v>
      </c>
      <c r="H498" t="s">
        <v>1071</v>
      </c>
      <c r="I498" t="s">
        <v>214</v>
      </c>
      <c r="J498" s="3" t="s">
        <v>1072</v>
      </c>
      <c r="K498" t="s">
        <v>1073</v>
      </c>
      <c r="L498" s="4">
        <v>500</v>
      </c>
      <c r="M498" s="4">
        <v>0</v>
      </c>
      <c r="N498">
        <v>500</v>
      </c>
      <c r="O498" t="s">
        <v>94</v>
      </c>
      <c r="P498">
        <v>4</v>
      </c>
      <c r="Q498">
        <f>QtyRemaining*EstMfgMin/60</f>
        <v>33.333333333333336</v>
      </c>
      <c r="U498" t="e">
        <f t="shared" si="16"/>
        <v>#REF!</v>
      </c>
      <c r="V498" s="5" t="e">
        <f t="shared" si="17"/>
        <v>#REF!</v>
      </c>
    </row>
    <row r="499" spans="1:22" x14ac:dyDescent="0.25">
      <c r="A499" s="2">
        <v>46024</v>
      </c>
      <c r="B499" s="2">
        <v>45819</v>
      </c>
      <c r="C499" t="s">
        <v>485</v>
      </c>
      <c r="D499">
        <v>1</v>
      </c>
      <c r="E499" t="s">
        <v>1074</v>
      </c>
      <c r="F499" t="s">
        <v>211</v>
      </c>
      <c r="G499" t="s">
        <v>1066</v>
      </c>
      <c r="H499" t="s">
        <v>1075</v>
      </c>
      <c r="I499" t="s">
        <v>214</v>
      </c>
      <c r="J499" s="3" t="s">
        <v>1076</v>
      </c>
      <c r="K499" t="s">
        <v>1077</v>
      </c>
      <c r="L499" s="4">
        <v>300</v>
      </c>
      <c r="M499" s="4">
        <v>0</v>
      </c>
      <c r="N499">
        <v>300</v>
      </c>
      <c r="O499" t="s">
        <v>86</v>
      </c>
      <c r="P499">
        <v>1</v>
      </c>
      <c r="Q499">
        <f>QtyRemaining*EstMfgMin/60</f>
        <v>5</v>
      </c>
      <c r="U499" t="e">
        <f t="shared" si="16"/>
        <v>#REF!</v>
      </c>
      <c r="V499" s="5" t="e">
        <f t="shared" si="17"/>
        <v>#REF!</v>
      </c>
    </row>
    <row r="500" spans="1:22" x14ac:dyDescent="0.25">
      <c r="A500" s="2">
        <v>46024</v>
      </c>
      <c r="B500" s="2">
        <v>45972</v>
      </c>
      <c r="C500" t="s">
        <v>485</v>
      </c>
      <c r="D500">
        <v>1</v>
      </c>
      <c r="E500" t="s">
        <v>1078</v>
      </c>
      <c r="F500" t="s">
        <v>211</v>
      </c>
      <c r="G500" t="s">
        <v>761</v>
      </c>
      <c r="H500" t="s">
        <v>1079</v>
      </c>
      <c r="I500" t="s">
        <v>214</v>
      </c>
      <c r="J500" s="3" t="s">
        <v>1080</v>
      </c>
      <c r="K500" t="s">
        <v>1081</v>
      </c>
      <c r="L500" s="4">
        <v>5</v>
      </c>
      <c r="M500" s="4">
        <v>0</v>
      </c>
      <c r="N500">
        <v>5</v>
      </c>
      <c r="O500" t="s">
        <v>1082</v>
      </c>
      <c r="P500">
        <v>7</v>
      </c>
      <c r="Q500">
        <f>QtyRemaining*EstMfgMin/60</f>
        <v>0.58333333333333337</v>
      </c>
      <c r="U500" t="e">
        <f t="shared" si="16"/>
        <v>#REF!</v>
      </c>
      <c r="V500" s="5" t="e">
        <f t="shared" si="17"/>
        <v>#REF!</v>
      </c>
    </row>
    <row r="501" spans="1:22" x14ac:dyDescent="0.25">
      <c r="A501" s="2">
        <v>46024</v>
      </c>
      <c r="B501" s="2">
        <v>45972</v>
      </c>
      <c r="C501" t="s">
        <v>485</v>
      </c>
      <c r="D501">
        <v>1</v>
      </c>
      <c r="E501" t="s">
        <v>1078</v>
      </c>
      <c r="F501" t="s">
        <v>211</v>
      </c>
      <c r="G501" t="s">
        <v>761</v>
      </c>
      <c r="H501" t="s">
        <v>1079</v>
      </c>
      <c r="I501" t="s">
        <v>214</v>
      </c>
      <c r="J501" s="3" t="s">
        <v>1083</v>
      </c>
      <c r="K501" t="s">
        <v>1084</v>
      </c>
      <c r="L501" s="4">
        <v>100</v>
      </c>
      <c r="M501" s="4">
        <v>0</v>
      </c>
      <c r="N501">
        <v>100</v>
      </c>
      <c r="O501" t="s">
        <v>1082</v>
      </c>
      <c r="P501">
        <v>5</v>
      </c>
      <c r="Q501">
        <f>QtyRemaining*EstMfgMin/60</f>
        <v>8.3333333333333339</v>
      </c>
      <c r="U501" t="e">
        <f t="shared" si="16"/>
        <v>#REF!</v>
      </c>
      <c r="V501" s="5" t="e">
        <f t="shared" si="17"/>
        <v>#REF!</v>
      </c>
    </row>
    <row r="502" spans="1:22" x14ac:dyDescent="0.25">
      <c r="A502" s="2">
        <v>46027</v>
      </c>
      <c r="B502" s="2">
        <v>45861</v>
      </c>
      <c r="C502" t="s">
        <v>650</v>
      </c>
      <c r="D502">
        <v>2</v>
      </c>
      <c r="E502" t="s">
        <v>1085</v>
      </c>
      <c r="F502" t="s">
        <v>283</v>
      </c>
      <c r="G502" t="s">
        <v>652</v>
      </c>
      <c r="H502" t="s">
        <v>1086</v>
      </c>
      <c r="I502" t="s">
        <v>1087</v>
      </c>
      <c r="J502" s="3" t="s">
        <v>1088</v>
      </c>
      <c r="K502" t="s">
        <v>1089</v>
      </c>
      <c r="L502" s="4">
        <v>7</v>
      </c>
      <c r="M502" s="4">
        <v>0</v>
      </c>
      <c r="N502">
        <v>7</v>
      </c>
      <c r="O502" t="s">
        <v>1090</v>
      </c>
      <c r="P502">
        <v>30</v>
      </c>
      <c r="Q502">
        <f>QtyRemaining*EstMfgMin/60</f>
        <v>3.5</v>
      </c>
      <c r="R502" t="s">
        <v>1091</v>
      </c>
      <c r="U502" t="e">
        <f t="shared" si="16"/>
        <v>#REF!</v>
      </c>
      <c r="V502" s="5" t="e">
        <f t="shared" si="17"/>
        <v>#REF!</v>
      </c>
    </row>
    <row r="503" spans="1:22" x14ac:dyDescent="0.25">
      <c r="A503" s="2">
        <v>46027</v>
      </c>
      <c r="B503" s="2">
        <v>45940</v>
      </c>
      <c r="C503" t="s">
        <v>685</v>
      </c>
      <c r="D503">
        <v>2</v>
      </c>
      <c r="E503" t="s">
        <v>1092</v>
      </c>
      <c r="F503" t="s">
        <v>211</v>
      </c>
      <c r="G503" t="s">
        <v>276</v>
      </c>
      <c r="H503" t="s">
        <v>1093</v>
      </c>
      <c r="I503" t="s">
        <v>83</v>
      </c>
      <c r="J503" s="3" t="s">
        <v>627</v>
      </c>
      <c r="K503" t="s">
        <v>628</v>
      </c>
      <c r="L503" s="4">
        <v>685</v>
      </c>
      <c r="M503" s="4">
        <v>0</v>
      </c>
      <c r="N503">
        <v>685</v>
      </c>
      <c r="O503" t="s">
        <v>86</v>
      </c>
      <c r="P503">
        <v>120</v>
      </c>
      <c r="Q503">
        <f>QtyRemaining*EstMfgMin/60</f>
        <v>1370</v>
      </c>
      <c r="U503" t="e">
        <f t="shared" si="16"/>
        <v>#REF!</v>
      </c>
      <c r="V503" s="5" t="e">
        <f t="shared" si="17"/>
        <v>#REF!</v>
      </c>
    </row>
    <row r="504" spans="1:22" x14ac:dyDescent="0.25">
      <c r="A504" s="2">
        <v>46027</v>
      </c>
      <c r="B504" s="2">
        <v>45940</v>
      </c>
      <c r="C504" t="s">
        <v>685</v>
      </c>
      <c r="D504">
        <v>2</v>
      </c>
      <c r="E504" t="s">
        <v>1092</v>
      </c>
      <c r="F504" t="s">
        <v>211</v>
      </c>
      <c r="G504" t="s">
        <v>276</v>
      </c>
      <c r="H504" t="s">
        <v>1093</v>
      </c>
      <c r="I504" t="s">
        <v>83</v>
      </c>
      <c r="J504" s="3" t="s">
        <v>641</v>
      </c>
      <c r="K504" t="s">
        <v>642</v>
      </c>
      <c r="L504" s="4">
        <v>685</v>
      </c>
      <c r="M504" s="4">
        <v>0</v>
      </c>
      <c r="N504">
        <v>685</v>
      </c>
      <c r="O504" t="s">
        <v>643</v>
      </c>
      <c r="P504">
        <v>40</v>
      </c>
      <c r="Q504">
        <f>QtyRemaining*EstMfgMin/60</f>
        <v>456.66666666666669</v>
      </c>
      <c r="U504" t="e">
        <f t="shared" si="16"/>
        <v>#REF!</v>
      </c>
      <c r="V504" s="5" t="e">
        <f t="shared" si="17"/>
        <v>#REF!</v>
      </c>
    </row>
    <row r="505" spans="1:22" x14ac:dyDescent="0.25">
      <c r="A505" s="2">
        <v>46027</v>
      </c>
      <c r="B505" s="2">
        <v>45940</v>
      </c>
      <c r="C505" t="s">
        <v>685</v>
      </c>
      <c r="D505">
        <v>2</v>
      </c>
      <c r="E505" t="s">
        <v>1092</v>
      </c>
      <c r="F505" t="s">
        <v>211</v>
      </c>
      <c r="G505" t="s">
        <v>276</v>
      </c>
      <c r="H505" t="s">
        <v>1093</v>
      </c>
      <c r="I505" t="s">
        <v>83</v>
      </c>
      <c r="J505" s="3" t="s">
        <v>644</v>
      </c>
      <c r="K505" t="s">
        <v>645</v>
      </c>
      <c r="L505" s="4">
        <v>685</v>
      </c>
      <c r="M505" s="4">
        <v>0</v>
      </c>
      <c r="N505">
        <v>685</v>
      </c>
      <c r="O505" t="s">
        <v>146</v>
      </c>
      <c r="P505">
        <v>234</v>
      </c>
      <c r="Q505">
        <f>QtyRemaining*EstMfgMin/60</f>
        <v>2671.5</v>
      </c>
      <c r="U505" t="e">
        <f t="shared" si="16"/>
        <v>#REF!</v>
      </c>
      <c r="V505" s="5" t="e">
        <f t="shared" si="17"/>
        <v>#REF!</v>
      </c>
    </row>
    <row r="506" spans="1:22" x14ac:dyDescent="0.25">
      <c r="A506" s="2">
        <v>46027</v>
      </c>
      <c r="B506" s="2">
        <v>45940</v>
      </c>
      <c r="C506" t="s">
        <v>274</v>
      </c>
      <c r="D506">
        <v>2</v>
      </c>
      <c r="E506" t="s">
        <v>1094</v>
      </c>
      <c r="F506" t="s">
        <v>211</v>
      </c>
      <c r="G506" t="s">
        <v>276</v>
      </c>
      <c r="H506" t="s">
        <v>1095</v>
      </c>
      <c r="I506" t="s">
        <v>83</v>
      </c>
      <c r="J506" s="3" t="s">
        <v>666</v>
      </c>
      <c r="K506" t="s">
        <v>667</v>
      </c>
      <c r="L506" s="4">
        <v>330</v>
      </c>
      <c r="M506" s="4">
        <v>0</v>
      </c>
      <c r="N506">
        <v>330</v>
      </c>
      <c r="O506" t="s">
        <v>668</v>
      </c>
      <c r="P506">
        <v>120</v>
      </c>
      <c r="Q506">
        <f>QtyRemaining*EstMfgMin/60</f>
        <v>660</v>
      </c>
      <c r="U506" t="e">
        <f t="shared" si="16"/>
        <v>#REF!</v>
      </c>
      <c r="V506" s="5" t="e">
        <f t="shared" si="17"/>
        <v>#REF!</v>
      </c>
    </row>
    <row r="507" spans="1:22" x14ac:dyDescent="0.25">
      <c r="A507" s="2">
        <v>46027</v>
      </c>
      <c r="B507" s="2">
        <v>45940</v>
      </c>
      <c r="C507" t="s">
        <v>274</v>
      </c>
      <c r="D507">
        <v>2</v>
      </c>
      <c r="E507" t="s">
        <v>1094</v>
      </c>
      <c r="F507" t="s">
        <v>211</v>
      </c>
      <c r="G507" t="s">
        <v>276</v>
      </c>
      <c r="H507" t="s">
        <v>1095</v>
      </c>
      <c r="I507" t="s">
        <v>83</v>
      </c>
      <c r="J507" s="3" t="s">
        <v>1096</v>
      </c>
      <c r="K507" t="s">
        <v>1097</v>
      </c>
      <c r="L507" s="4">
        <v>330</v>
      </c>
      <c r="M507" s="4">
        <v>0</v>
      </c>
      <c r="N507">
        <v>330</v>
      </c>
      <c r="O507" t="s">
        <v>457</v>
      </c>
      <c r="P507">
        <v>15</v>
      </c>
      <c r="Q507">
        <f>QtyRemaining*EstMfgMin/60</f>
        <v>82.5</v>
      </c>
      <c r="U507" t="e">
        <f t="shared" si="16"/>
        <v>#REF!</v>
      </c>
      <c r="V507" s="5" t="e">
        <f t="shared" si="17"/>
        <v>#REF!</v>
      </c>
    </row>
    <row r="508" spans="1:22" x14ac:dyDescent="0.25">
      <c r="A508" s="2">
        <v>46027</v>
      </c>
      <c r="B508" s="2">
        <v>45940</v>
      </c>
      <c r="C508" t="s">
        <v>274</v>
      </c>
      <c r="D508">
        <v>2</v>
      </c>
      <c r="E508" t="s">
        <v>1094</v>
      </c>
      <c r="F508" t="s">
        <v>211</v>
      </c>
      <c r="G508" t="s">
        <v>276</v>
      </c>
      <c r="H508" t="s">
        <v>1095</v>
      </c>
      <c r="I508" t="s">
        <v>83</v>
      </c>
      <c r="J508" s="3" t="s">
        <v>1098</v>
      </c>
      <c r="K508" t="s">
        <v>1099</v>
      </c>
      <c r="L508" s="4">
        <v>151</v>
      </c>
      <c r="M508" s="4">
        <v>0</v>
      </c>
      <c r="N508">
        <v>151</v>
      </c>
      <c r="O508" t="s">
        <v>151</v>
      </c>
      <c r="P508">
        <v>15</v>
      </c>
      <c r="Q508">
        <f>QtyRemaining*EstMfgMin/60</f>
        <v>37.75</v>
      </c>
      <c r="U508" t="e">
        <f t="shared" si="16"/>
        <v>#REF!</v>
      </c>
      <c r="V508" s="5" t="e">
        <f t="shared" si="17"/>
        <v>#REF!</v>
      </c>
    </row>
    <row r="509" spans="1:22" x14ac:dyDescent="0.25">
      <c r="A509" s="2">
        <v>46027</v>
      </c>
      <c r="B509" s="2">
        <v>45940</v>
      </c>
      <c r="C509" t="s">
        <v>274</v>
      </c>
      <c r="D509">
        <v>2</v>
      </c>
      <c r="E509" t="s">
        <v>1094</v>
      </c>
      <c r="F509" t="s">
        <v>211</v>
      </c>
      <c r="G509" t="s">
        <v>276</v>
      </c>
      <c r="H509" t="s">
        <v>1095</v>
      </c>
      <c r="I509" t="s">
        <v>83</v>
      </c>
      <c r="J509" s="3" t="s">
        <v>1100</v>
      </c>
      <c r="K509" t="s">
        <v>1101</v>
      </c>
      <c r="L509" s="4">
        <v>1650</v>
      </c>
      <c r="M509" s="4">
        <v>0</v>
      </c>
      <c r="N509">
        <v>1650</v>
      </c>
      <c r="O509" t="s">
        <v>643</v>
      </c>
      <c r="P509">
        <v>5</v>
      </c>
      <c r="Q509">
        <f>QtyRemaining*EstMfgMin/60</f>
        <v>137.5</v>
      </c>
      <c r="U509" t="e">
        <f t="shared" si="16"/>
        <v>#REF!</v>
      </c>
      <c r="V509" s="5" t="e">
        <f t="shared" si="17"/>
        <v>#REF!</v>
      </c>
    </row>
    <row r="510" spans="1:22" x14ac:dyDescent="0.25">
      <c r="A510" s="2">
        <v>46027</v>
      </c>
      <c r="B510" s="2">
        <v>45940</v>
      </c>
      <c r="C510" t="s">
        <v>274</v>
      </c>
      <c r="D510">
        <v>2</v>
      </c>
      <c r="E510" t="s">
        <v>1094</v>
      </c>
      <c r="F510" t="s">
        <v>211</v>
      </c>
      <c r="G510" t="s">
        <v>276</v>
      </c>
      <c r="H510" t="s">
        <v>1095</v>
      </c>
      <c r="I510" t="s">
        <v>83</v>
      </c>
      <c r="J510" s="3" t="s">
        <v>714</v>
      </c>
      <c r="K510" t="s">
        <v>715</v>
      </c>
      <c r="L510" s="4">
        <v>151</v>
      </c>
      <c r="M510" s="4">
        <v>0</v>
      </c>
      <c r="N510">
        <v>151</v>
      </c>
      <c r="O510" t="s">
        <v>266</v>
      </c>
      <c r="P510">
        <v>132</v>
      </c>
      <c r="Q510">
        <f>QtyRemaining*EstMfgMin/60</f>
        <v>332.2</v>
      </c>
      <c r="U510" t="e">
        <f t="shared" si="16"/>
        <v>#REF!</v>
      </c>
      <c r="V510" s="5" t="e">
        <f t="shared" si="17"/>
        <v>#REF!</v>
      </c>
    </row>
    <row r="511" spans="1:22" x14ac:dyDescent="0.25">
      <c r="A511" s="2">
        <v>46027</v>
      </c>
      <c r="B511" s="2">
        <v>45940</v>
      </c>
      <c r="C511" t="s">
        <v>274</v>
      </c>
      <c r="D511">
        <v>2</v>
      </c>
      <c r="E511" t="s">
        <v>1094</v>
      </c>
      <c r="F511" t="s">
        <v>211</v>
      </c>
      <c r="G511" t="s">
        <v>276</v>
      </c>
      <c r="H511" t="s">
        <v>1095</v>
      </c>
      <c r="I511" t="s">
        <v>83</v>
      </c>
      <c r="J511" s="3" t="s">
        <v>1102</v>
      </c>
      <c r="K511" t="s">
        <v>957</v>
      </c>
      <c r="L511" s="4">
        <v>302</v>
      </c>
      <c r="M511" s="4">
        <v>0</v>
      </c>
      <c r="N511">
        <v>302</v>
      </c>
      <c r="O511" t="s">
        <v>457</v>
      </c>
      <c r="P511">
        <v>5</v>
      </c>
      <c r="Q511">
        <f>QtyRemaining*EstMfgMin/60</f>
        <v>25.166666666666668</v>
      </c>
      <c r="U511" t="e">
        <f t="shared" si="16"/>
        <v>#REF!</v>
      </c>
      <c r="V511" s="5" t="e">
        <f t="shared" si="17"/>
        <v>#REF!</v>
      </c>
    </row>
    <row r="512" spans="1:22" x14ac:dyDescent="0.25">
      <c r="A512" s="2">
        <v>46027</v>
      </c>
      <c r="B512" s="2">
        <v>45940</v>
      </c>
      <c r="C512" t="s">
        <v>274</v>
      </c>
      <c r="D512">
        <v>2</v>
      </c>
      <c r="E512" t="s">
        <v>1094</v>
      </c>
      <c r="F512" t="s">
        <v>211</v>
      </c>
      <c r="G512" t="s">
        <v>276</v>
      </c>
      <c r="H512" t="s">
        <v>1095</v>
      </c>
      <c r="I512" t="s">
        <v>83</v>
      </c>
      <c r="J512" s="3" t="s">
        <v>956</v>
      </c>
      <c r="K512" t="s">
        <v>957</v>
      </c>
      <c r="L512" s="4">
        <v>151</v>
      </c>
      <c r="M512" s="4">
        <v>0</v>
      </c>
      <c r="N512">
        <v>151</v>
      </c>
      <c r="O512" t="s">
        <v>457</v>
      </c>
      <c r="P512">
        <v>5</v>
      </c>
      <c r="Q512">
        <f>QtyRemaining*EstMfgMin/60</f>
        <v>12.583333333333334</v>
      </c>
      <c r="U512" t="e">
        <f t="shared" si="16"/>
        <v>#REF!</v>
      </c>
      <c r="V512" s="5" t="e">
        <f t="shared" si="17"/>
        <v>#REF!</v>
      </c>
    </row>
    <row r="513" spans="1:22" x14ac:dyDescent="0.25">
      <c r="A513" s="2">
        <v>46027</v>
      </c>
      <c r="B513" s="2">
        <v>45940</v>
      </c>
      <c r="C513" t="s">
        <v>274</v>
      </c>
      <c r="D513">
        <v>2</v>
      </c>
      <c r="E513" t="s">
        <v>1094</v>
      </c>
      <c r="F513" t="s">
        <v>211</v>
      </c>
      <c r="G513" t="s">
        <v>276</v>
      </c>
      <c r="H513" t="s">
        <v>1095</v>
      </c>
      <c r="I513" t="s">
        <v>83</v>
      </c>
      <c r="J513" s="3" t="s">
        <v>1103</v>
      </c>
      <c r="K513" t="s">
        <v>957</v>
      </c>
      <c r="L513" s="4">
        <v>151</v>
      </c>
      <c r="M513" s="4">
        <v>0</v>
      </c>
      <c r="N513">
        <v>151</v>
      </c>
      <c r="O513" t="s">
        <v>457</v>
      </c>
      <c r="P513">
        <v>5</v>
      </c>
      <c r="Q513">
        <f>QtyRemaining*EstMfgMin/60</f>
        <v>12.583333333333334</v>
      </c>
      <c r="U513" t="e">
        <f t="shared" si="16"/>
        <v>#REF!</v>
      </c>
      <c r="V513" s="5" t="e">
        <f t="shared" si="17"/>
        <v>#REF!</v>
      </c>
    </row>
    <row r="514" spans="1:22" x14ac:dyDescent="0.25">
      <c r="A514" s="2">
        <v>46027</v>
      </c>
      <c r="B514" s="2">
        <v>45940</v>
      </c>
      <c r="C514" t="s">
        <v>274</v>
      </c>
      <c r="D514">
        <v>2</v>
      </c>
      <c r="E514" t="s">
        <v>1094</v>
      </c>
      <c r="F514" t="s">
        <v>211</v>
      </c>
      <c r="G514" t="s">
        <v>276</v>
      </c>
      <c r="H514" t="s">
        <v>1095</v>
      </c>
      <c r="I514" t="s">
        <v>83</v>
      </c>
      <c r="J514" s="3" t="s">
        <v>1104</v>
      </c>
      <c r="K514" t="s">
        <v>957</v>
      </c>
      <c r="L514" s="4">
        <v>151</v>
      </c>
      <c r="M514" s="4">
        <v>0</v>
      </c>
      <c r="N514">
        <v>151</v>
      </c>
      <c r="O514" t="s">
        <v>457</v>
      </c>
      <c r="P514">
        <v>5</v>
      </c>
      <c r="Q514">
        <f>QtyRemaining*EstMfgMin/60</f>
        <v>12.583333333333334</v>
      </c>
      <c r="U514" t="e">
        <f t="shared" si="16"/>
        <v>#REF!</v>
      </c>
      <c r="V514" s="5" t="e">
        <f t="shared" si="17"/>
        <v>#REF!</v>
      </c>
    </row>
    <row r="515" spans="1:22" x14ac:dyDescent="0.25">
      <c r="A515" s="2">
        <v>46028</v>
      </c>
      <c r="B515" s="2">
        <v>45932</v>
      </c>
      <c r="C515" t="s">
        <v>478</v>
      </c>
      <c r="D515">
        <v>2</v>
      </c>
      <c r="E515" t="s">
        <v>881</v>
      </c>
      <c r="F515" t="s">
        <v>261</v>
      </c>
      <c r="G515" t="s">
        <v>882</v>
      </c>
      <c r="H515" t="s">
        <v>883</v>
      </c>
      <c r="I515" t="s">
        <v>83</v>
      </c>
      <c r="J515" s="3" t="s">
        <v>1016</v>
      </c>
      <c r="K515" t="s">
        <v>1017</v>
      </c>
      <c r="L515" s="4">
        <v>6</v>
      </c>
      <c r="M515" s="4">
        <v>0</v>
      </c>
      <c r="N515">
        <v>6</v>
      </c>
      <c r="O515" t="s">
        <v>1018</v>
      </c>
      <c r="P515">
        <v>26</v>
      </c>
      <c r="Q515">
        <f>QtyRemaining*EstMfgMin/60</f>
        <v>2.6</v>
      </c>
      <c r="U515" t="e">
        <f t="shared" ref="U515:U578" si="18">VLOOKUP(A515,Calendar,13,FALSE)</f>
        <v>#REF!</v>
      </c>
      <c r="V515" s="5" t="e">
        <f t="shared" ref="V515:V578" si="19">VLOOKUP(A515,Calendar,14,FALSE)</f>
        <v>#REF!</v>
      </c>
    </row>
    <row r="516" spans="1:22" x14ac:dyDescent="0.25">
      <c r="A516" s="2">
        <v>46029</v>
      </c>
      <c r="B516" s="2">
        <v>45908</v>
      </c>
      <c r="C516" t="s">
        <v>478</v>
      </c>
      <c r="D516">
        <v>2</v>
      </c>
      <c r="E516" t="s">
        <v>1105</v>
      </c>
      <c r="F516" t="s">
        <v>261</v>
      </c>
      <c r="G516" t="s">
        <v>670</v>
      </c>
      <c r="H516" t="s">
        <v>1106</v>
      </c>
      <c r="I516" t="s">
        <v>155</v>
      </c>
      <c r="J516" s="3" t="s">
        <v>1107</v>
      </c>
      <c r="K516" t="s">
        <v>1108</v>
      </c>
      <c r="L516" s="4">
        <v>500</v>
      </c>
      <c r="M516" s="4">
        <v>0</v>
      </c>
      <c r="N516">
        <v>500</v>
      </c>
      <c r="O516" t="s">
        <v>118</v>
      </c>
      <c r="P516">
        <v>20</v>
      </c>
      <c r="Q516">
        <f>QtyRemaining*EstMfgMin/60</f>
        <v>166.66666666666666</v>
      </c>
      <c r="U516" t="e">
        <f t="shared" si="18"/>
        <v>#REF!</v>
      </c>
      <c r="V516" s="5" t="e">
        <f t="shared" si="19"/>
        <v>#REF!</v>
      </c>
    </row>
    <row r="517" spans="1:22" x14ac:dyDescent="0.25">
      <c r="A517" s="2">
        <v>46029</v>
      </c>
      <c r="B517" s="2">
        <v>45933</v>
      </c>
      <c r="C517" t="s">
        <v>465</v>
      </c>
      <c r="D517">
        <v>2</v>
      </c>
      <c r="E517" t="s">
        <v>877</v>
      </c>
      <c r="F517" t="s">
        <v>211</v>
      </c>
      <c r="G517" t="s">
        <v>467</v>
      </c>
      <c r="H517" t="s">
        <v>878</v>
      </c>
      <c r="I517" t="s">
        <v>214</v>
      </c>
      <c r="J517" s="3" t="s">
        <v>1109</v>
      </c>
      <c r="K517" t="s">
        <v>1110</v>
      </c>
      <c r="L517" s="4">
        <v>2</v>
      </c>
      <c r="M517" s="4">
        <v>0</v>
      </c>
      <c r="N517">
        <v>2</v>
      </c>
      <c r="O517" t="s">
        <v>86</v>
      </c>
      <c r="P517">
        <v>90</v>
      </c>
      <c r="Q517">
        <f>QtyRemaining*EstMfgMin/60</f>
        <v>3</v>
      </c>
      <c r="U517" t="e">
        <f t="shared" si="18"/>
        <v>#REF!</v>
      </c>
      <c r="V517" s="5" t="e">
        <f t="shared" si="19"/>
        <v>#REF!</v>
      </c>
    </row>
    <row r="518" spans="1:22" x14ac:dyDescent="0.25">
      <c r="A518" s="2">
        <v>46029</v>
      </c>
      <c r="B518" s="2">
        <v>45981</v>
      </c>
      <c r="C518" t="s">
        <v>478</v>
      </c>
      <c r="D518">
        <v>2</v>
      </c>
      <c r="E518" t="s">
        <v>1111</v>
      </c>
      <c r="F518" t="s">
        <v>261</v>
      </c>
      <c r="G518" t="s">
        <v>1021</v>
      </c>
      <c r="H518" t="s">
        <v>1112</v>
      </c>
      <c r="I518" t="s">
        <v>83</v>
      </c>
      <c r="J518" s="3" t="s">
        <v>1113</v>
      </c>
      <c r="K518" t="s">
        <v>1114</v>
      </c>
      <c r="L518" s="4">
        <v>1</v>
      </c>
      <c r="M518" s="4">
        <v>0</v>
      </c>
      <c r="N518">
        <v>1</v>
      </c>
      <c r="O518" t="s">
        <v>283</v>
      </c>
      <c r="P518">
        <v>140</v>
      </c>
      <c r="Q518">
        <f>QtyRemaining*EstMfgMin/60</f>
        <v>2.3333333333333335</v>
      </c>
      <c r="U518" t="e">
        <f t="shared" si="18"/>
        <v>#REF!</v>
      </c>
      <c r="V518" s="5" t="e">
        <f t="shared" si="19"/>
        <v>#REF!</v>
      </c>
    </row>
    <row r="519" spans="1:22" x14ac:dyDescent="0.25">
      <c r="A519" s="2">
        <v>46029</v>
      </c>
      <c r="B519" s="2">
        <v>45981</v>
      </c>
      <c r="C519" t="s">
        <v>478</v>
      </c>
      <c r="D519">
        <v>2</v>
      </c>
      <c r="E519" t="s">
        <v>1111</v>
      </c>
      <c r="F519" t="s">
        <v>261</v>
      </c>
      <c r="G519" t="s">
        <v>1021</v>
      </c>
      <c r="H519" t="s">
        <v>1112</v>
      </c>
      <c r="I519" t="s">
        <v>874</v>
      </c>
      <c r="J519" s="3" t="s">
        <v>875</v>
      </c>
      <c r="K519" t="s">
        <v>1115</v>
      </c>
      <c r="L519" s="4">
        <v>1</v>
      </c>
      <c r="M519" s="4">
        <v>0</v>
      </c>
      <c r="N519">
        <v>1</v>
      </c>
      <c r="P519">
        <v>0</v>
      </c>
      <c r="Q519">
        <f>QtyRemaining*EstMfgMin/60</f>
        <v>0</v>
      </c>
      <c r="U519" t="e">
        <f t="shared" si="18"/>
        <v>#REF!</v>
      </c>
      <c r="V519" s="5" t="e">
        <f t="shared" si="19"/>
        <v>#REF!</v>
      </c>
    </row>
    <row r="520" spans="1:22" x14ac:dyDescent="0.25">
      <c r="A520" s="2">
        <v>46029</v>
      </c>
      <c r="B520" s="2">
        <v>45981</v>
      </c>
      <c r="C520" t="s">
        <v>478</v>
      </c>
      <c r="D520">
        <v>2</v>
      </c>
      <c r="E520" t="s">
        <v>1111</v>
      </c>
      <c r="F520" t="s">
        <v>261</v>
      </c>
      <c r="G520" t="s">
        <v>1021</v>
      </c>
      <c r="H520" t="s">
        <v>1112</v>
      </c>
      <c r="I520" t="s">
        <v>874</v>
      </c>
      <c r="J520" s="3" t="s">
        <v>875</v>
      </c>
      <c r="K520" t="s">
        <v>1116</v>
      </c>
      <c r="L520" s="4">
        <v>1</v>
      </c>
      <c r="M520" s="4">
        <v>0</v>
      </c>
      <c r="N520">
        <v>1</v>
      </c>
      <c r="P520">
        <v>0</v>
      </c>
      <c r="Q520">
        <f>QtyRemaining*EstMfgMin/60</f>
        <v>0</v>
      </c>
      <c r="U520" t="e">
        <f t="shared" si="18"/>
        <v>#REF!</v>
      </c>
      <c r="V520" s="5" t="e">
        <f t="shared" si="19"/>
        <v>#REF!</v>
      </c>
    </row>
    <row r="521" spans="1:22" x14ac:dyDescent="0.25">
      <c r="A521" s="2">
        <v>46029</v>
      </c>
      <c r="B521" s="2">
        <v>46009</v>
      </c>
      <c r="C521" t="s">
        <v>465</v>
      </c>
      <c r="D521">
        <v>2</v>
      </c>
      <c r="E521" t="s">
        <v>1117</v>
      </c>
      <c r="F521" t="s">
        <v>211</v>
      </c>
      <c r="G521" t="s">
        <v>467</v>
      </c>
      <c r="H521" t="s">
        <v>1118</v>
      </c>
      <c r="I521" t="s">
        <v>214</v>
      </c>
      <c r="J521" s="3" t="s">
        <v>1119</v>
      </c>
      <c r="K521" t="s">
        <v>1120</v>
      </c>
      <c r="L521" s="4">
        <v>3</v>
      </c>
      <c r="M521" s="4">
        <v>0</v>
      </c>
      <c r="N521">
        <v>3</v>
      </c>
      <c r="O521" t="s">
        <v>176</v>
      </c>
      <c r="P521">
        <v>36</v>
      </c>
      <c r="Q521">
        <f>QtyRemaining*EstMfgMin/60</f>
        <v>1.8</v>
      </c>
      <c r="U521" t="e">
        <f t="shared" si="18"/>
        <v>#REF!</v>
      </c>
      <c r="V521" s="5" t="e">
        <f t="shared" si="19"/>
        <v>#REF!</v>
      </c>
    </row>
    <row r="522" spans="1:22" x14ac:dyDescent="0.25">
      <c r="A522" s="2">
        <v>46029</v>
      </c>
      <c r="B522" s="2">
        <v>46009</v>
      </c>
      <c r="C522" t="s">
        <v>465</v>
      </c>
      <c r="D522">
        <v>2</v>
      </c>
      <c r="E522" t="s">
        <v>1117</v>
      </c>
      <c r="F522" t="s">
        <v>211</v>
      </c>
      <c r="G522" t="s">
        <v>467</v>
      </c>
      <c r="H522" t="s">
        <v>1118</v>
      </c>
      <c r="I522" t="s">
        <v>214</v>
      </c>
      <c r="J522" s="3" t="s">
        <v>1121</v>
      </c>
      <c r="K522" t="s">
        <v>1122</v>
      </c>
      <c r="L522" s="4">
        <v>3</v>
      </c>
      <c r="M522" s="4">
        <v>0</v>
      </c>
      <c r="N522">
        <v>3</v>
      </c>
      <c r="O522" t="s">
        <v>176</v>
      </c>
      <c r="P522">
        <v>36</v>
      </c>
      <c r="Q522">
        <f>QtyRemaining*EstMfgMin/60</f>
        <v>1.8</v>
      </c>
      <c r="U522" t="e">
        <f t="shared" si="18"/>
        <v>#REF!</v>
      </c>
      <c r="V522" s="5" t="e">
        <f t="shared" si="19"/>
        <v>#REF!</v>
      </c>
    </row>
    <row r="523" spans="1:22" x14ac:dyDescent="0.25">
      <c r="A523" s="2">
        <v>46029</v>
      </c>
      <c r="B523" s="2">
        <v>46009</v>
      </c>
      <c r="C523" t="s">
        <v>465</v>
      </c>
      <c r="D523">
        <v>2</v>
      </c>
      <c r="E523" t="s">
        <v>1117</v>
      </c>
      <c r="F523" t="s">
        <v>211</v>
      </c>
      <c r="G523" t="s">
        <v>467</v>
      </c>
      <c r="H523" t="s">
        <v>1118</v>
      </c>
      <c r="I523" t="s">
        <v>214</v>
      </c>
      <c r="J523" s="3" t="s">
        <v>1123</v>
      </c>
      <c r="K523" t="s">
        <v>1124</v>
      </c>
      <c r="L523" s="4">
        <v>3</v>
      </c>
      <c r="M523" s="4">
        <v>0</v>
      </c>
      <c r="N523">
        <v>3</v>
      </c>
      <c r="O523" t="s">
        <v>176</v>
      </c>
      <c r="P523">
        <v>36</v>
      </c>
      <c r="Q523">
        <f>QtyRemaining*EstMfgMin/60</f>
        <v>1.8</v>
      </c>
      <c r="U523" t="e">
        <f t="shared" si="18"/>
        <v>#REF!</v>
      </c>
      <c r="V523" s="5" t="e">
        <f t="shared" si="19"/>
        <v>#REF!</v>
      </c>
    </row>
    <row r="524" spans="1:22" x14ac:dyDescent="0.25">
      <c r="A524" s="2">
        <v>46029</v>
      </c>
      <c r="B524" s="2">
        <v>46009</v>
      </c>
      <c r="C524" t="s">
        <v>465</v>
      </c>
      <c r="D524">
        <v>2</v>
      </c>
      <c r="E524" t="s">
        <v>1117</v>
      </c>
      <c r="F524" t="s">
        <v>211</v>
      </c>
      <c r="G524" t="s">
        <v>467</v>
      </c>
      <c r="H524" t="s">
        <v>1118</v>
      </c>
      <c r="I524" t="s">
        <v>214</v>
      </c>
      <c r="J524" s="3" t="s">
        <v>1125</v>
      </c>
      <c r="K524" t="s">
        <v>1126</v>
      </c>
      <c r="L524" s="4">
        <v>3</v>
      </c>
      <c r="M524" s="4">
        <v>0</v>
      </c>
      <c r="N524">
        <v>3</v>
      </c>
      <c r="O524" t="s">
        <v>176</v>
      </c>
      <c r="P524">
        <v>36</v>
      </c>
      <c r="Q524">
        <f>QtyRemaining*EstMfgMin/60</f>
        <v>1.8</v>
      </c>
      <c r="U524" t="e">
        <f t="shared" si="18"/>
        <v>#REF!</v>
      </c>
      <c r="V524" s="5" t="e">
        <f t="shared" si="19"/>
        <v>#REF!</v>
      </c>
    </row>
    <row r="525" spans="1:22" x14ac:dyDescent="0.25">
      <c r="A525" s="2">
        <v>46029</v>
      </c>
      <c r="B525" s="2">
        <v>46009</v>
      </c>
      <c r="C525" t="s">
        <v>465</v>
      </c>
      <c r="D525">
        <v>2</v>
      </c>
      <c r="E525" t="s">
        <v>1117</v>
      </c>
      <c r="F525" t="s">
        <v>211</v>
      </c>
      <c r="G525" t="s">
        <v>467</v>
      </c>
      <c r="H525" t="s">
        <v>1118</v>
      </c>
      <c r="I525" t="s">
        <v>214</v>
      </c>
      <c r="J525" s="3" t="s">
        <v>1127</v>
      </c>
      <c r="K525" t="s">
        <v>1128</v>
      </c>
      <c r="L525" s="4">
        <v>3</v>
      </c>
      <c r="M525" s="4">
        <v>0</v>
      </c>
      <c r="N525">
        <v>3</v>
      </c>
      <c r="O525" t="s">
        <v>176</v>
      </c>
      <c r="P525">
        <v>21</v>
      </c>
      <c r="Q525">
        <f>QtyRemaining*EstMfgMin/60</f>
        <v>1.05</v>
      </c>
      <c r="U525" t="e">
        <f t="shared" si="18"/>
        <v>#REF!</v>
      </c>
      <c r="V525" s="5" t="e">
        <f t="shared" si="19"/>
        <v>#REF!</v>
      </c>
    </row>
    <row r="526" spans="1:22" x14ac:dyDescent="0.25">
      <c r="A526" s="2">
        <v>46029</v>
      </c>
      <c r="B526" s="2">
        <v>46009</v>
      </c>
      <c r="C526" t="s">
        <v>465</v>
      </c>
      <c r="D526">
        <v>2</v>
      </c>
      <c r="E526" t="s">
        <v>1117</v>
      </c>
      <c r="F526" t="s">
        <v>211</v>
      </c>
      <c r="G526" t="s">
        <v>467</v>
      </c>
      <c r="H526" t="s">
        <v>1118</v>
      </c>
      <c r="I526" t="s">
        <v>214</v>
      </c>
      <c r="J526" s="3" t="s">
        <v>1129</v>
      </c>
      <c r="K526" t="s">
        <v>1130</v>
      </c>
      <c r="L526" s="4">
        <v>3</v>
      </c>
      <c r="M526" s="4">
        <v>0</v>
      </c>
      <c r="N526">
        <v>3</v>
      </c>
      <c r="O526" t="s">
        <v>176</v>
      </c>
      <c r="P526">
        <v>21</v>
      </c>
      <c r="Q526">
        <f>QtyRemaining*EstMfgMin/60</f>
        <v>1.05</v>
      </c>
      <c r="U526" t="e">
        <f t="shared" si="18"/>
        <v>#REF!</v>
      </c>
      <c r="V526" s="5" t="e">
        <f t="shared" si="19"/>
        <v>#REF!</v>
      </c>
    </row>
    <row r="527" spans="1:22" x14ac:dyDescent="0.25">
      <c r="A527" s="2">
        <v>46029</v>
      </c>
      <c r="B527" s="2">
        <v>46009</v>
      </c>
      <c r="C527" t="s">
        <v>465</v>
      </c>
      <c r="D527">
        <v>2</v>
      </c>
      <c r="E527" t="s">
        <v>1117</v>
      </c>
      <c r="F527" t="s">
        <v>211</v>
      </c>
      <c r="G527" t="s">
        <v>467</v>
      </c>
      <c r="H527" t="s">
        <v>1118</v>
      </c>
      <c r="I527" t="s">
        <v>214</v>
      </c>
      <c r="J527" s="3" t="s">
        <v>1131</v>
      </c>
      <c r="K527" t="s">
        <v>1132</v>
      </c>
      <c r="L527" s="4">
        <v>3</v>
      </c>
      <c r="M527" s="4">
        <v>0</v>
      </c>
      <c r="N527">
        <v>3</v>
      </c>
      <c r="O527" t="s">
        <v>176</v>
      </c>
      <c r="P527">
        <v>21</v>
      </c>
      <c r="Q527">
        <f>QtyRemaining*EstMfgMin/60</f>
        <v>1.05</v>
      </c>
      <c r="U527" t="e">
        <f t="shared" si="18"/>
        <v>#REF!</v>
      </c>
      <c r="V527" s="5" t="e">
        <f t="shared" si="19"/>
        <v>#REF!</v>
      </c>
    </row>
    <row r="528" spans="1:22" x14ac:dyDescent="0.25">
      <c r="A528" s="2">
        <v>46029</v>
      </c>
      <c r="B528" s="2">
        <v>46009</v>
      </c>
      <c r="C528" t="s">
        <v>465</v>
      </c>
      <c r="D528">
        <v>2</v>
      </c>
      <c r="E528" t="s">
        <v>1117</v>
      </c>
      <c r="F528" t="s">
        <v>211</v>
      </c>
      <c r="G528" t="s">
        <v>467</v>
      </c>
      <c r="H528" t="s">
        <v>1118</v>
      </c>
      <c r="I528" t="s">
        <v>214</v>
      </c>
      <c r="J528" s="3" t="s">
        <v>1133</v>
      </c>
      <c r="K528" t="s">
        <v>1134</v>
      </c>
      <c r="L528" s="4">
        <v>3</v>
      </c>
      <c r="M528" s="4">
        <v>0</v>
      </c>
      <c r="N528">
        <v>3</v>
      </c>
      <c r="O528" t="s">
        <v>176</v>
      </c>
      <c r="P528">
        <v>30</v>
      </c>
      <c r="Q528">
        <f>QtyRemaining*EstMfgMin/60</f>
        <v>1.5</v>
      </c>
      <c r="U528" t="e">
        <f t="shared" si="18"/>
        <v>#REF!</v>
      </c>
      <c r="V528" s="5" t="e">
        <f t="shared" si="19"/>
        <v>#REF!</v>
      </c>
    </row>
    <row r="529" spans="1:22" x14ac:dyDescent="0.25">
      <c r="A529" s="2">
        <v>46029</v>
      </c>
      <c r="B529" s="2">
        <v>46009</v>
      </c>
      <c r="C529" t="s">
        <v>465</v>
      </c>
      <c r="D529">
        <v>2</v>
      </c>
      <c r="E529" t="s">
        <v>1117</v>
      </c>
      <c r="F529" t="s">
        <v>211</v>
      </c>
      <c r="G529" t="s">
        <v>467</v>
      </c>
      <c r="H529" t="s">
        <v>1118</v>
      </c>
      <c r="I529" t="s">
        <v>214</v>
      </c>
      <c r="J529" s="3" t="s">
        <v>1135</v>
      </c>
      <c r="K529" t="s">
        <v>1136</v>
      </c>
      <c r="L529" s="4">
        <v>3</v>
      </c>
      <c r="M529" s="4">
        <v>0</v>
      </c>
      <c r="N529">
        <v>3</v>
      </c>
      <c r="O529" t="s">
        <v>176</v>
      </c>
      <c r="P529">
        <v>30</v>
      </c>
      <c r="Q529">
        <f>QtyRemaining*EstMfgMin/60</f>
        <v>1.5</v>
      </c>
      <c r="U529" t="e">
        <f t="shared" si="18"/>
        <v>#REF!</v>
      </c>
      <c r="V529" s="5" t="e">
        <f t="shared" si="19"/>
        <v>#REF!</v>
      </c>
    </row>
    <row r="530" spans="1:22" x14ac:dyDescent="0.25">
      <c r="A530" s="2">
        <v>46030</v>
      </c>
      <c r="B530" s="2">
        <v>45632</v>
      </c>
      <c r="C530" t="s">
        <v>478</v>
      </c>
      <c r="D530">
        <v>2</v>
      </c>
      <c r="E530" t="s">
        <v>1137</v>
      </c>
      <c r="F530" t="s">
        <v>261</v>
      </c>
      <c r="G530" t="s">
        <v>510</v>
      </c>
      <c r="H530" t="s">
        <v>1138</v>
      </c>
      <c r="I530" t="s">
        <v>83</v>
      </c>
      <c r="J530" s="3" t="s">
        <v>512</v>
      </c>
      <c r="K530" t="s">
        <v>513</v>
      </c>
      <c r="L530" s="4">
        <v>5</v>
      </c>
      <c r="M530" s="4">
        <v>0</v>
      </c>
      <c r="N530">
        <v>5</v>
      </c>
      <c r="O530" t="s">
        <v>1139</v>
      </c>
      <c r="P530">
        <v>1394</v>
      </c>
      <c r="Q530">
        <f>QtyRemaining*EstMfgMin/60</f>
        <v>116.16666666666667</v>
      </c>
      <c r="U530" t="e">
        <f t="shared" si="18"/>
        <v>#REF!</v>
      </c>
      <c r="V530" s="5" t="e">
        <f t="shared" si="19"/>
        <v>#REF!</v>
      </c>
    </row>
    <row r="531" spans="1:22" x14ac:dyDescent="0.25">
      <c r="A531" s="2">
        <v>46030</v>
      </c>
      <c r="B531" s="2">
        <v>45700</v>
      </c>
      <c r="C531" t="s">
        <v>523</v>
      </c>
      <c r="D531">
        <v>2</v>
      </c>
      <c r="E531" t="s">
        <v>524</v>
      </c>
      <c r="F531" t="s">
        <v>261</v>
      </c>
      <c r="G531" t="s">
        <v>525</v>
      </c>
      <c r="H531" t="s">
        <v>526</v>
      </c>
      <c r="I531" t="s">
        <v>83</v>
      </c>
      <c r="J531" s="3" t="s">
        <v>1140</v>
      </c>
      <c r="K531" t="s">
        <v>1141</v>
      </c>
      <c r="L531" s="4">
        <v>5</v>
      </c>
      <c r="M531" s="4">
        <v>0</v>
      </c>
      <c r="N531">
        <v>5</v>
      </c>
      <c r="O531" t="s">
        <v>118</v>
      </c>
      <c r="P531">
        <v>105</v>
      </c>
      <c r="Q531">
        <f>QtyRemaining*EstMfgMin/60</f>
        <v>8.75</v>
      </c>
      <c r="U531" t="e">
        <f t="shared" si="18"/>
        <v>#REF!</v>
      </c>
      <c r="V531" s="5" t="e">
        <f t="shared" si="19"/>
        <v>#REF!</v>
      </c>
    </row>
    <row r="532" spans="1:22" x14ac:dyDescent="0.25">
      <c r="A532" s="2">
        <v>46030</v>
      </c>
      <c r="B532" s="2">
        <v>45700</v>
      </c>
      <c r="C532" t="s">
        <v>523</v>
      </c>
      <c r="D532">
        <v>2</v>
      </c>
      <c r="E532" t="s">
        <v>524</v>
      </c>
      <c r="F532" t="s">
        <v>261</v>
      </c>
      <c r="G532" t="s">
        <v>525</v>
      </c>
      <c r="H532" t="s">
        <v>526</v>
      </c>
      <c r="I532" t="s">
        <v>83</v>
      </c>
      <c r="J532" s="3" t="s">
        <v>1142</v>
      </c>
      <c r="K532" t="s">
        <v>1141</v>
      </c>
      <c r="L532" s="4">
        <v>10</v>
      </c>
      <c r="M532" s="4">
        <v>0</v>
      </c>
      <c r="N532">
        <v>10</v>
      </c>
      <c r="O532" t="s">
        <v>118</v>
      </c>
      <c r="P532">
        <v>105</v>
      </c>
      <c r="Q532">
        <f>QtyRemaining*EstMfgMin/60</f>
        <v>17.5</v>
      </c>
      <c r="U532" t="e">
        <f t="shared" si="18"/>
        <v>#REF!</v>
      </c>
      <c r="V532" s="5" t="e">
        <f t="shared" si="19"/>
        <v>#REF!</v>
      </c>
    </row>
    <row r="533" spans="1:22" x14ac:dyDescent="0.25">
      <c r="A533" s="2">
        <v>46030</v>
      </c>
      <c r="B533" s="2">
        <v>45700</v>
      </c>
      <c r="C533" t="s">
        <v>523</v>
      </c>
      <c r="D533">
        <v>2</v>
      </c>
      <c r="E533" t="s">
        <v>524</v>
      </c>
      <c r="F533" t="s">
        <v>261</v>
      </c>
      <c r="G533" t="s">
        <v>525</v>
      </c>
      <c r="H533" t="s">
        <v>526</v>
      </c>
      <c r="I533" t="s">
        <v>83</v>
      </c>
      <c r="J533" s="3" t="s">
        <v>1143</v>
      </c>
      <c r="K533" t="s">
        <v>1141</v>
      </c>
      <c r="L533" s="4">
        <v>10</v>
      </c>
      <c r="M533" s="4">
        <v>0</v>
      </c>
      <c r="N533">
        <v>10</v>
      </c>
      <c r="O533" t="s">
        <v>118</v>
      </c>
      <c r="P533">
        <v>105</v>
      </c>
      <c r="Q533">
        <f>QtyRemaining*EstMfgMin/60</f>
        <v>17.5</v>
      </c>
      <c r="U533" t="e">
        <f t="shared" si="18"/>
        <v>#REF!</v>
      </c>
      <c r="V533" s="5" t="e">
        <f t="shared" si="19"/>
        <v>#REF!</v>
      </c>
    </row>
    <row r="534" spans="1:22" x14ac:dyDescent="0.25">
      <c r="A534" s="2">
        <v>46030</v>
      </c>
      <c r="B534" s="2">
        <v>45700</v>
      </c>
      <c r="C534" t="s">
        <v>523</v>
      </c>
      <c r="D534">
        <v>2</v>
      </c>
      <c r="E534" t="s">
        <v>524</v>
      </c>
      <c r="F534" t="s">
        <v>261</v>
      </c>
      <c r="G534" t="s">
        <v>525</v>
      </c>
      <c r="H534" t="s">
        <v>526</v>
      </c>
      <c r="I534" t="s">
        <v>83</v>
      </c>
      <c r="J534" s="3" t="s">
        <v>1144</v>
      </c>
      <c r="K534" t="s">
        <v>1141</v>
      </c>
      <c r="L534" s="4">
        <v>10</v>
      </c>
      <c r="M534" s="4">
        <v>0</v>
      </c>
      <c r="N534">
        <v>10</v>
      </c>
      <c r="O534" t="s">
        <v>118</v>
      </c>
      <c r="P534">
        <v>105</v>
      </c>
      <c r="Q534">
        <f>QtyRemaining*EstMfgMin/60</f>
        <v>17.5</v>
      </c>
      <c r="U534" t="e">
        <f t="shared" si="18"/>
        <v>#REF!</v>
      </c>
      <c r="V534" s="5" t="e">
        <f t="shared" si="19"/>
        <v>#REF!</v>
      </c>
    </row>
    <row r="535" spans="1:22" x14ac:dyDescent="0.25">
      <c r="A535" s="2">
        <v>46030</v>
      </c>
      <c r="B535" s="2">
        <v>45700</v>
      </c>
      <c r="C535" t="s">
        <v>523</v>
      </c>
      <c r="D535">
        <v>2</v>
      </c>
      <c r="E535" t="s">
        <v>524</v>
      </c>
      <c r="F535" t="s">
        <v>261</v>
      </c>
      <c r="G535" t="s">
        <v>525</v>
      </c>
      <c r="H535" t="s">
        <v>526</v>
      </c>
      <c r="I535" t="s">
        <v>83</v>
      </c>
      <c r="J535" s="3" t="s">
        <v>1145</v>
      </c>
      <c r="K535" t="s">
        <v>1141</v>
      </c>
      <c r="L535" s="4">
        <v>10</v>
      </c>
      <c r="M535" s="4">
        <v>0</v>
      </c>
      <c r="N535">
        <v>10</v>
      </c>
      <c r="O535" t="s">
        <v>118</v>
      </c>
      <c r="P535">
        <v>105</v>
      </c>
      <c r="Q535">
        <f>QtyRemaining*EstMfgMin/60</f>
        <v>17.5</v>
      </c>
      <c r="U535" t="e">
        <f t="shared" si="18"/>
        <v>#REF!</v>
      </c>
      <c r="V535" s="5" t="e">
        <f t="shared" si="19"/>
        <v>#REF!</v>
      </c>
    </row>
    <row r="536" spans="1:22" x14ac:dyDescent="0.25">
      <c r="A536" s="2">
        <v>46030</v>
      </c>
      <c r="B536" s="2">
        <v>46024</v>
      </c>
      <c r="C536" t="s">
        <v>485</v>
      </c>
      <c r="D536">
        <v>2</v>
      </c>
      <c r="E536" t="s">
        <v>1146</v>
      </c>
      <c r="F536" t="s">
        <v>211</v>
      </c>
      <c r="G536" t="s">
        <v>1147</v>
      </c>
      <c r="H536" t="s">
        <v>1148</v>
      </c>
      <c r="I536" t="s">
        <v>214</v>
      </c>
      <c r="J536" s="3" t="s">
        <v>1149</v>
      </c>
      <c r="K536" t="s">
        <v>1150</v>
      </c>
      <c r="L536" s="4">
        <v>25</v>
      </c>
      <c r="M536" s="4">
        <v>0</v>
      </c>
      <c r="N536">
        <v>25</v>
      </c>
      <c r="O536" t="s">
        <v>94</v>
      </c>
      <c r="P536">
        <v>43</v>
      </c>
      <c r="Q536">
        <f>QtyRemaining*EstMfgMin/60</f>
        <v>17.916666666666668</v>
      </c>
      <c r="U536" t="e">
        <f t="shared" si="18"/>
        <v>#REF!</v>
      </c>
      <c r="V536" s="5" t="e">
        <f t="shared" si="19"/>
        <v>#REF!</v>
      </c>
    </row>
    <row r="537" spans="1:22" x14ac:dyDescent="0.25">
      <c r="A537" s="2">
        <v>46030</v>
      </c>
      <c r="B537" s="2">
        <v>46024</v>
      </c>
      <c r="C537" t="s">
        <v>485</v>
      </c>
      <c r="D537">
        <v>2</v>
      </c>
      <c r="E537" t="s">
        <v>1146</v>
      </c>
      <c r="F537" t="s">
        <v>211</v>
      </c>
      <c r="G537" t="s">
        <v>1147</v>
      </c>
      <c r="H537" t="s">
        <v>1148</v>
      </c>
      <c r="I537" t="s">
        <v>214</v>
      </c>
      <c r="J537" s="3" t="s">
        <v>1151</v>
      </c>
      <c r="K537" t="s">
        <v>1150</v>
      </c>
      <c r="L537" s="4">
        <v>35</v>
      </c>
      <c r="M537" s="4">
        <v>0</v>
      </c>
      <c r="N537">
        <v>35</v>
      </c>
      <c r="O537" t="s">
        <v>176</v>
      </c>
      <c r="P537">
        <v>43</v>
      </c>
      <c r="Q537">
        <f>QtyRemaining*EstMfgMin/60</f>
        <v>25.083333333333332</v>
      </c>
      <c r="U537" t="e">
        <f t="shared" si="18"/>
        <v>#REF!</v>
      </c>
      <c r="V537" s="5" t="e">
        <f t="shared" si="19"/>
        <v>#REF!</v>
      </c>
    </row>
    <row r="538" spans="1:22" x14ac:dyDescent="0.25">
      <c r="A538" s="2">
        <v>46030</v>
      </c>
      <c r="B538" s="2">
        <v>46024</v>
      </c>
      <c r="C538" t="s">
        <v>485</v>
      </c>
      <c r="D538">
        <v>2</v>
      </c>
      <c r="E538" t="s">
        <v>1146</v>
      </c>
      <c r="F538" t="s">
        <v>211</v>
      </c>
      <c r="G538" t="s">
        <v>1147</v>
      </c>
      <c r="H538" t="s">
        <v>1148</v>
      </c>
      <c r="I538" t="s">
        <v>214</v>
      </c>
      <c r="J538" s="3" t="s">
        <v>1152</v>
      </c>
      <c r="K538" t="s">
        <v>1153</v>
      </c>
      <c r="L538" s="4">
        <v>75</v>
      </c>
      <c r="M538" s="4">
        <v>0</v>
      </c>
      <c r="N538">
        <v>75</v>
      </c>
      <c r="O538" t="s">
        <v>94</v>
      </c>
      <c r="P538">
        <v>26</v>
      </c>
      <c r="Q538">
        <f>QtyRemaining*EstMfgMin/60</f>
        <v>32.5</v>
      </c>
      <c r="U538" t="e">
        <f t="shared" si="18"/>
        <v>#REF!</v>
      </c>
      <c r="V538" s="5" t="e">
        <f t="shared" si="19"/>
        <v>#REF!</v>
      </c>
    </row>
    <row r="539" spans="1:22" x14ac:dyDescent="0.25">
      <c r="A539" s="2">
        <v>46031</v>
      </c>
      <c r="B539" s="2">
        <v>45632</v>
      </c>
      <c r="C539" t="s">
        <v>478</v>
      </c>
      <c r="D539">
        <v>2</v>
      </c>
      <c r="E539" t="s">
        <v>1137</v>
      </c>
      <c r="F539" t="s">
        <v>261</v>
      </c>
      <c r="G539" t="s">
        <v>510</v>
      </c>
      <c r="H539" t="s">
        <v>1138</v>
      </c>
      <c r="I539" t="s">
        <v>83</v>
      </c>
      <c r="J539" s="3" t="s">
        <v>512</v>
      </c>
      <c r="K539" t="s">
        <v>513</v>
      </c>
      <c r="L539" s="4">
        <v>5</v>
      </c>
      <c r="M539" s="4">
        <v>0</v>
      </c>
      <c r="N539">
        <v>5</v>
      </c>
      <c r="O539" t="s">
        <v>1139</v>
      </c>
      <c r="P539">
        <v>1394</v>
      </c>
      <c r="Q539">
        <f>QtyRemaining*EstMfgMin/60</f>
        <v>116.16666666666667</v>
      </c>
      <c r="U539" t="e">
        <f t="shared" si="18"/>
        <v>#REF!</v>
      </c>
      <c r="V539" s="5" t="e">
        <f t="shared" si="19"/>
        <v>#REF!</v>
      </c>
    </row>
    <row r="540" spans="1:22" x14ac:dyDescent="0.25">
      <c r="A540" s="2">
        <v>46031</v>
      </c>
      <c r="B540" s="2">
        <v>46006</v>
      </c>
      <c r="C540" t="s">
        <v>465</v>
      </c>
      <c r="D540">
        <v>2</v>
      </c>
      <c r="E540" t="s">
        <v>1154</v>
      </c>
      <c r="F540" t="s">
        <v>211</v>
      </c>
      <c r="G540" t="s">
        <v>467</v>
      </c>
      <c r="H540" t="s">
        <v>1155</v>
      </c>
      <c r="I540" t="s">
        <v>214</v>
      </c>
      <c r="J540" s="3" t="s">
        <v>1156</v>
      </c>
      <c r="K540" t="s">
        <v>1157</v>
      </c>
      <c r="L540" s="4">
        <v>2</v>
      </c>
      <c r="M540" s="4">
        <v>0</v>
      </c>
      <c r="N540">
        <v>2</v>
      </c>
      <c r="O540" t="s">
        <v>94</v>
      </c>
      <c r="P540">
        <v>72</v>
      </c>
      <c r="Q540">
        <f>QtyRemaining*EstMfgMin/60</f>
        <v>2.4</v>
      </c>
      <c r="U540" t="e">
        <f t="shared" si="18"/>
        <v>#REF!</v>
      </c>
      <c r="V540" s="5" t="e">
        <f t="shared" si="19"/>
        <v>#REF!</v>
      </c>
    </row>
    <row r="541" spans="1:22" x14ac:dyDescent="0.25">
      <c r="A541" s="2">
        <v>46031</v>
      </c>
      <c r="B541" s="2">
        <v>46009</v>
      </c>
      <c r="C541" t="s">
        <v>485</v>
      </c>
      <c r="D541">
        <v>2</v>
      </c>
      <c r="E541" t="s">
        <v>1158</v>
      </c>
      <c r="F541" t="s">
        <v>211</v>
      </c>
      <c r="G541" t="s">
        <v>1159</v>
      </c>
      <c r="H541" t="s">
        <v>1160</v>
      </c>
      <c r="I541" t="s">
        <v>214</v>
      </c>
      <c r="J541" s="3" t="s">
        <v>1161</v>
      </c>
      <c r="K541" t="s">
        <v>1162</v>
      </c>
      <c r="L541" s="4">
        <v>93</v>
      </c>
      <c r="M541" s="4">
        <v>0</v>
      </c>
      <c r="N541">
        <v>93</v>
      </c>
      <c r="O541" t="s">
        <v>1163</v>
      </c>
      <c r="P541">
        <v>20</v>
      </c>
      <c r="Q541">
        <f>QtyRemaining*EstMfgMin/60</f>
        <v>31</v>
      </c>
      <c r="U541" t="e">
        <f t="shared" si="18"/>
        <v>#REF!</v>
      </c>
      <c r="V541" s="5" t="e">
        <f t="shared" si="19"/>
        <v>#REF!</v>
      </c>
    </row>
    <row r="542" spans="1:22" x14ac:dyDescent="0.25">
      <c r="A542" s="2">
        <v>46031</v>
      </c>
      <c r="B542" s="2">
        <v>46020</v>
      </c>
      <c r="C542" t="s">
        <v>485</v>
      </c>
      <c r="D542">
        <v>2</v>
      </c>
      <c r="E542" t="s">
        <v>1164</v>
      </c>
      <c r="F542" t="s">
        <v>211</v>
      </c>
      <c r="G542" t="s">
        <v>1066</v>
      </c>
      <c r="H542" t="s">
        <v>1165</v>
      </c>
      <c r="I542" t="s">
        <v>214</v>
      </c>
      <c r="J542" s="3" t="s">
        <v>1166</v>
      </c>
      <c r="K542" t="s">
        <v>1167</v>
      </c>
      <c r="L542" s="4">
        <v>3600</v>
      </c>
      <c r="M542" s="4">
        <v>1250</v>
      </c>
      <c r="N542">
        <v>2350</v>
      </c>
      <c r="O542" t="s">
        <v>86</v>
      </c>
      <c r="P542">
        <v>2</v>
      </c>
      <c r="Q542">
        <f>QtyRemaining*EstMfgMin/60</f>
        <v>78.333333333333329</v>
      </c>
      <c r="U542" t="e">
        <f t="shared" si="18"/>
        <v>#REF!</v>
      </c>
      <c r="V542" s="5" t="e">
        <f t="shared" si="19"/>
        <v>#REF!</v>
      </c>
    </row>
    <row r="543" spans="1:22" x14ac:dyDescent="0.25">
      <c r="A543" s="2">
        <v>46031</v>
      </c>
      <c r="B543" s="2">
        <v>46031</v>
      </c>
      <c r="C543" t="s">
        <v>1168</v>
      </c>
      <c r="D543">
        <v>2</v>
      </c>
      <c r="E543" t="s">
        <v>1169</v>
      </c>
      <c r="F543" t="s">
        <v>283</v>
      </c>
      <c r="G543" t="s">
        <v>1170</v>
      </c>
      <c r="H543" t="s">
        <v>1171</v>
      </c>
      <c r="I543" t="s">
        <v>1172</v>
      </c>
      <c r="J543" s="3" t="s">
        <v>1173</v>
      </c>
      <c r="K543" t="s">
        <v>1174</v>
      </c>
      <c r="L543" s="4">
        <v>25</v>
      </c>
      <c r="M543" s="4">
        <v>0</v>
      </c>
      <c r="N543">
        <v>25</v>
      </c>
      <c r="O543" t="s">
        <v>86</v>
      </c>
      <c r="P543">
        <v>20</v>
      </c>
      <c r="Q543">
        <f>QtyRemaining*EstMfgMin/60</f>
        <v>8.3333333333333339</v>
      </c>
      <c r="U543" t="e">
        <f t="shared" si="18"/>
        <v>#REF!</v>
      </c>
      <c r="V543" s="5" t="e">
        <f t="shared" si="19"/>
        <v>#REF!</v>
      </c>
    </row>
    <row r="544" spans="1:22" x14ac:dyDescent="0.25">
      <c r="A544" s="2">
        <v>46034</v>
      </c>
      <c r="B544" s="2">
        <v>45674</v>
      </c>
      <c r="C544" t="s">
        <v>570</v>
      </c>
      <c r="D544">
        <v>3</v>
      </c>
      <c r="E544" t="s">
        <v>571</v>
      </c>
      <c r="F544" t="s">
        <v>261</v>
      </c>
      <c r="G544" t="s">
        <v>262</v>
      </c>
      <c r="H544" t="s">
        <v>572</v>
      </c>
      <c r="I544" t="s">
        <v>83</v>
      </c>
      <c r="J544" s="3" t="s">
        <v>1175</v>
      </c>
      <c r="K544" t="s">
        <v>950</v>
      </c>
      <c r="L544" s="4">
        <v>10</v>
      </c>
      <c r="M544" s="4">
        <v>6</v>
      </c>
      <c r="N544">
        <v>4</v>
      </c>
      <c r="O544" t="s">
        <v>457</v>
      </c>
      <c r="P544">
        <v>460</v>
      </c>
      <c r="Q544">
        <f>QtyRemaining*EstMfgMin/60</f>
        <v>30.666666666666668</v>
      </c>
      <c r="U544" t="e">
        <f t="shared" si="18"/>
        <v>#REF!</v>
      </c>
      <c r="V544" s="5" t="e">
        <f t="shared" si="19"/>
        <v>#REF!</v>
      </c>
    </row>
    <row r="545" spans="1:22" x14ac:dyDescent="0.25">
      <c r="A545" s="2">
        <v>46034</v>
      </c>
      <c r="B545" s="2">
        <v>45754</v>
      </c>
      <c r="C545" t="s">
        <v>221</v>
      </c>
      <c r="D545">
        <v>3</v>
      </c>
      <c r="E545" t="s">
        <v>1176</v>
      </c>
      <c r="F545" t="s">
        <v>211</v>
      </c>
      <c r="G545" t="s">
        <v>519</v>
      </c>
      <c r="H545" t="s">
        <v>1177</v>
      </c>
      <c r="I545" t="s">
        <v>83</v>
      </c>
      <c r="J545" s="3" t="s">
        <v>1178</v>
      </c>
      <c r="K545" t="s">
        <v>950</v>
      </c>
      <c r="L545" s="4">
        <v>10</v>
      </c>
      <c r="M545" s="4">
        <v>6</v>
      </c>
      <c r="N545">
        <v>4</v>
      </c>
      <c r="O545" t="s">
        <v>457</v>
      </c>
      <c r="P545">
        <v>0</v>
      </c>
      <c r="Q545">
        <f>QtyRemaining*EstMfgMin/60</f>
        <v>0</v>
      </c>
      <c r="U545" t="e">
        <f t="shared" si="18"/>
        <v>#REF!</v>
      </c>
      <c r="V545" s="5" t="e">
        <f t="shared" si="19"/>
        <v>#REF!</v>
      </c>
    </row>
    <row r="546" spans="1:22" x14ac:dyDescent="0.25">
      <c r="A546" s="2">
        <v>46034</v>
      </c>
      <c r="B546" s="2">
        <v>45797</v>
      </c>
      <c r="C546" t="s">
        <v>232</v>
      </c>
      <c r="D546">
        <v>3</v>
      </c>
      <c r="E546" t="s">
        <v>1179</v>
      </c>
      <c r="F546" t="s">
        <v>211</v>
      </c>
      <c r="G546" t="s">
        <v>270</v>
      </c>
      <c r="H546" t="s">
        <v>1180</v>
      </c>
      <c r="I546" t="s">
        <v>214</v>
      </c>
      <c r="J546" s="3" t="s">
        <v>1181</v>
      </c>
      <c r="K546" t="s">
        <v>1182</v>
      </c>
      <c r="L546" s="4">
        <v>25</v>
      </c>
      <c r="M546" s="4">
        <v>0</v>
      </c>
      <c r="N546">
        <v>25</v>
      </c>
      <c r="O546" t="s">
        <v>457</v>
      </c>
      <c r="P546">
        <v>25</v>
      </c>
      <c r="Q546">
        <f>QtyRemaining*EstMfgMin/60</f>
        <v>10.416666666666666</v>
      </c>
      <c r="U546" t="e">
        <f t="shared" si="18"/>
        <v>#REF!</v>
      </c>
      <c r="V546" s="5" t="e">
        <f t="shared" si="19"/>
        <v>#REF!</v>
      </c>
    </row>
    <row r="547" spans="1:22" x14ac:dyDescent="0.25">
      <c r="A547" s="2">
        <v>46034</v>
      </c>
      <c r="B547" s="2">
        <v>45876</v>
      </c>
      <c r="C547" t="s">
        <v>232</v>
      </c>
      <c r="D547">
        <v>3</v>
      </c>
      <c r="E547" t="s">
        <v>1183</v>
      </c>
      <c r="F547" t="s">
        <v>211</v>
      </c>
      <c r="G547" t="s">
        <v>1184</v>
      </c>
      <c r="H547" t="s">
        <v>1185</v>
      </c>
      <c r="I547" t="s">
        <v>83</v>
      </c>
      <c r="J547" s="3" t="s">
        <v>1186</v>
      </c>
      <c r="K547" t="s">
        <v>1187</v>
      </c>
      <c r="L547" s="4">
        <v>23</v>
      </c>
      <c r="M547" s="4">
        <v>0</v>
      </c>
      <c r="N547">
        <v>23</v>
      </c>
      <c r="O547" t="s">
        <v>1188</v>
      </c>
      <c r="P547">
        <v>40</v>
      </c>
      <c r="Q547">
        <f>QtyRemaining*EstMfgMin/60</f>
        <v>15.333333333333334</v>
      </c>
      <c r="U547" t="e">
        <f t="shared" si="18"/>
        <v>#REF!</v>
      </c>
      <c r="V547" s="5" t="e">
        <f t="shared" si="19"/>
        <v>#REF!</v>
      </c>
    </row>
    <row r="548" spans="1:22" x14ac:dyDescent="0.25">
      <c r="A548" s="2">
        <v>46034</v>
      </c>
      <c r="B548" s="2">
        <v>45891</v>
      </c>
      <c r="C548" t="s">
        <v>232</v>
      </c>
      <c r="D548">
        <v>3</v>
      </c>
      <c r="E548" t="s">
        <v>1189</v>
      </c>
      <c r="F548" t="s">
        <v>211</v>
      </c>
      <c r="G548" t="s">
        <v>1184</v>
      </c>
      <c r="H548" t="s">
        <v>1190</v>
      </c>
      <c r="I548" t="s">
        <v>83</v>
      </c>
      <c r="J548" s="3" t="s">
        <v>1186</v>
      </c>
      <c r="K548" t="s">
        <v>1187</v>
      </c>
      <c r="L548" s="4">
        <v>23</v>
      </c>
      <c r="M548" s="4">
        <v>0</v>
      </c>
      <c r="N548">
        <v>23</v>
      </c>
      <c r="O548" t="s">
        <v>1188</v>
      </c>
      <c r="P548">
        <v>40</v>
      </c>
      <c r="Q548">
        <f>QtyRemaining*EstMfgMin/60</f>
        <v>15.333333333333334</v>
      </c>
      <c r="U548" t="e">
        <f t="shared" si="18"/>
        <v>#REF!</v>
      </c>
      <c r="V548" s="5" t="e">
        <f t="shared" si="19"/>
        <v>#REF!</v>
      </c>
    </row>
    <row r="549" spans="1:22" x14ac:dyDescent="0.25">
      <c r="A549" s="2">
        <v>46034</v>
      </c>
      <c r="B549" s="2">
        <v>45947</v>
      </c>
      <c r="C549" t="s">
        <v>1191</v>
      </c>
      <c r="D549">
        <v>3</v>
      </c>
      <c r="E549" t="s">
        <v>1192</v>
      </c>
      <c r="F549" t="s">
        <v>211</v>
      </c>
      <c r="G549" t="s">
        <v>1193</v>
      </c>
      <c r="H549" t="s">
        <v>1194</v>
      </c>
      <c r="I549" t="s">
        <v>83</v>
      </c>
      <c r="J549" s="3" t="s">
        <v>1195</v>
      </c>
      <c r="K549" t="s">
        <v>1196</v>
      </c>
      <c r="L549" s="4">
        <v>2</v>
      </c>
      <c r="M549" s="4">
        <v>0</v>
      </c>
      <c r="N549">
        <v>2</v>
      </c>
      <c r="O549" t="s">
        <v>266</v>
      </c>
      <c r="P549">
        <v>135</v>
      </c>
      <c r="Q549">
        <f>QtyRemaining*EstMfgMin/60</f>
        <v>4.5</v>
      </c>
      <c r="U549" t="e">
        <f t="shared" si="18"/>
        <v>#REF!</v>
      </c>
      <c r="V549" s="5" t="e">
        <f t="shared" si="19"/>
        <v>#REF!</v>
      </c>
    </row>
    <row r="550" spans="1:22" x14ac:dyDescent="0.25">
      <c r="A550" s="2">
        <v>46034</v>
      </c>
      <c r="B550" s="2">
        <v>45947</v>
      </c>
      <c r="C550" t="s">
        <v>1191</v>
      </c>
      <c r="D550">
        <v>3</v>
      </c>
      <c r="E550" t="s">
        <v>1192</v>
      </c>
      <c r="F550" t="s">
        <v>211</v>
      </c>
      <c r="G550" t="s">
        <v>1193</v>
      </c>
      <c r="H550" t="s">
        <v>1194</v>
      </c>
      <c r="I550" t="s">
        <v>83</v>
      </c>
      <c r="J550" s="3" t="s">
        <v>875</v>
      </c>
      <c r="K550" t="s">
        <v>1197</v>
      </c>
      <c r="L550" s="4">
        <v>1</v>
      </c>
      <c r="M550" s="4">
        <v>0</v>
      </c>
      <c r="N550">
        <v>1</v>
      </c>
      <c r="P550">
        <v>0</v>
      </c>
      <c r="Q550">
        <f>QtyRemaining*EstMfgMin/60</f>
        <v>0</v>
      </c>
      <c r="U550" t="e">
        <f t="shared" si="18"/>
        <v>#REF!</v>
      </c>
      <c r="V550" s="5" t="e">
        <f t="shared" si="19"/>
        <v>#REF!</v>
      </c>
    </row>
    <row r="551" spans="1:22" x14ac:dyDescent="0.25">
      <c r="A551" s="2">
        <v>46034</v>
      </c>
      <c r="B551" s="2">
        <v>45975</v>
      </c>
      <c r="C551" t="s">
        <v>465</v>
      </c>
      <c r="D551">
        <v>3</v>
      </c>
      <c r="E551" t="s">
        <v>1198</v>
      </c>
      <c r="F551" t="s">
        <v>211</v>
      </c>
      <c r="G551" t="s">
        <v>467</v>
      </c>
      <c r="H551" t="s">
        <v>1199</v>
      </c>
      <c r="I551" t="s">
        <v>214</v>
      </c>
      <c r="J551" s="3" t="s">
        <v>1200</v>
      </c>
      <c r="K551" t="s">
        <v>1201</v>
      </c>
      <c r="L551" s="4">
        <v>3</v>
      </c>
      <c r="M551" s="4">
        <v>0</v>
      </c>
      <c r="N551">
        <v>3</v>
      </c>
      <c r="O551" t="s">
        <v>176</v>
      </c>
      <c r="P551">
        <v>5</v>
      </c>
      <c r="Q551">
        <f>QtyRemaining*EstMfgMin/60</f>
        <v>0.25</v>
      </c>
      <c r="U551" t="e">
        <f t="shared" si="18"/>
        <v>#REF!</v>
      </c>
      <c r="V551" s="5" t="e">
        <f t="shared" si="19"/>
        <v>#REF!</v>
      </c>
    </row>
    <row r="552" spans="1:22" x14ac:dyDescent="0.25">
      <c r="A552" s="2">
        <v>46034</v>
      </c>
      <c r="B552" s="2">
        <v>45981</v>
      </c>
      <c r="C552" t="s">
        <v>478</v>
      </c>
      <c r="D552">
        <v>3</v>
      </c>
      <c r="E552" t="s">
        <v>1202</v>
      </c>
      <c r="F552" t="s">
        <v>261</v>
      </c>
      <c r="G552" t="s">
        <v>1021</v>
      </c>
      <c r="H552" t="s">
        <v>1203</v>
      </c>
      <c r="I552" t="s">
        <v>83</v>
      </c>
      <c r="J552" s="3" t="s">
        <v>1204</v>
      </c>
      <c r="K552" t="s">
        <v>1205</v>
      </c>
      <c r="L552" s="4">
        <v>1</v>
      </c>
      <c r="M552" s="4">
        <v>0</v>
      </c>
      <c r="N552">
        <v>1</v>
      </c>
      <c r="O552" t="s">
        <v>176</v>
      </c>
      <c r="P552">
        <v>16</v>
      </c>
      <c r="Q552">
        <f>QtyRemaining*EstMfgMin/60</f>
        <v>0.26666666666666666</v>
      </c>
      <c r="U552" t="e">
        <f t="shared" si="18"/>
        <v>#REF!</v>
      </c>
      <c r="V552" s="5" t="e">
        <f t="shared" si="19"/>
        <v>#REF!</v>
      </c>
    </row>
    <row r="553" spans="1:22" x14ac:dyDescent="0.25">
      <c r="A553" s="2">
        <v>46034</v>
      </c>
      <c r="B553" s="2">
        <v>46009</v>
      </c>
      <c r="C553" t="s">
        <v>232</v>
      </c>
      <c r="D553">
        <v>3</v>
      </c>
      <c r="E553" t="s">
        <v>1206</v>
      </c>
      <c r="F553" t="s">
        <v>211</v>
      </c>
      <c r="G553" t="s">
        <v>270</v>
      </c>
      <c r="H553" t="s">
        <v>1207</v>
      </c>
      <c r="I553" t="s">
        <v>214</v>
      </c>
      <c r="J553" s="3" t="s">
        <v>1208</v>
      </c>
      <c r="K553" t="s">
        <v>1209</v>
      </c>
      <c r="L553" s="4">
        <v>2</v>
      </c>
      <c r="M553" s="4">
        <v>0</v>
      </c>
      <c r="N553">
        <v>2</v>
      </c>
      <c r="O553" t="s">
        <v>118</v>
      </c>
      <c r="P553">
        <v>11</v>
      </c>
      <c r="Q553">
        <f>QtyRemaining*EstMfgMin/60</f>
        <v>0.36666666666666664</v>
      </c>
      <c r="U553" t="e">
        <f t="shared" si="18"/>
        <v>#REF!</v>
      </c>
      <c r="V553" s="5" t="e">
        <f t="shared" si="19"/>
        <v>#REF!</v>
      </c>
    </row>
    <row r="554" spans="1:22" x14ac:dyDescent="0.25">
      <c r="A554" s="2">
        <v>46034</v>
      </c>
      <c r="B554" s="2">
        <v>46024</v>
      </c>
      <c r="C554" t="s">
        <v>485</v>
      </c>
      <c r="D554">
        <v>3</v>
      </c>
      <c r="E554" t="s">
        <v>1210</v>
      </c>
      <c r="F554" t="s">
        <v>211</v>
      </c>
      <c r="G554" t="s">
        <v>1211</v>
      </c>
      <c r="H554" t="s">
        <v>1212</v>
      </c>
      <c r="I554" t="s">
        <v>214</v>
      </c>
      <c r="J554" s="3" t="s">
        <v>1213</v>
      </c>
      <c r="K554" t="s">
        <v>1214</v>
      </c>
      <c r="L554" s="4">
        <v>30</v>
      </c>
      <c r="M554" s="4">
        <v>0</v>
      </c>
      <c r="N554">
        <v>30</v>
      </c>
      <c r="O554" t="s">
        <v>1215</v>
      </c>
      <c r="P554">
        <v>10</v>
      </c>
      <c r="Q554">
        <f>QtyRemaining*EstMfgMin/60</f>
        <v>5</v>
      </c>
      <c r="U554" t="e">
        <f t="shared" si="18"/>
        <v>#REF!</v>
      </c>
      <c r="V554" s="5" t="e">
        <f t="shared" si="19"/>
        <v>#REF!</v>
      </c>
    </row>
    <row r="555" spans="1:22" x14ac:dyDescent="0.25">
      <c r="A555" s="2">
        <v>46034</v>
      </c>
      <c r="B555" s="2">
        <v>46024</v>
      </c>
      <c r="C555" t="s">
        <v>485</v>
      </c>
      <c r="D555">
        <v>3</v>
      </c>
      <c r="E555" t="s">
        <v>1216</v>
      </c>
      <c r="F555" t="s">
        <v>211</v>
      </c>
      <c r="G555" t="s">
        <v>1217</v>
      </c>
      <c r="H555" t="s">
        <v>1218</v>
      </c>
      <c r="I555" t="s">
        <v>214</v>
      </c>
      <c r="J555" s="3" t="s">
        <v>1219</v>
      </c>
      <c r="K555" t="s">
        <v>1220</v>
      </c>
      <c r="L555" s="4">
        <v>5</v>
      </c>
      <c r="M555" s="4">
        <v>0</v>
      </c>
      <c r="N555">
        <v>5</v>
      </c>
      <c r="P555">
        <v>5</v>
      </c>
      <c r="Q555">
        <f>QtyRemaining*EstMfgMin/60</f>
        <v>0.41666666666666669</v>
      </c>
      <c r="U555" t="e">
        <f t="shared" si="18"/>
        <v>#REF!</v>
      </c>
      <c r="V555" s="5" t="e">
        <f t="shared" si="19"/>
        <v>#REF!</v>
      </c>
    </row>
    <row r="556" spans="1:22" x14ac:dyDescent="0.25">
      <c r="A556" s="2">
        <v>46035</v>
      </c>
      <c r="B556" s="2">
        <v>45827</v>
      </c>
      <c r="C556" t="s">
        <v>478</v>
      </c>
      <c r="D556">
        <v>3</v>
      </c>
      <c r="E556" t="s">
        <v>1221</v>
      </c>
      <c r="F556" t="s">
        <v>261</v>
      </c>
      <c r="G556" t="s">
        <v>540</v>
      </c>
      <c r="H556" t="s">
        <v>1222</v>
      </c>
      <c r="I556" t="s">
        <v>83</v>
      </c>
      <c r="J556" s="3" t="s">
        <v>1223</v>
      </c>
      <c r="K556" t="s">
        <v>1224</v>
      </c>
      <c r="L556" s="4">
        <v>36</v>
      </c>
      <c r="M556" s="4">
        <v>0</v>
      </c>
      <c r="N556">
        <v>36</v>
      </c>
      <c r="O556" t="s">
        <v>261</v>
      </c>
      <c r="P556">
        <v>131</v>
      </c>
      <c r="Q556">
        <f>QtyRemaining*EstMfgMin/60</f>
        <v>78.599999999999994</v>
      </c>
      <c r="U556" t="e">
        <f t="shared" si="18"/>
        <v>#REF!</v>
      </c>
      <c r="V556" s="5" t="e">
        <f t="shared" si="19"/>
        <v>#REF!</v>
      </c>
    </row>
    <row r="557" spans="1:22" x14ac:dyDescent="0.25">
      <c r="A557" s="2">
        <v>46035</v>
      </c>
      <c r="B557" s="2">
        <v>45827</v>
      </c>
      <c r="C557" t="s">
        <v>478</v>
      </c>
      <c r="D557">
        <v>3</v>
      </c>
      <c r="E557" t="s">
        <v>1221</v>
      </c>
      <c r="F557" t="s">
        <v>261</v>
      </c>
      <c r="G557" t="s">
        <v>540</v>
      </c>
      <c r="H557" t="s">
        <v>1222</v>
      </c>
      <c r="I557" t="s">
        <v>83</v>
      </c>
      <c r="J557" s="3" t="s">
        <v>1225</v>
      </c>
      <c r="K557" t="s">
        <v>1226</v>
      </c>
      <c r="L557" s="4">
        <v>36</v>
      </c>
      <c r="M557" s="4">
        <v>0</v>
      </c>
      <c r="N557">
        <v>36</v>
      </c>
      <c r="O557" t="s">
        <v>42</v>
      </c>
      <c r="P557">
        <v>63</v>
      </c>
      <c r="Q557">
        <f>QtyRemaining*EstMfgMin/60</f>
        <v>37.799999999999997</v>
      </c>
      <c r="U557" t="e">
        <f t="shared" si="18"/>
        <v>#REF!</v>
      </c>
      <c r="V557" s="5" t="e">
        <f t="shared" si="19"/>
        <v>#REF!</v>
      </c>
    </row>
    <row r="558" spans="1:22" x14ac:dyDescent="0.25">
      <c r="A558" s="2">
        <v>46037</v>
      </c>
      <c r="B558" s="2">
        <v>45783</v>
      </c>
      <c r="C558" t="s">
        <v>478</v>
      </c>
      <c r="D558">
        <v>3</v>
      </c>
      <c r="E558" t="s">
        <v>1227</v>
      </c>
      <c r="F558" t="s">
        <v>261</v>
      </c>
      <c r="G558" t="s">
        <v>1228</v>
      </c>
      <c r="H558" t="s">
        <v>1229</v>
      </c>
      <c r="I558" t="s">
        <v>83</v>
      </c>
      <c r="J558" s="3" t="s">
        <v>1230</v>
      </c>
      <c r="K558" t="s">
        <v>1231</v>
      </c>
      <c r="L558" s="4">
        <v>35</v>
      </c>
      <c r="M558" s="4">
        <v>1</v>
      </c>
      <c r="N558">
        <v>34</v>
      </c>
      <c r="O558" t="s">
        <v>457</v>
      </c>
      <c r="P558">
        <v>15</v>
      </c>
      <c r="Q558">
        <f>QtyRemaining*EstMfgMin/60</f>
        <v>8.5</v>
      </c>
      <c r="S558" t="s">
        <v>1026</v>
      </c>
      <c r="U558" t="e">
        <f t="shared" si="18"/>
        <v>#REF!</v>
      </c>
      <c r="V558" s="5" t="e">
        <f t="shared" si="19"/>
        <v>#REF!</v>
      </c>
    </row>
    <row r="559" spans="1:22" x14ac:dyDescent="0.25">
      <c r="A559" s="2">
        <v>46037</v>
      </c>
      <c r="B559" s="2">
        <v>46020</v>
      </c>
      <c r="C559" t="s">
        <v>485</v>
      </c>
      <c r="D559">
        <v>3</v>
      </c>
      <c r="E559" t="s">
        <v>1232</v>
      </c>
      <c r="F559" t="s">
        <v>211</v>
      </c>
      <c r="G559" t="s">
        <v>487</v>
      </c>
      <c r="H559" t="s">
        <v>1233</v>
      </c>
      <c r="I559" t="s">
        <v>214</v>
      </c>
      <c r="J559" s="3" t="s">
        <v>1234</v>
      </c>
      <c r="K559" t="s">
        <v>1235</v>
      </c>
      <c r="L559" s="4">
        <v>16</v>
      </c>
      <c r="M559" s="4">
        <v>0</v>
      </c>
      <c r="N559">
        <v>16</v>
      </c>
      <c r="O559" t="s">
        <v>1236</v>
      </c>
      <c r="P559">
        <v>145</v>
      </c>
      <c r="Q559">
        <f>QtyRemaining*EstMfgMin/60</f>
        <v>38.666666666666664</v>
      </c>
      <c r="U559" t="e">
        <f t="shared" si="18"/>
        <v>#REF!</v>
      </c>
      <c r="V559" s="5" t="e">
        <f t="shared" si="19"/>
        <v>#REF!</v>
      </c>
    </row>
    <row r="560" spans="1:22" x14ac:dyDescent="0.25">
      <c r="A560" s="2">
        <v>46038</v>
      </c>
      <c r="B560" s="2">
        <v>45656</v>
      </c>
      <c r="C560" t="s">
        <v>478</v>
      </c>
      <c r="D560">
        <v>3</v>
      </c>
      <c r="E560" t="s">
        <v>1237</v>
      </c>
      <c r="F560" t="s">
        <v>261</v>
      </c>
      <c r="G560" t="s">
        <v>1021</v>
      </c>
      <c r="H560" t="s">
        <v>1238</v>
      </c>
      <c r="I560" t="s">
        <v>83</v>
      </c>
      <c r="J560" s="3" t="s">
        <v>1239</v>
      </c>
      <c r="K560" t="s">
        <v>1240</v>
      </c>
      <c r="L560" s="4">
        <v>12</v>
      </c>
      <c r="M560" s="4">
        <v>10</v>
      </c>
      <c r="N560">
        <v>2</v>
      </c>
      <c r="O560" t="s">
        <v>643</v>
      </c>
      <c r="P560">
        <v>191</v>
      </c>
      <c r="Q560">
        <f>QtyRemaining*EstMfgMin/60</f>
        <v>6.3666666666666663</v>
      </c>
      <c r="U560" t="e">
        <f t="shared" si="18"/>
        <v>#REF!</v>
      </c>
      <c r="V560" s="5" t="e">
        <f t="shared" si="19"/>
        <v>#REF!</v>
      </c>
    </row>
    <row r="561" spans="1:22" x14ac:dyDescent="0.25">
      <c r="A561" s="2">
        <v>46038</v>
      </c>
      <c r="B561" s="2">
        <v>45840</v>
      </c>
      <c r="C561" t="s">
        <v>523</v>
      </c>
      <c r="D561">
        <v>3</v>
      </c>
      <c r="E561" t="s">
        <v>1241</v>
      </c>
      <c r="F561" t="s">
        <v>261</v>
      </c>
      <c r="G561" t="s">
        <v>1242</v>
      </c>
      <c r="H561" t="s">
        <v>1243</v>
      </c>
      <c r="I561" t="s">
        <v>83</v>
      </c>
      <c r="J561" s="3" t="s">
        <v>1244</v>
      </c>
      <c r="K561" t="s">
        <v>1245</v>
      </c>
      <c r="L561" s="4">
        <v>10</v>
      </c>
      <c r="M561" s="4">
        <v>5</v>
      </c>
      <c r="N561">
        <v>5</v>
      </c>
      <c r="O561" t="s">
        <v>118</v>
      </c>
      <c r="P561">
        <v>1050</v>
      </c>
      <c r="Q561">
        <f>QtyRemaining*EstMfgMin/60</f>
        <v>87.5</v>
      </c>
      <c r="U561" t="e">
        <f t="shared" si="18"/>
        <v>#REF!</v>
      </c>
      <c r="V561" s="5" t="e">
        <f t="shared" si="19"/>
        <v>#REF!</v>
      </c>
    </row>
    <row r="562" spans="1:22" x14ac:dyDescent="0.25">
      <c r="A562" s="2">
        <v>46038</v>
      </c>
      <c r="B562" s="2">
        <v>45840</v>
      </c>
      <c r="C562" t="s">
        <v>523</v>
      </c>
      <c r="D562">
        <v>3</v>
      </c>
      <c r="E562" t="s">
        <v>1241</v>
      </c>
      <c r="F562" t="s">
        <v>261</v>
      </c>
      <c r="G562" t="s">
        <v>1242</v>
      </c>
      <c r="H562" t="s">
        <v>1243</v>
      </c>
      <c r="I562" t="s">
        <v>874</v>
      </c>
      <c r="J562" s="3" t="s">
        <v>494</v>
      </c>
      <c r="K562" t="s">
        <v>1246</v>
      </c>
      <c r="L562" s="4">
        <v>1</v>
      </c>
      <c r="M562" s="4">
        <v>0</v>
      </c>
      <c r="N562">
        <v>1</v>
      </c>
      <c r="P562">
        <v>0</v>
      </c>
      <c r="Q562">
        <f>QtyRemaining*EstMfgMin/60</f>
        <v>0</v>
      </c>
      <c r="U562" t="e">
        <f t="shared" si="18"/>
        <v>#REF!</v>
      </c>
      <c r="V562" s="5" t="e">
        <f t="shared" si="19"/>
        <v>#REF!</v>
      </c>
    </row>
    <row r="563" spans="1:22" x14ac:dyDescent="0.25">
      <c r="A563" s="2">
        <v>46038</v>
      </c>
      <c r="B563" s="2">
        <v>45975</v>
      </c>
      <c r="C563" t="s">
        <v>465</v>
      </c>
      <c r="D563">
        <v>3</v>
      </c>
      <c r="E563" t="s">
        <v>1198</v>
      </c>
      <c r="F563" t="s">
        <v>211</v>
      </c>
      <c r="G563" t="s">
        <v>467</v>
      </c>
      <c r="H563" t="s">
        <v>1199</v>
      </c>
      <c r="I563" t="s">
        <v>214</v>
      </c>
      <c r="J563" s="3" t="s">
        <v>1247</v>
      </c>
      <c r="K563" t="s">
        <v>1248</v>
      </c>
      <c r="L563" s="4">
        <v>7</v>
      </c>
      <c r="M563" s="4">
        <v>0</v>
      </c>
      <c r="N563">
        <v>7</v>
      </c>
      <c r="O563" t="s">
        <v>94</v>
      </c>
      <c r="P563">
        <v>78</v>
      </c>
      <c r="Q563">
        <f>QtyRemaining*EstMfgMin/60</f>
        <v>9.1</v>
      </c>
      <c r="U563" t="e">
        <f t="shared" si="18"/>
        <v>#REF!</v>
      </c>
      <c r="V563" s="5" t="e">
        <f t="shared" si="19"/>
        <v>#REF!</v>
      </c>
    </row>
    <row r="564" spans="1:22" x14ac:dyDescent="0.25">
      <c r="A564" s="2">
        <v>46038</v>
      </c>
      <c r="B564" s="2">
        <v>46043</v>
      </c>
      <c r="C564" t="s">
        <v>465</v>
      </c>
      <c r="D564">
        <v>3</v>
      </c>
      <c r="E564" t="s">
        <v>1249</v>
      </c>
      <c r="F564" t="s">
        <v>211</v>
      </c>
      <c r="G564" t="s">
        <v>467</v>
      </c>
      <c r="H564" t="s">
        <v>1250</v>
      </c>
      <c r="I564" t="s">
        <v>214</v>
      </c>
      <c r="J564" s="3" t="s">
        <v>1251</v>
      </c>
      <c r="K564" t="s">
        <v>1252</v>
      </c>
      <c r="L564" s="4">
        <v>1</v>
      </c>
      <c r="M564" s="4">
        <v>0</v>
      </c>
      <c r="N564">
        <v>1</v>
      </c>
      <c r="O564" t="s">
        <v>176</v>
      </c>
      <c r="P564">
        <v>75</v>
      </c>
      <c r="Q564">
        <f>QtyRemaining*EstMfgMin/60</f>
        <v>1.25</v>
      </c>
      <c r="U564" t="e">
        <f t="shared" si="18"/>
        <v>#REF!</v>
      </c>
      <c r="V564" s="5" t="e">
        <f t="shared" si="19"/>
        <v>#REF!</v>
      </c>
    </row>
    <row r="565" spans="1:22" x14ac:dyDescent="0.25">
      <c r="A565" s="2">
        <v>46041</v>
      </c>
      <c r="B565" s="2">
        <v>45917</v>
      </c>
      <c r="C565" t="s">
        <v>465</v>
      </c>
      <c r="D565">
        <v>4</v>
      </c>
      <c r="E565" t="s">
        <v>1253</v>
      </c>
      <c r="F565" t="s">
        <v>211</v>
      </c>
      <c r="G565" t="s">
        <v>467</v>
      </c>
      <c r="H565" t="s">
        <v>1254</v>
      </c>
      <c r="I565" t="s">
        <v>214</v>
      </c>
      <c r="J565" s="3" t="s">
        <v>1255</v>
      </c>
      <c r="K565" t="s">
        <v>1256</v>
      </c>
      <c r="L565" s="4">
        <v>1</v>
      </c>
      <c r="M565" s="4">
        <v>0</v>
      </c>
      <c r="N565">
        <v>1</v>
      </c>
      <c r="O565" t="s">
        <v>457</v>
      </c>
      <c r="P565">
        <v>18</v>
      </c>
      <c r="Q565">
        <f>QtyRemaining*EstMfgMin/60</f>
        <v>0.3</v>
      </c>
      <c r="U565" t="e">
        <f t="shared" si="18"/>
        <v>#REF!</v>
      </c>
      <c r="V565" s="5" t="e">
        <f t="shared" si="19"/>
        <v>#REF!</v>
      </c>
    </row>
    <row r="566" spans="1:22" x14ac:dyDescent="0.25">
      <c r="A566" s="2">
        <v>46041</v>
      </c>
      <c r="B566" s="2">
        <v>46021</v>
      </c>
      <c r="C566" t="s">
        <v>485</v>
      </c>
      <c r="D566">
        <v>4</v>
      </c>
      <c r="E566" t="s">
        <v>1257</v>
      </c>
      <c r="F566" t="s">
        <v>211</v>
      </c>
      <c r="G566" t="s">
        <v>1211</v>
      </c>
      <c r="H566" t="s">
        <v>1258</v>
      </c>
      <c r="I566" t="s">
        <v>214</v>
      </c>
      <c r="J566" s="3" t="s">
        <v>1259</v>
      </c>
      <c r="K566" t="s">
        <v>1260</v>
      </c>
      <c r="L566" s="4">
        <v>100</v>
      </c>
      <c r="M566" s="4">
        <v>0</v>
      </c>
      <c r="N566">
        <v>100</v>
      </c>
      <c r="O566" t="s">
        <v>1261</v>
      </c>
      <c r="P566">
        <v>12</v>
      </c>
      <c r="Q566">
        <f>QtyRemaining*EstMfgMin/60</f>
        <v>20</v>
      </c>
      <c r="U566" t="e">
        <f t="shared" si="18"/>
        <v>#REF!</v>
      </c>
      <c r="V566" s="5" t="e">
        <f t="shared" si="19"/>
        <v>#REF!</v>
      </c>
    </row>
    <row r="567" spans="1:22" x14ac:dyDescent="0.25">
      <c r="A567" s="2">
        <v>46041</v>
      </c>
      <c r="B567" s="2">
        <v>46021</v>
      </c>
      <c r="C567" t="s">
        <v>485</v>
      </c>
      <c r="D567">
        <v>4</v>
      </c>
      <c r="E567" t="s">
        <v>1257</v>
      </c>
      <c r="F567" t="s">
        <v>211</v>
      </c>
      <c r="G567" t="s">
        <v>1211</v>
      </c>
      <c r="H567" t="s">
        <v>1258</v>
      </c>
      <c r="I567" t="s">
        <v>214</v>
      </c>
      <c r="J567" s="3" t="s">
        <v>1262</v>
      </c>
      <c r="K567" t="s">
        <v>1263</v>
      </c>
      <c r="L567" s="4">
        <v>100</v>
      </c>
      <c r="M567" s="4">
        <v>0</v>
      </c>
      <c r="N567">
        <v>100</v>
      </c>
      <c r="O567" t="s">
        <v>1261</v>
      </c>
      <c r="P567">
        <v>20</v>
      </c>
      <c r="Q567">
        <f>QtyRemaining*EstMfgMin/60</f>
        <v>33.333333333333336</v>
      </c>
      <c r="U567" t="e">
        <f t="shared" si="18"/>
        <v>#REF!</v>
      </c>
      <c r="V567" s="5" t="e">
        <f t="shared" si="19"/>
        <v>#REF!</v>
      </c>
    </row>
    <row r="568" spans="1:22" x14ac:dyDescent="0.25">
      <c r="A568" s="2">
        <v>46041</v>
      </c>
      <c r="B568" s="2">
        <v>46021</v>
      </c>
      <c r="C568" t="s">
        <v>485</v>
      </c>
      <c r="D568">
        <v>4</v>
      </c>
      <c r="E568" t="s">
        <v>1257</v>
      </c>
      <c r="F568" t="s">
        <v>211</v>
      </c>
      <c r="G568" t="s">
        <v>1211</v>
      </c>
      <c r="H568" t="s">
        <v>1258</v>
      </c>
      <c r="I568" t="s">
        <v>214</v>
      </c>
      <c r="J568" s="3" t="s">
        <v>1264</v>
      </c>
      <c r="K568" t="s">
        <v>1265</v>
      </c>
      <c r="L568" s="4">
        <v>36</v>
      </c>
      <c r="M568" s="4">
        <v>0</v>
      </c>
      <c r="N568">
        <v>36</v>
      </c>
      <c r="O568" t="s">
        <v>86</v>
      </c>
      <c r="P568">
        <v>3</v>
      </c>
      <c r="Q568">
        <f>QtyRemaining*EstMfgMin/60</f>
        <v>1.8</v>
      </c>
      <c r="U568" t="e">
        <f t="shared" si="18"/>
        <v>#REF!</v>
      </c>
      <c r="V568" s="5" t="e">
        <f t="shared" si="19"/>
        <v>#REF!</v>
      </c>
    </row>
    <row r="569" spans="1:22" x14ac:dyDescent="0.25">
      <c r="A569" s="2">
        <v>46041</v>
      </c>
      <c r="B569" s="2">
        <v>46021</v>
      </c>
      <c r="C569" t="s">
        <v>485</v>
      </c>
      <c r="D569">
        <v>4</v>
      </c>
      <c r="E569" t="s">
        <v>1257</v>
      </c>
      <c r="F569" t="s">
        <v>211</v>
      </c>
      <c r="G569" t="s">
        <v>1211</v>
      </c>
      <c r="H569" t="s">
        <v>1258</v>
      </c>
      <c r="I569" t="s">
        <v>214</v>
      </c>
      <c r="J569" s="3" t="s">
        <v>1266</v>
      </c>
      <c r="K569" t="s">
        <v>1267</v>
      </c>
      <c r="L569" s="4">
        <v>23</v>
      </c>
      <c r="M569" s="4">
        <v>0</v>
      </c>
      <c r="N569">
        <v>23</v>
      </c>
      <c r="O569" t="s">
        <v>1268</v>
      </c>
      <c r="P569">
        <v>21</v>
      </c>
      <c r="Q569">
        <f>QtyRemaining*EstMfgMin/60</f>
        <v>8.0500000000000007</v>
      </c>
      <c r="U569" t="e">
        <f t="shared" si="18"/>
        <v>#REF!</v>
      </c>
      <c r="V569" s="5" t="e">
        <f t="shared" si="19"/>
        <v>#REF!</v>
      </c>
    </row>
    <row r="570" spans="1:22" x14ac:dyDescent="0.25">
      <c r="A570" s="2">
        <v>46041</v>
      </c>
      <c r="B570" s="2">
        <v>46021</v>
      </c>
      <c r="C570" t="s">
        <v>485</v>
      </c>
      <c r="D570">
        <v>4</v>
      </c>
      <c r="E570" t="s">
        <v>1257</v>
      </c>
      <c r="F570" t="s">
        <v>211</v>
      </c>
      <c r="G570" t="s">
        <v>1211</v>
      </c>
      <c r="H570" t="s">
        <v>1258</v>
      </c>
      <c r="I570" t="s">
        <v>214</v>
      </c>
      <c r="J570" s="3" t="s">
        <v>1269</v>
      </c>
      <c r="K570" t="s">
        <v>1270</v>
      </c>
      <c r="L570" s="4">
        <v>23</v>
      </c>
      <c r="M570" s="4">
        <v>0</v>
      </c>
      <c r="N570">
        <v>23</v>
      </c>
      <c r="O570" t="s">
        <v>1271</v>
      </c>
      <c r="P570">
        <v>12</v>
      </c>
      <c r="Q570">
        <f>QtyRemaining*EstMfgMin/60</f>
        <v>4.5999999999999996</v>
      </c>
      <c r="U570" t="e">
        <f t="shared" si="18"/>
        <v>#REF!</v>
      </c>
      <c r="V570" s="5" t="e">
        <f t="shared" si="19"/>
        <v>#REF!</v>
      </c>
    </row>
    <row r="571" spans="1:22" x14ac:dyDescent="0.25">
      <c r="A571" s="2">
        <v>46041</v>
      </c>
      <c r="B571" s="2">
        <v>46021</v>
      </c>
      <c r="C571" t="s">
        <v>485</v>
      </c>
      <c r="D571">
        <v>4</v>
      </c>
      <c r="E571" t="s">
        <v>1257</v>
      </c>
      <c r="F571" t="s">
        <v>211</v>
      </c>
      <c r="G571" t="s">
        <v>1211</v>
      </c>
      <c r="H571" t="s">
        <v>1258</v>
      </c>
      <c r="I571" t="s">
        <v>214</v>
      </c>
      <c r="J571" s="3" t="s">
        <v>1272</v>
      </c>
      <c r="K571" t="s">
        <v>1273</v>
      </c>
      <c r="L571" s="4">
        <v>100</v>
      </c>
      <c r="M571" s="4">
        <v>0</v>
      </c>
      <c r="N571">
        <v>100</v>
      </c>
      <c r="O571" t="s">
        <v>86</v>
      </c>
      <c r="P571">
        <v>1</v>
      </c>
      <c r="Q571">
        <f>QtyRemaining*EstMfgMin/60</f>
        <v>1.6666666666666667</v>
      </c>
      <c r="U571" t="e">
        <f t="shared" si="18"/>
        <v>#REF!</v>
      </c>
      <c r="V571" s="5" t="e">
        <f t="shared" si="19"/>
        <v>#REF!</v>
      </c>
    </row>
    <row r="572" spans="1:22" x14ac:dyDescent="0.25">
      <c r="A572" s="2">
        <v>46041</v>
      </c>
      <c r="B572" s="2">
        <v>46021</v>
      </c>
      <c r="C572" t="s">
        <v>485</v>
      </c>
      <c r="D572">
        <v>4</v>
      </c>
      <c r="E572" t="s">
        <v>1257</v>
      </c>
      <c r="F572" t="s">
        <v>211</v>
      </c>
      <c r="G572" t="s">
        <v>1211</v>
      </c>
      <c r="H572" t="s">
        <v>1258</v>
      </c>
      <c r="I572" t="s">
        <v>214</v>
      </c>
      <c r="J572" s="3" t="s">
        <v>1274</v>
      </c>
      <c r="K572" t="s">
        <v>1275</v>
      </c>
      <c r="L572" s="4">
        <v>30</v>
      </c>
      <c r="M572" s="4">
        <v>0</v>
      </c>
      <c r="N572">
        <v>30</v>
      </c>
      <c r="O572" t="s">
        <v>86</v>
      </c>
      <c r="P572">
        <v>3</v>
      </c>
      <c r="Q572">
        <f>QtyRemaining*EstMfgMin/60</f>
        <v>1.5</v>
      </c>
      <c r="U572" t="e">
        <f t="shared" si="18"/>
        <v>#REF!</v>
      </c>
      <c r="V572" s="5" t="e">
        <f t="shared" si="19"/>
        <v>#REF!</v>
      </c>
    </row>
    <row r="573" spans="1:22" x14ac:dyDescent="0.25">
      <c r="A573" s="2">
        <v>46041</v>
      </c>
      <c r="B573" s="2">
        <v>46021</v>
      </c>
      <c r="C573" t="s">
        <v>485</v>
      </c>
      <c r="D573">
        <v>4</v>
      </c>
      <c r="E573" t="s">
        <v>1257</v>
      </c>
      <c r="F573" t="s">
        <v>211</v>
      </c>
      <c r="G573" t="s">
        <v>1211</v>
      </c>
      <c r="H573" t="s">
        <v>1258</v>
      </c>
      <c r="I573" t="s">
        <v>214</v>
      </c>
      <c r="J573" s="3" t="s">
        <v>1276</v>
      </c>
      <c r="K573" t="s">
        <v>1277</v>
      </c>
      <c r="L573" s="4">
        <v>50</v>
      </c>
      <c r="M573" s="4">
        <v>0</v>
      </c>
      <c r="N573">
        <v>50</v>
      </c>
      <c r="O573" t="s">
        <v>176</v>
      </c>
      <c r="P573">
        <v>2</v>
      </c>
      <c r="Q573">
        <f>QtyRemaining*EstMfgMin/60</f>
        <v>1.6666666666666667</v>
      </c>
      <c r="U573" t="e">
        <f t="shared" si="18"/>
        <v>#REF!</v>
      </c>
      <c r="V573" s="5" t="e">
        <f t="shared" si="19"/>
        <v>#REF!</v>
      </c>
    </row>
    <row r="574" spans="1:22" x14ac:dyDescent="0.25">
      <c r="A574" s="2">
        <v>46041</v>
      </c>
      <c r="B574" s="2">
        <v>46021</v>
      </c>
      <c r="C574" t="s">
        <v>485</v>
      </c>
      <c r="D574">
        <v>4</v>
      </c>
      <c r="E574" t="s">
        <v>1257</v>
      </c>
      <c r="F574" t="s">
        <v>211</v>
      </c>
      <c r="G574" t="s">
        <v>1211</v>
      </c>
      <c r="H574" t="s">
        <v>1258</v>
      </c>
      <c r="I574" t="s">
        <v>214</v>
      </c>
      <c r="J574" s="3" t="s">
        <v>1278</v>
      </c>
      <c r="K574" t="s">
        <v>1279</v>
      </c>
      <c r="L574" s="4">
        <v>50</v>
      </c>
      <c r="M574" s="4">
        <v>0</v>
      </c>
      <c r="N574">
        <v>50</v>
      </c>
      <c r="O574" t="s">
        <v>176</v>
      </c>
      <c r="P574">
        <v>2</v>
      </c>
      <c r="Q574">
        <f>QtyRemaining*EstMfgMin/60</f>
        <v>1.6666666666666667</v>
      </c>
      <c r="U574" t="e">
        <f t="shared" si="18"/>
        <v>#REF!</v>
      </c>
      <c r="V574" s="5" t="e">
        <f t="shared" si="19"/>
        <v>#REF!</v>
      </c>
    </row>
    <row r="575" spans="1:22" x14ac:dyDescent="0.25">
      <c r="A575" s="2">
        <v>46041</v>
      </c>
      <c r="B575" s="2">
        <v>46021</v>
      </c>
      <c r="C575" t="s">
        <v>485</v>
      </c>
      <c r="D575">
        <v>4</v>
      </c>
      <c r="E575" t="s">
        <v>1257</v>
      </c>
      <c r="F575" t="s">
        <v>211</v>
      </c>
      <c r="G575" t="s">
        <v>1211</v>
      </c>
      <c r="H575" t="s">
        <v>1258</v>
      </c>
      <c r="I575" t="s">
        <v>214</v>
      </c>
      <c r="J575" s="3" t="s">
        <v>1280</v>
      </c>
      <c r="K575" t="s">
        <v>1281</v>
      </c>
      <c r="L575" s="4">
        <v>100</v>
      </c>
      <c r="M575" s="4">
        <v>0</v>
      </c>
      <c r="N575">
        <v>100</v>
      </c>
      <c r="O575" t="s">
        <v>176</v>
      </c>
      <c r="P575">
        <v>1</v>
      </c>
      <c r="Q575">
        <f>QtyRemaining*EstMfgMin/60</f>
        <v>1.6666666666666667</v>
      </c>
      <c r="U575" t="e">
        <f t="shared" si="18"/>
        <v>#REF!</v>
      </c>
      <c r="V575" s="5" t="e">
        <f t="shared" si="19"/>
        <v>#REF!</v>
      </c>
    </row>
    <row r="576" spans="1:22" x14ac:dyDescent="0.25">
      <c r="A576" s="2">
        <v>46041</v>
      </c>
      <c r="B576" s="2">
        <v>46021</v>
      </c>
      <c r="C576" t="s">
        <v>485</v>
      </c>
      <c r="D576">
        <v>4</v>
      </c>
      <c r="E576" t="s">
        <v>1257</v>
      </c>
      <c r="F576" t="s">
        <v>211</v>
      </c>
      <c r="G576" t="s">
        <v>1211</v>
      </c>
      <c r="H576" t="s">
        <v>1258</v>
      </c>
      <c r="I576" t="s">
        <v>214</v>
      </c>
      <c r="J576" s="3" t="s">
        <v>1282</v>
      </c>
      <c r="K576" t="s">
        <v>1283</v>
      </c>
      <c r="L576" s="4">
        <v>50</v>
      </c>
      <c r="M576" s="4">
        <v>0</v>
      </c>
      <c r="N576">
        <v>50</v>
      </c>
      <c r="O576" t="s">
        <v>176</v>
      </c>
      <c r="P576">
        <v>1</v>
      </c>
      <c r="Q576">
        <f>QtyRemaining*EstMfgMin/60</f>
        <v>0.83333333333333337</v>
      </c>
      <c r="U576" t="e">
        <f t="shared" si="18"/>
        <v>#REF!</v>
      </c>
      <c r="V576" s="5" t="e">
        <f t="shared" si="19"/>
        <v>#REF!</v>
      </c>
    </row>
    <row r="577" spans="1:22" x14ac:dyDescent="0.25">
      <c r="A577" s="2">
        <v>46041</v>
      </c>
      <c r="B577" s="2">
        <v>46021</v>
      </c>
      <c r="C577" t="s">
        <v>485</v>
      </c>
      <c r="D577">
        <v>4</v>
      </c>
      <c r="E577" t="s">
        <v>1257</v>
      </c>
      <c r="F577" t="s">
        <v>211</v>
      </c>
      <c r="G577" t="s">
        <v>1211</v>
      </c>
      <c r="H577" t="s">
        <v>1258</v>
      </c>
      <c r="I577" t="s">
        <v>214</v>
      </c>
      <c r="J577" s="3" t="s">
        <v>1284</v>
      </c>
      <c r="K577" t="s">
        <v>1285</v>
      </c>
      <c r="L577" s="4">
        <v>23</v>
      </c>
      <c r="M577" s="4">
        <v>0</v>
      </c>
      <c r="N577">
        <v>23</v>
      </c>
      <c r="O577" t="s">
        <v>1286</v>
      </c>
      <c r="P577">
        <v>19</v>
      </c>
      <c r="Q577">
        <f>QtyRemaining*EstMfgMin/60</f>
        <v>7.2833333333333332</v>
      </c>
      <c r="U577" t="e">
        <f t="shared" si="18"/>
        <v>#REF!</v>
      </c>
      <c r="V577" s="5" t="e">
        <f t="shared" si="19"/>
        <v>#REF!</v>
      </c>
    </row>
    <row r="578" spans="1:22" x14ac:dyDescent="0.25">
      <c r="A578" s="2">
        <v>46041</v>
      </c>
      <c r="B578" s="2">
        <v>46021</v>
      </c>
      <c r="C578" t="s">
        <v>485</v>
      </c>
      <c r="D578">
        <v>4</v>
      </c>
      <c r="E578" t="s">
        <v>1257</v>
      </c>
      <c r="F578" t="s">
        <v>211</v>
      </c>
      <c r="G578" t="s">
        <v>1211</v>
      </c>
      <c r="H578" t="s">
        <v>1258</v>
      </c>
      <c r="I578" t="s">
        <v>214</v>
      </c>
      <c r="J578" s="3" t="s">
        <v>1287</v>
      </c>
      <c r="K578" t="s">
        <v>1288</v>
      </c>
      <c r="L578" s="4">
        <v>50</v>
      </c>
      <c r="M578" s="4">
        <v>0</v>
      </c>
      <c r="N578">
        <v>50</v>
      </c>
      <c r="O578" t="s">
        <v>1268</v>
      </c>
      <c r="P578">
        <v>5</v>
      </c>
      <c r="Q578">
        <f>QtyRemaining*EstMfgMin/60</f>
        <v>4.166666666666667</v>
      </c>
      <c r="U578" t="e">
        <f t="shared" si="18"/>
        <v>#REF!</v>
      </c>
      <c r="V578" s="5" t="e">
        <f t="shared" si="19"/>
        <v>#REF!</v>
      </c>
    </row>
    <row r="579" spans="1:22" x14ac:dyDescent="0.25">
      <c r="A579" s="2">
        <v>46041</v>
      </c>
      <c r="B579" s="2">
        <v>46021</v>
      </c>
      <c r="C579" t="s">
        <v>485</v>
      </c>
      <c r="D579">
        <v>4</v>
      </c>
      <c r="E579" t="s">
        <v>1257</v>
      </c>
      <c r="F579" t="s">
        <v>211</v>
      </c>
      <c r="G579" t="s">
        <v>1211</v>
      </c>
      <c r="H579" t="s">
        <v>1258</v>
      </c>
      <c r="I579" t="s">
        <v>214</v>
      </c>
      <c r="J579" s="3" t="s">
        <v>1289</v>
      </c>
      <c r="K579" t="s">
        <v>1290</v>
      </c>
      <c r="L579" s="4">
        <v>50</v>
      </c>
      <c r="M579" s="4">
        <v>0</v>
      </c>
      <c r="N579">
        <v>50</v>
      </c>
      <c r="O579" t="s">
        <v>1268</v>
      </c>
      <c r="P579">
        <v>5</v>
      </c>
      <c r="Q579">
        <f>QtyRemaining*EstMfgMin/60</f>
        <v>4.166666666666667</v>
      </c>
      <c r="U579" t="e">
        <f t="shared" ref="U579:U642" si="20">VLOOKUP(A579,Calendar,13,FALSE)</f>
        <v>#REF!</v>
      </c>
      <c r="V579" s="5" t="e">
        <f t="shared" ref="V579:V642" si="21">VLOOKUP(A579,Calendar,14,FALSE)</f>
        <v>#REF!</v>
      </c>
    </row>
    <row r="580" spans="1:22" x14ac:dyDescent="0.25">
      <c r="A580" s="2">
        <v>46041</v>
      </c>
      <c r="B580" s="2">
        <v>46021</v>
      </c>
      <c r="C580" t="s">
        <v>485</v>
      </c>
      <c r="D580">
        <v>4</v>
      </c>
      <c r="E580" t="s">
        <v>1257</v>
      </c>
      <c r="F580" t="s">
        <v>211</v>
      </c>
      <c r="G580" t="s">
        <v>1211</v>
      </c>
      <c r="H580" t="s">
        <v>1258</v>
      </c>
      <c r="I580" t="s">
        <v>214</v>
      </c>
      <c r="J580" s="3" t="s">
        <v>1291</v>
      </c>
      <c r="K580" t="s">
        <v>1292</v>
      </c>
      <c r="L580" s="4">
        <v>30</v>
      </c>
      <c r="M580" s="4">
        <v>0</v>
      </c>
      <c r="N580">
        <v>30</v>
      </c>
      <c r="O580" t="s">
        <v>1268</v>
      </c>
      <c r="P580">
        <v>5</v>
      </c>
      <c r="Q580">
        <f>QtyRemaining*EstMfgMin/60</f>
        <v>2.5</v>
      </c>
      <c r="U580" t="e">
        <f t="shared" si="20"/>
        <v>#REF!</v>
      </c>
      <c r="V580" s="5" t="e">
        <f t="shared" si="21"/>
        <v>#REF!</v>
      </c>
    </row>
    <row r="581" spans="1:22" x14ac:dyDescent="0.25">
      <c r="A581" s="2">
        <v>46041</v>
      </c>
      <c r="B581" s="2">
        <v>46021</v>
      </c>
      <c r="C581" t="s">
        <v>485</v>
      </c>
      <c r="D581">
        <v>4</v>
      </c>
      <c r="E581" t="s">
        <v>1257</v>
      </c>
      <c r="F581" t="s">
        <v>211</v>
      </c>
      <c r="G581" t="s">
        <v>1211</v>
      </c>
      <c r="H581" t="s">
        <v>1258</v>
      </c>
      <c r="I581" t="s">
        <v>214</v>
      </c>
      <c r="J581" s="3" t="s">
        <v>1293</v>
      </c>
      <c r="K581" t="s">
        <v>1294</v>
      </c>
      <c r="L581" s="4">
        <v>30</v>
      </c>
      <c r="M581" s="4">
        <v>0</v>
      </c>
      <c r="N581">
        <v>30</v>
      </c>
      <c r="O581" t="s">
        <v>1268</v>
      </c>
      <c r="P581">
        <v>7</v>
      </c>
      <c r="Q581">
        <f>QtyRemaining*EstMfgMin/60</f>
        <v>3.5</v>
      </c>
      <c r="U581" t="e">
        <f t="shared" si="20"/>
        <v>#REF!</v>
      </c>
      <c r="V581" s="5" t="e">
        <f t="shared" si="21"/>
        <v>#REF!</v>
      </c>
    </row>
    <row r="582" spans="1:22" x14ac:dyDescent="0.25">
      <c r="A582" s="2">
        <v>46041</v>
      </c>
      <c r="B582" s="2">
        <v>46021</v>
      </c>
      <c r="C582" t="s">
        <v>485</v>
      </c>
      <c r="D582">
        <v>4</v>
      </c>
      <c r="E582" t="s">
        <v>1257</v>
      </c>
      <c r="F582" t="s">
        <v>211</v>
      </c>
      <c r="G582" t="s">
        <v>1211</v>
      </c>
      <c r="H582" t="s">
        <v>1258</v>
      </c>
      <c r="I582" t="s">
        <v>214</v>
      </c>
      <c r="J582" s="3" t="s">
        <v>1295</v>
      </c>
      <c r="K582" t="s">
        <v>1296</v>
      </c>
      <c r="L582" s="4">
        <v>30</v>
      </c>
      <c r="M582" s="4">
        <v>0</v>
      </c>
      <c r="N582">
        <v>30</v>
      </c>
      <c r="O582" t="s">
        <v>1297</v>
      </c>
      <c r="P582">
        <v>3</v>
      </c>
      <c r="Q582">
        <f>QtyRemaining*EstMfgMin/60</f>
        <v>1.5</v>
      </c>
      <c r="U582" t="e">
        <f t="shared" si="20"/>
        <v>#REF!</v>
      </c>
      <c r="V582" s="5" t="e">
        <f t="shared" si="21"/>
        <v>#REF!</v>
      </c>
    </row>
    <row r="583" spans="1:22" x14ac:dyDescent="0.25">
      <c r="A583" s="2">
        <v>46041</v>
      </c>
      <c r="B583" s="2">
        <v>46021</v>
      </c>
      <c r="C583" t="s">
        <v>485</v>
      </c>
      <c r="D583">
        <v>4</v>
      </c>
      <c r="E583" t="s">
        <v>1257</v>
      </c>
      <c r="F583" t="s">
        <v>211</v>
      </c>
      <c r="G583" t="s">
        <v>1211</v>
      </c>
      <c r="H583" t="s">
        <v>1258</v>
      </c>
      <c r="I583" t="s">
        <v>214</v>
      </c>
      <c r="J583" s="3" t="s">
        <v>1298</v>
      </c>
      <c r="K583" t="s">
        <v>1299</v>
      </c>
      <c r="L583" s="4">
        <v>30</v>
      </c>
      <c r="M583" s="4">
        <v>0</v>
      </c>
      <c r="N583">
        <v>30</v>
      </c>
      <c r="O583" t="s">
        <v>1297</v>
      </c>
      <c r="P583">
        <v>4</v>
      </c>
      <c r="Q583">
        <f>QtyRemaining*EstMfgMin/60</f>
        <v>2</v>
      </c>
      <c r="U583" t="e">
        <f t="shared" si="20"/>
        <v>#REF!</v>
      </c>
      <c r="V583" s="5" t="e">
        <f t="shared" si="21"/>
        <v>#REF!</v>
      </c>
    </row>
    <row r="584" spans="1:22" x14ac:dyDescent="0.25">
      <c r="A584" s="2">
        <v>46041</v>
      </c>
      <c r="B584" s="2">
        <v>46021</v>
      </c>
      <c r="C584" t="s">
        <v>485</v>
      </c>
      <c r="D584">
        <v>4</v>
      </c>
      <c r="E584" t="s">
        <v>1257</v>
      </c>
      <c r="F584" t="s">
        <v>211</v>
      </c>
      <c r="G584" t="s">
        <v>1211</v>
      </c>
      <c r="H584" t="s">
        <v>1258</v>
      </c>
      <c r="I584" t="s">
        <v>214</v>
      </c>
      <c r="J584" s="3" t="s">
        <v>1300</v>
      </c>
      <c r="K584" t="s">
        <v>1301</v>
      </c>
      <c r="L584" s="4">
        <v>50</v>
      </c>
      <c r="M584" s="4">
        <v>0</v>
      </c>
      <c r="N584">
        <v>50</v>
      </c>
      <c r="O584" t="s">
        <v>1268</v>
      </c>
      <c r="P584">
        <v>4</v>
      </c>
      <c r="Q584">
        <f>QtyRemaining*EstMfgMin/60</f>
        <v>3.3333333333333335</v>
      </c>
      <c r="U584" t="e">
        <f t="shared" si="20"/>
        <v>#REF!</v>
      </c>
      <c r="V584" s="5" t="e">
        <f t="shared" si="21"/>
        <v>#REF!</v>
      </c>
    </row>
    <row r="585" spans="1:22" x14ac:dyDescent="0.25">
      <c r="A585" s="2">
        <v>46041</v>
      </c>
      <c r="B585" s="2">
        <v>46021</v>
      </c>
      <c r="C585" t="s">
        <v>485</v>
      </c>
      <c r="D585">
        <v>4</v>
      </c>
      <c r="E585" t="s">
        <v>1257</v>
      </c>
      <c r="F585" t="s">
        <v>211</v>
      </c>
      <c r="G585" t="s">
        <v>1211</v>
      </c>
      <c r="H585" t="s">
        <v>1258</v>
      </c>
      <c r="I585" t="s">
        <v>214</v>
      </c>
      <c r="J585" s="3" t="s">
        <v>1302</v>
      </c>
      <c r="K585" t="s">
        <v>1303</v>
      </c>
      <c r="L585" s="4">
        <v>100</v>
      </c>
      <c r="M585" s="4">
        <v>0</v>
      </c>
      <c r="N585">
        <v>100</v>
      </c>
      <c r="O585" t="s">
        <v>1268</v>
      </c>
      <c r="P585">
        <v>1</v>
      </c>
      <c r="Q585">
        <f>QtyRemaining*EstMfgMin/60</f>
        <v>1.6666666666666667</v>
      </c>
      <c r="U585" t="e">
        <f t="shared" si="20"/>
        <v>#REF!</v>
      </c>
      <c r="V585" s="5" t="e">
        <f t="shared" si="21"/>
        <v>#REF!</v>
      </c>
    </row>
    <row r="586" spans="1:22" x14ac:dyDescent="0.25">
      <c r="A586" s="2">
        <v>46041</v>
      </c>
      <c r="B586" s="2">
        <v>46021</v>
      </c>
      <c r="C586" t="s">
        <v>485</v>
      </c>
      <c r="D586">
        <v>4</v>
      </c>
      <c r="E586" t="s">
        <v>1257</v>
      </c>
      <c r="F586" t="s">
        <v>211</v>
      </c>
      <c r="G586" t="s">
        <v>1211</v>
      </c>
      <c r="H586" t="s">
        <v>1258</v>
      </c>
      <c r="I586" t="s">
        <v>214</v>
      </c>
      <c r="J586" s="3" t="s">
        <v>1304</v>
      </c>
      <c r="K586" t="s">
        <v>1305</v>
      </c>
      <c r="L586" s="4">
        <v>25</v>
      </c>
      <c r="M586" s="4">
        <v>0</v>
      </c>
      <c r="N586">
        <v>25</v>
      </c>
      <c r="O586" t="s">
        <v>1268</v>
      </c>
      <c r="P586">
        <v>5</v>
      </c>
      <c r="Q586">
        <f>QtyRemaining*EstMfgMin/60</f>
        <v>2.0833333333333335</v>
      </c>
      <c r="U586" t="e">
        <f t="shared" si="20"/>
        <v>#REF!</v>
      </c>
      <c r="V586" s="5" t="e">
        <f t="shared" si="21"/>
        <v>#REF!</v>
      </c>
    </row>
    <row r="587" spans="1:22" x14ac:dyDescent="0.25">
      <c r="A587" s="2">
        <v>46041</v>
      </c>
      <c r="B587" s="2">
        <v>46021</v>
      </c>
      <c r="C587" t="s">
        <v>485</v>
      </c>
      <c r="D587">
        <v>4</v>
      </c>
      <c r="E587" t="s">
        <v>1257</v>
      </c>
      <c r="F587" t="s">
        <v>211</v>
      </c>
      <c r="G587" t="s">
        <v>1211</v>
      </c>
      <c r="H587" t="s">
        <v>1258</v>
      </c>
      <c r="I587" t="s">
        <v>214</v>
      </c>
      <c r="J587" s="3" t="s">
        <v>1306</v>
      </c>
      <c r="K587" t="s">
        <v>1307</v>
      </c>
      <c r="L587" s="4">
        <v>15</v>
      </c>
      <c r="M587" s="4">
        <v>0</v>
      </c>
      <c r="N587">
        <v>15</v>
      </c>
      <c r="O587" t="s">
        <v>1268</v>
      </c>
      <c r="P587">
        <v>7</v>
      </c>
      <c r="Q587">
        <f>QtyRemaining*EstMfgMin/60</f>
        <v>1.75</v>
      </c>
      <c r="U587" t="e">
        <f t="shared" si="20"/>
        <v>#REF!</v>
      </c>
      <c r="V587" s="5" t="e">
        <f t="shared" si="21"/>
        <v>#REF!</v>
      </c>
    </row>
    <row r="588" spans="1:22" x14ac:dyDescent="0.25">
      <c r="A588" s="2">
        <v>46041</v>
      </c>
      <c r="B588" s="2">
        <v>46021</v>
      </c>
      <c r="C588" t="s">
        <v>485</v>
      </c>
      <c r="D588">
        <v>4</v>
      </c>
      <c r="E588" t="s">
        <v>1257</v>
      </c>
      <c r="F588" t="s">
        <v>211</v>
      </c>
      <c r="G588" t="s">
        <v>1211</v>
      </c>
      <c r="H588" t="s">
        <v>1258</v>
      </c>
      <c r="I588" t="s">
        <v>214</v>
      </c>
      <c r="J588" s="3" t="s">
        <v>1308</v>
      </c>
      <c r="K588" t="s">
        <v>1309</v>
      </c>
      <c r="L588" s="4">
        <v>20</v>
      </c>
      <c r="M588" s="4">
        <v>0</v>
      </c>
      <c r="N588">
        <v>20</v>
      </c>
      <c r="O588" t="s">
        <v>1297</v>
      </c>
      <c r="P588">
        <v>16</v>
      </c>
      <c r="Q588">
        <f>QtyRemaining*EstMfgMin/60</f>
        <v>5.333333333333333</v>
      </c>
      <c r="U588" t="e">
        <f t="shared" si="20"/>
        <v>#REF!</v>
      </c>
      <c r="V588" s="5" t="e">
        <f t="shared" si="21"/>
        <v>#REF!</v>
      </c>
    </row>
    <row r="589" spans="1:22" x14ac:dyDescent="0.25">
      <c r="A589" s="2">
        <v>46041</v>
      </c>
      <c r="B589" s="2">
        <v>46021</v>
      </c>
      <c r="C589" t="s">
        <v>485</v>
      </c>
      <c r="D589">
        <v>4</v>
      </c>
      <c r="E589" t="s">
        <v>1257</v>
      </c>
      <c r="F589" t="s">
        <v>211</v>
      </c>
      <c r="G589" t="s">
        <v>1211</v>
      </c>
      <c r="H589" t="s">
        <v>1258</v>
      </c>
      <c r="I589" t="s">
        <v>214</v>
      </c>
      <c r="J589" s="3" t="s">
        <v>1310</v>
      </c>
      <c r="K589" t="s">
        <v>1311</v>
      </c>
      <c r="L589" s="4">
        <v>20</v>
      </c>
      <c r="M589" s="4">
        <v>0</v>
      </c>
      <c r="N589">
        <v>20</v>
      </c>
      <c r="O589" t="s">
        <v>1268</v>
      </c>
      <c r="P589">
        <v>13</v>
      </c>
      <c r="Q589">
        <f>QtyRemaining*EstMfgMin/60</f>
        <v>4.333333333333333</v>
      </c>
      <c r="U589" t="e">
        <f t="shared" si="20"/>
        <v>#REF!</v>
      </c>
      <c r="V589" s="5" t="e">
        <f t="shared" si="21"/>
        <v>#REF!</v>
      </c>
    </row>
    <row r="590" spans="1:22" x14ac:dyDescent="0.25">
      <c r="A590" s="2">
        <v>46041</v>
      </c>
      <c r="B590" s="2">
        <v>46021</v>
      </c>
      <c r="C590" t="s">
        <v>485</v>
      </c>
      <c r="D590">
        <v>4</v>
      </c>
      <c r="E590" t="s">
        <v>1257</v>
      </c>
      <c r="F590" t="s">
        <v>211</v>
      </c>
      <c r="G590" t="s">
        <v>1211</v>
      </c>
      <c r="H590" t="s">
        <v>1258</v>
      </c>
      <c r="I590" t="s">
        <v>214</v>
      </c>
      <c r="J590" s="3" t="s">
        <v>1312</v>
      </c>
      <c r="K590" t="s">
        <v>1313</v>
      </c>
      <c r="L590" s="4">
        <v>50</v>
      </c>
      <c r="M590" s="4">
        <v>0</v>
      </c>
      <c r="N590">
        <v>50</v>
      </c>
      <c r="O590" t="s">
        <v>1268</v>
      </c>
      <c r="P590">
        <v>5</v>
      </c>
      <c r="Q590">
        <f>QtyRemaining*EstMfgMin/60</f>
        <v>4.166666666666667</v>
      </c>
      <c r="U590" t="e">
        <f t="shared" si="20"/>
        <v>#REF!</v>
      </c>
      <c r="V590" s="5" t="e">
        <f t="shared" si="21"/>
        <v>#REF!</v>
      </c>
    </row>
    <row r="591" spans="1:22" x14ac:dyDescent="0.25">
      <c r="A591" s="2">
        <v>46041</v>
      </c>
      <c r="B591" s="2">
        <v>46021</v>
      </c>
      <c r="C591" t="s">
        <v>485</v>
      </c>
      <c r="D591">
        <v>4</v>
      </c>
      <c r="E591" t="s">
        <v>1257</v>
      </c>
      <c r="F591" t="s">
        <v>211</v>
      </c>
      <c r="G591" t="s">
        <v>1211</v>
      </c>
      <c r="H591" t="s">
        <v>1258</v>
      </c>
      <c r="I591" t="s">
        <v>214</v>
      </c>
      <c r="J591" s="3" t="s">
        <v>1314</v>
      </c>
      <c r="K591" t="s">
        <v>1315</v>
      </c>
      <c r="L591" s="4">
        <v>30</v>
      </c>
      <c r="M591" s="4">
        <v>0</v>
      </c>
      <c r="N591">
        <v>30</v>
      </c>
      <c r="O591" t="s">
        <v>1297</v>
      </c>
      <c r="P591">
        <v>3</v>
      </c>
      <c r="Q591">
        <f>QtyRemaining*EstMfgMin/60</f>
        <v>1.5</v>
      </c>
      <c r="U591" t="e">
        <f t="shared" si="20"/>
        <v>#REF!</v>
      </c>
      <c r="V591" s="5" t="e">
        <f t="shared" si="21"/>
        <v>#REF!</v>
      </c>
    </row>
    <row r="592" spans="1:22" x14ac:dyDescent="0.25">
      <c r="A592" s="2">
        <v>46041</v>
      </c>
      <c r="B592" s="2">
        <v>46021</v>
      </c>
      <c r="C592" t="s">
        <v>485</v>
      </c>
      <c r="D592">
        <v>4</v>
      </c>
      <c r="E592" t="s">
        <v>1257</v>
      </c>
      <c r="F592" t="s">
        <v>211</v>
      </c>
      <c r="G592" t="s">
        <v>1211</v>
      </c>
      <c r="H592" t="s">
        <v>1258</v>
      </c>
      <c r="I592" t="s">
        <v>214</v>
      </c>
      <c r="J592" s="3" t="s">
        <v>1316</v>
      </c>
      <c r="K592" t="s">
        <v>1317</v>
      </c>
      <c r="L592" s="4">
        <v>30</v>
      </c>
      <c r="M592" s="4">
        <v>0</v>
      </c>
      <c r="N592">
        <v>30</v>
      </c>
      <c r="O592" t="s">
        <v>1268</v>
      </c>
      <c r="P592">
        <v>7</v>
      </c>
      <c r="Q592">
        <f>QtyRemaining*EstMfgMin/60</f>
        <v>3.5</v>
      </c>
      <c r="U592" t="e">
        <f t="shared" si="20"/>
        <v>#REF!</v>
      </c>
      <c r="V592" s="5" t="e">
        <f t="shared" si="21"/>
        <v>#REF!</v>
      </c>
    </row>
    <row r="593" spans="1:22" x14ac:dyDescent="0.25">
      <c r="A593" s="2">
        <v>46041</v>
      </c>
      <c r="B593" s="2">
        <v>46021</v>
      </c>
      <c r="C593" t="s">
        <v>485</v>
      </c>
      <c r="D593">
        <v>4</v>
      </c>
      <c r="E593" t="s">
        <v>1257</v>
      </c>
      <c r="F593" t="s">
        <v>211</v>
      </c>
      <c r="G593" t="s">
        <v>1211</v>
      </c>
      <c r="H593" t="s">
        <v>1258</v>
      </c>
      <c r="I593" t="s">
        <v>214</v>
      </c>
      <c r="J593" s="3" t="s">
        <v>1318</v>
      </c>
      <c r="K593" t="s">
        <v>1319</v>
      </c>
      <c r="L593" s="4">
        <v>20</v>
      </c>
      <c r="M593" s="4">
        <v>0</v>
      </c>
      <c r="N593">
        <v>20</v>
      </c>
      <c r="O593" t="s">
        <v>1268</v>
      </c>
      <c r="P593">
        <v>24</v>
      </c>
      <c r="Q593">
        <f>QtyRemaining*EstMfgMin/60</f>
        <v>8</v>
      </c>
      <c r="U593" t="e">
        <f t="shared" si="20"/>
        <v>#REF!</v>
      </c>
      <c r="V593" s="5" t="e">
        <f t="shared" si="21"/>
        <v>#REF!</v>
      </c>
    </row>
    <row r="594" spans="1:22" x14ac:dyDescent="0.25">
      <c r="A594" s="2">
        <v>46041</v>
      </c>
      <c r="B594" s="2">
        <v>46021</v>
      </c>
      <c r="C594" t="s">
        <v>485</v>
      </c>
      <c r="D594">
        <v>4</v>
      </c>
      <c r="E594" t="s">
        <v>1257</v>
      </c>
      <c r="F594" t="s">
        <v>211</v>
      </c>
      <c r="G594" t="s">
        <v>1211</v>
      </c>
      <c r="H594" t="s">
        <v>1258</v>
      </c>
      <c r="I594" t="s">
        <v>214</v>
      </c>
      <c r="J594" s="3" t="s">
        <v>1320</v>
      </c>
      <c r="K594" t="s">
        <v>1321</v>
      </c>
      <c r="L594" s="4">
        <v>20</v>
      </c>
      <c r="M594" s="4">
        <v>0</v>
      </c>
      <c r="N594">
        <v>20</v>
      </c>
      <c r="O594" t="s">
        <v>1268</v>
      </c>
      <c r="P594">
        <v>20</v>
      </c>
      <c r="Q594">
        <f>QtyRemaining*EstMfgMin/60</f>
        <v>6.666666666666667</v>
      </c>
      <c r="U594" t="e">
        <f t="shared" si="20"/>
        <v>#REF!</v>
      </c>
      <c r="V594" s="5" t="e">
        <f t="shared" si="21"/>
        <v>#REF!</v>
      </c>
    </row>
    <row r="595" spans="1:22" x14ac:dyDescent="0.25">
      <c r="A595" s="2">
        <v>46041</v>
      </c>
      <c r="B595" s="2">
        <v>46021</v>
      </c>
      <c r="C595" t="s">
        <v>485</v>
      </c>
      <c r="D595">
        <v>4</v>
      </c>
      <c r="E595" t="s">
        <v>1257</v>
      </c>
      <c r="F595" t="s">
        <v>211</v>
      </c>
      <c r="G595" t="s">
        <v>1211</v>
      </c>
      <c r="H595" t="s">
        <v>1258</v>
      </c>
      <c r="I595" t="s">
        <v>214</v>
      </c>
      <c r="J595" s="3" t="s">
        <v>1322</v>
      </c>
      <c r="K595" t="s">
        <v>1323</v>
      </c>
      <c r="L595" s="4">
        <v>20</v>
      </c>
      <c r="M595" s="4">
        <v>0</v>
      </c>
      <c r="N595">
        <v>20</v>
      </c>
      <c r="O595" t="s">
        <v>1268</v>
      </c>
      <c r="P595">
        <v>14</v>
      </c>
      <c r="Q595">
        <f>QtyRemaining*EstMfgMin/60</f>
        <v>4.666666666666667</v>
      </c>
      <c r="U595" t="e">
        <f t="shared" si="20"/>
        <v>#REF!</v>
      </c>
      <c r="V595" s="5" t="e">
        <f t="shared" si="21"/>
        <v>#REF!</v>
      </c>
    </row>
    <row r="596" spans="1:22" x14ac:dyDescent="0.25">
      <c r="A596" s="2">
        <v>46042</v>
      </c>
      <c r="B596" s="2">
        <v>45936</v>
      </c>
      <c r="C596" t="s">
        <v>485</v>
      </c>
      <c r="D596">
        <v>4</v>
      </c>
      <c r="E596" t="s">
        <v>1324</v>
      </c>
      <c r="F596" t="s">
        <v>211</v>
      </c>
      <c r="G596" t="s">
        <v>1325</v>
      </c>
      <c r="H596" t="s">
        <v>1326</v>
      </c>
      <c r="I596" t="s">
        <v>214</v>
      </c>
      <c r="J596" s="3" t="s">
        <v>1327</v>
      </c>
      <c r="K596" t="s">
        <v>1328</v>
      </c>
      <c r="L596" s="4">
        <v>25</v>
      </c>
      <c r="M596" s="4">
        <v>9</v>
      </c>
      <c r="N596">
        <v>16</v>
      </c>
      <c r="O596" t="s">
        <v>1297</v>
      </c>
      <c r="P596">
        <v>20</v>
      </c>
      <c r="Q596">
        <f>QtyRemaining*EstMfgMin/60</f>
        <v>5.333333333333333</v>
      </c>
      <c r="U596" t="e">
        <f t="shared" si="20"/>
        <v>#REF!</v>
      </c>
      <c r="V596" s="5" t="e">
        <f t="shared" si="21"/>
        <v>#REF!</v>
      </c>
    </row>
    <row r="597" spans="1:22" x14ac:dyDescent="0.25">
      <c r="A597" s="2">
        <v>46042</v>
      </c>
      <c r="B597" s="2">
        <v>45936</v>
      </c>
      <c r="C597" t="s">
        <v>485</v>
      </c>
      <c r="D597">
        <v>4</v>
      </c>
      <c r="E597" t="s">
        <v>1324</v>
      </c>
      <c r="F597" t="s">
        <v>211</v>
      </c>
      <c r="G597" t="s">
        <v>1325</v>
      </c>
      <c r="H597" t="s">
        <v>1326</v>
      </c>
      <c r="I597" t="s">
        <v>214</v>
      </c>
      <c r="J597" s="3" t="s">
        <v>1329</v>
      </c>
      <c r="K597" t="s">
        <v>1330</v>
      </c>
      <c r="L597" s="4">
        <v>25</v>
      </c>
      <c r="M597" s="4">
        <v>23</v>
      </c>
      <c r="N597">
        <v>2</v>
      </c>
      <c r="O597" t="s">
        <v>1268</v>
      </c>
      <c r="P597">
        <v>19</v>
      </c>
      <c r="Q597">
        <f>QtyRemaining*EstMfgMin/60</f>
        <v>0.6333333333333333</v>
      </c>
      <c r="U597" t="e">
        <f t="shared" si="20"/>
        <v>#REF!</v>
      </c>
      <c r="V597" s="5" t="e">
        <f t="shared" si="21"/>
        <v>#REF!</v>
      </c>
    </row>
    <row r="598" spans="1:22" x14ac:dyDescent="0.25">
      <c r="A598" s="2">
        <v>46042</v>
      </c>
      <c r="B598" s="2">
        <v>45966</v>
      </c>
      <c r="C598" t="s">
        <v>570</v>
      </c>
      <c r="D598">
        <v>4</v>
      </c>
      <c r="E598" t="s">
        <v>1331</v>
      </c>
      <c r="F598" t="s">
        <v>261</v>
      </c>
      <c r="G598" t="s">
        <v>1332</v>
      </c>
      <c r="H598" t="s">
        <v>1333</v>
      </c>
      <c r="I598" t="s">
        <v>83</v>
      </c>
      <c r="J598" s="3" t="s">
        <v>1334</v>
      </c>
      <c r="K598" t="s">
        <v>1335</v>
      </c>
      <c r="L598" s="4">
        <v>12</v>
      </c>
      <c r="M598" s="4">
        <v>0</v>
      </c>
      <c r="N598">
        <v>12</v>
      </c>
      <c r="O598" t="s">
        <v>118</v>
      </c>
      <c r="P598">
        <v>105</v>
      </c>
      <c r="Q598">
        <f>QtyRemaining*EstMfgMin/60</f>
        <v>21</v>
      </c>
      <c r="U598" t="e">
        <f t="shared" si="20"/>
        <v>#REF!</v>
      </c>
      <c r="V598" s="5" t="e">
        <f t="shared" si="21"/>
        <v>#REF!</v>
      </c>
    </row>
    <row r="599" spans="1:22" x14ac:dyDescent="0.25">
      <c r="A599" s="2">
        <v>46042</v>
      </c>
      <c r="B599" s="2">
        <v>45966</v>
      </c>
      <c r="C599" t="s">
        <v>570</v>
      </c>
      <c r="D599">
        <v>4</v>
      </c>
      <c r="E599" t="s">
        <v>1331</v>
      </c>
      <c r="F599" t="s">
        <v>261</v>
      </c>
      <c r="G599" t="s">
        <v>1332</v>
      </c>
      <c r="H599" t="s">
        <v>1333</v>
      </c>
      <c r="I599" t="s">
        <v>83</v>
      </c>
      <c r="J599" s="3" t="s">
        <v>1336</v>
      </c>
      <c r="K599" t="s">
        <v>1335</v>
      </c>
      <c r="L599" s="4">
        <v>12</v>
      </c>
      <c r="M599" s="4">
        <v>0</v>
      </c>
      <c r="N599">
        <v>12</v>
      </c>
      <c r="O599" t="s">
        <v>118</v>
      </c>
      <c r="P599">
        <v>108</v>
      </c>
      <c r="Q599">
        <f>QtyRemaining*EstMfgMin/60</f>
        <v>21.6</v>
      </c>
      <c r="U599" t="e">
        <f t="shared" si="20"/>
        <v>#REF!</v>
      </c>
      <c r="V599" s="5" t="e">
        <f t="shared" si="21"/>
        <v>#REF!</v>
      </c>
    </row>
    <row r="600" spans="1:22" x14ac:dyDescent="0.25">
      <c r="A600" s="2">
        <v>46042</v>
      </c>
      <c r="B600" s="2">
        <v>46021</v>
      </c>
      <c r="C600" t="s">
        <v>465</v>
      </c>
      <c r="D600">
        <v>4</v>
      </c>
      <c r="E600" t="s">
        <v>1337</v>
      </c>
      <c r="F600" t="s">
        <v>211</v>
      </c>
      <c r="G600" t="s">
        <v>1338</v>
      </c>
      <c r="H600" t="s">
        <v>1339</v>
      </c>
      <c r="I600" t="s">
        <v>214</v>
      </c>
      <c r="J600" s="3" t="s">
        <v>1340</v>
      </c>
      <c r="K600" t="s">
        <v>1341</v>
      </c>
      <c r="L600" s="4">
        <v>4</v>
      </c>
      <c r="M600" s="4">
        <v>3</v>
      </c>
      <c r="N600">
        <v>1</v>
      </c>
      <c r="O600" t="s">
        <v>1342</v>
      </c>
      <c r="P600">
        <v>53</v>
      </c>
      <c r="Q600">
        <f>QtyRemaining*EstMfgMin/60</f>
        <v>0.8833333333333333</v>
      </c>
      <c r="U600" t="e">
        <f t="shared" si="20"/>
        <v>#REF!</v>
      </c>
      <c r="V600" s="5" t="e">
        <f t="shared" si="21"/>
        <v>#REF!</v>
      </c>
    </row>
    <row r="601" spans="1:22" x14ac:dyDescent="0.25">
      <c r="A601" s="2">
        <v>46042</v>
      </c>
      <c r="B601" s="2">
        <v>46028</v>
      </c>
      <c r="C601" t="s">
        <v>274</v>
      </c>
      <c r="D601">
        <v>4</v>
      </c>
      <c r="E601" t="s">
        <v>1343</v>
      </c>
      <c r="F601" t="s">
        <v>211</v>
      </c>
      <c r="G601" t="s">
        <v>276</v>
      </c>
      <c r="H601" t="s">
        <v>1344</v>
      </c>
      <c r="I601" t="s">
        <v>155</v>
      </c>
      <c r="J601" s="3" t="s">
        <v>1345</v>
      </c>
      <c r="K601" t="s">
        <v>1346</v>
      </c>
      <c r="L601" s="4">
        <v>257</v>
      </c>
      <c r="M601" s="4">
        <v>0</v>
      </c>
      <c r="N601">
        <v>257</v>
      </c>
      <c r="O601" t="s">
        <v>780</v>
      </c>
      <c r="P601">
        <v>0</v>
      </c>
      <c r="Q601">
        <f>QtyRemaining*EstMfgMin/60</f>
        <v>0</v>
      </c>
      <c r="U601" t="e">
        <f t="shared" si="20"/>
        <v>#REF!</v>
      </c>
      <c r="V601" s="5" t="e">
        <f t="shared" si="21"/>
        <v>#REF!</v>
      </c>
    </row>
    <row r="602" spans="1:22" x14ac:dyDescent="0.25">
      <c r="A602" s="2">
        <v>46042</v>
      </c>
      <c r="B602" s="2">
        <v>46028</v>
      </c>
      <c r="C602" t="s">
        <v>274</v>
      </c>
      <c r="D602">
        <v>4</v>
      </c>
      <c r="E602" t="s">
        <v>1343</v>
      </c>
      <c r="F602" t="s">
        <v>211</v>
      </c>
      <c r="G602" t="s">
        <v>276</v>
      </c>
      <c r="H602" t="s">
        <v>1344</v>
      </c>
      <c r="I602" t="s">
        <v>155</v>
      </c>
      <c r="J602" s="3" t="s">
        <v>1347</v>
      </c>
      <c r="K602" t="s">
        <v>1346</v>
      </c>
      <c r="L602" s="4">
        <v>193</v>
      </c>
      <c r="M602" s="4">
        <v>0</v>
      </c>
      <c r="N602">
        <v>193</v>
      </c>
      <c r="O602" t="s">
        <v>146</v>
      </c>
      <c r="P602">
        <v>0</v>
      </c>
      <c r="Q602">
        <f>QtyRemaining*EstMfgMin/60</f>
        <v>0</v>
      </c>
      <c r="U602" t="e">
        <f t="shared" si="20"/>
        <v>#REF!</v>
      </c>
      <c r="V602" s="5" t="e">
        <f t="shared" si="21"/>
        <v>#REF!</v>
      </c>
    </row>
    <row r="603" spans="1:22" x14ac:dyDescent="0.25">
      <c r="A603" s="2">
        <v>46042</v>
      </c>
      <c r="B603" s="2">
        <v>46028</v>
      </c>
      <c r="C603" t="s">
        <v>274</v>
      </c>
      <c r="D603">
        <v>4</v>
      </c>
      <c r="E603" t="s">
        <v>1343</v>
      </c>
      <c r="F603" t="s">
        <v>211</v>
      </c>
      <c r="G603" t="s">
        <v>276</v>
      </c>
      <c r="H603" t="s">
        <v>1344</v>
      </c>
      <c r="I603" t="s">
        <v>155</v>
      </c>
      <c r="J603" s="3" t="s">
        <v>1348</v>
      </c>
      <c r="K603" t="s">
        <v>1346</v>
      </c>
      <c r="L603" s="4">
        <v>112</v>
      </c>
      <c r="M603" s="4">
        <v>0</v>
      </c>
      <c r="N603">
        <v>112</v>
      </c>
      <c r="O603" t="s">
        <v>151</v>
      </c>
      <c r="P603">
        <v>0</v>
      </c>
      <c r="Q603">
        <f>QtyRemaining*EstMfgMin/60</f>
        <v>0</v>
      </c>
      <c r="U603" t="e">
        <f t="shared" si="20"/>
        <v>#REF!</v>
      </c>
      <c r="V603" s="5" t="e">
        <f t="shared" si="21"/>
        <v>#REF!</v>
      </c>
    </row>
    <row r="604" spans="1:22" x14ac:dyDescent="0.25">
      <c r="A604" s="2">
        <v>46043</v>
      </c>
      <c r="B604" s="2">
        <v>45994</v>
      </c>
      <c r="C604" t="s">
        <v>465</v>
      </c>
      <c r="D604">
        <v>4</v>
      </c>
      <c r="E604" t="s">
        <v>1349</v>
      </c>
      <c r="F604" t="s">
        <v>211</v>
      </c>
      <c r="G604" t="s">
        <v>467</v>
      </c>
      <c r="H604" t="s">
        <v>1350</v>
      </c>
      <c r="I604" t="s">
        <v>214</v>
      </c>
      <c r="J604" s="3" t="s">
        <v>1351</v>
      </c>
      <c r="K604" t="s">
        <v>1352</v>
      </c>
      <c r="L604" s="4">
        <v>3</v>
      </c>
      <c r="M604" s="4">
        <v>0</v>
      </c>
      <c r="N604">
        <v>3</v>
      </c>
      <c r="O604" t="s">
        <v>86</v>
      </c>
      <c r="P604">
        <v>23</v>
      </c>
      <c r="Q604">
        <f>QtyRemaining*EstMfgMin/60</f>
        <v>1.1499999999999999</v>
      </c>
      <c r="U604" t="e">
        <f t="shared" si="20"/>
        <v>#REF!</v>
      </c>
      <c r="V604" s="5" t="e">
        <f t="shared" si="21"/>
        <v>#REF!</v>
      </c>
    </row>
    <row r="605" spans="1:22" x14ac:dyDescent="0.25">
      <c r="A605" s="2">
        <v>46043</v>
      </c>
      <c r="B605" s="2">
        <v>46024</v>
      </c>
      <c r="C605" t="s">
        <v>485</v>
      </c>
      <c r="D605">
        <v>4</v>
      </c>
      <c r="E605" t="s">
        <v>1353</v>
      </c>
      <c r="F605" t="s">
        <v>211</v>
      </c>
      <c r="G605" t="s">
        <v>761</v>
      </c>
      <c r="H605" t="s">
        <v>1354</v>
      </c>
      <c r="I605" t="s">
        <v>214</v>
      </c>
      <c r="J605" s="3" t="s">
        <v>1355</v>
      </c>
      <c r="L605" s="4">
        <v>8</v>
      </c>
      <c r="M605" s="4">
        <v>0</v>
      </c>
      <c r="N605">
        <v>8</v>
      </c>
      <c r="O605" t="s">
        <v>176</v>
      </c>
      <c r="P605">
        <v>32</v>
      </c>
      <c r="Q605">
        <f>QtyRemaining*EstMfgMin/60</f>
        <v>4.2666666666666666</v>
      </c>
      <c r="U605" t="e">
        <f t="shared" si="20"/>
        <v>#REF!</v>
      </c>
      <c r="V605" s="5" t="e">
        <f t="shared" si="21"/>
        <v>#REF!</v>
      </c>
    </row>
    <row r="606" spans="1:22" x14ac:dyDescent="0.25">
      <c r="A606" s="2">
        <v>46044</v>
      </c>
      <c r="B606" s="2">
        <v>45527</v>
      </c>
      <c r="C606" t="s">
        <v>478</v>
      </c>
      <c r="D606">
        <v>4</v>
      </c>
      <c r="E606" t="s">
        <v>1356</v>
      </c>
      <c r="F606" t="s">
        <v>261</v>
      </c>
      <c r="G606" t="s">
        <v>510</v>
      </c>
      <c r="H606" t="s">
        <v>1357</v>
      </c>
      <c r="I606" t="s">
        <v>122</v>
      </c>
      <c r="J606" s="3" t="s">
        <v>1358</v>
      </c>
      <c r="K606" t="s">
        <v>1359</v>
      </c>
      <c r="L606" s="4">
        <v>40</v>
      </c>
      <c r="M606" s="4">
        <v>0</v>
      </c>
      <c r="N606">
        <v>40</v>
      </c>
      <c r="O606" t="s">
        <v>1360</v>
      </c>
      <c r="P606">
        <v>237</v>
      </c>
      <c r="Q606">
        <f>QtyRemaining*EstMfgMin/60</f>
        <v>158</v>
      </c>
      <c r="U606" t="e">
        <f t="shared" si="20"/>
        <v>#REF!</v>
      </c>
      <c r="V606" s="5" t="e">
        <f t="shared" si="21"/>
        <v>#REF!</v>
      </c>
    </row>
    <row r="607" spans="1:22" x14ac:dyDescent="0.25">
      <c r="A607" s="2">
        <v>46044</v>
      </c>
      <c r="B607" s="2">
        <v>45706</v>
      </c>
      <c r="C607" t="s">
        <v>478</v>
      </c>
      <c r="D607">
        <v>4</v>
      </c>
      <c r="E607" t="s">
        <v>1361</v>
      </c>
      <c r="F607" t="s">
        <v>261</v>
      </c>
      <c r="G607" t="s">
        <v>510</v>
      </c>
      <c r="H607" t="s">
        <v>1362</v>
      </c>
      <c r="I607" t="s">
        <v>83</v>
      </c>
      <c r="J607" s="3" t="s">
        <v>1363</v>
      </c>
      <c r="K607" t="s">
        <v>1364</v>
      </c>
      <c r="L607" s="4">
        <v>41</v>
      </c>
      <c r="M607" s="4">
        <v>0</v>
      </c>
      <c r="N607">
        <v>41</v>
      </c>
      <c r="O607" t="s">
        <v>1365</v>
      </c>
      <c r="P607">
        <v>73</v>
      </c>
      <c r="Q607">
        <f>QtyRemaining*EstMfgMin/60</f>
        <v>49.883333333333333</v>
      </c>
      <c r="U607" t="e">
        <f t="shared" si="20"/>
        <v>#REF!</v>
      </c>
      <c r="V607" s="5" t="e">
        <f t="shared" si="21"/>
        <v>#REF!</v>
      </c>
    </row>
    <row r="608" spans="1:22" x14ac:dyDescent="0.25">
      <c r="A608" s="2">
        <v>46044</v>
      </c>
      <c r="B608" s="2">
        <v>45757</v>
      </c>
      <c r="C608" t="s">
        <v>478</v>
      </c>
      <c r="D608">
        <v>4</v>
      </c>
      <c r="E608" t="s">
        <v>1366</v>
      </c>
      <c r="F608" t="s">
        <v>261</v>
      </c>
      <c r="G608" t="s">
        <v>510</v>
      </c>
      <c r="H608" t="s">
        <v>1367</v>
      </c>
      <c r="I608" t="s">
        <v>83</v>
      </c>
      <c r="J608" s="3" t="s">
        <v>1368</v>
      </c>
      <c r="K608" t="s">
        <v>1369</v>
      </c>
      <c r="L608" s="4">
        <v>42</v>
      </c>
      <c r="M608" s="4">
        <v>0</v>
      </c>
      <c r="N608">
        <v>42</v>
      </c>
      <c r="O608" t="s">
        <v>1370</v>
      </c>
      <c r="P608">
        <v>160</v>
      </c>
      <c r="Q608">
        <f>QtyRemaining*EstMfgMin/60</f>
        <v>112</v>
      </c>
      <c r="U608" t="e">
        <f t="shared" si="20"/>
        <v>#REF!</v>
      </c>
      <c r="V608" s="5" t="e">
        <f t="shared" si="21"/>
        <v>#REF!</v>
      </c>
    </row>
    <row r="609" spans="1:22" x14ac:dyDescent="0.25">
      <c r="A609" s="2">
        <v>46044</v>
      </c>
      <c r="B609" s="2">
        <v>45889</v>
      </c>
      <c r="C609" t="s">
        <v>633</v>
      </c>
      <c r="D609">
        <v>4</v>
      </c>
      <c r="E609" t="s">
        <v>1371</v>
      </c>
      <c r="F609" t="s">
        <v>211</v>
      </c>
      <c r="G609" t="s">
        <v>262</v>
      </c>
      <c r="H609" t="s">
        <v>1372</v>
      </c>
      <c r="I609" t="s">
        <v>83</v>
      </c>
      <c r="J609" s="3" t="s">
        <v>1373</v>
      </c>
      <c r="K609" t="s">
        <v>1374</v>
      </c>
      <c r="L609" s="4">
        <v>6</v>
      </c>
      <c r="M609" s="4">
        <v>0</v>
      </c>
      <c r="N609">
        <v>6</v>
      </c>
      <c r="O609" t="s">
        <v>118</v>
      </c>
      <c r="P609">
        <v>60</v>
      </c>
      <c r="Q609">
        <f>QtyRemaining*EstMfgMin/60</f>
        <v>6</v>
      </c>
      <c r="R609" t="s">
        <v>1375</v>
      </c>
      <c r="U609" t="e">
        <f t="shared" si="20"/>
        <v>#REF!</v>
      </c>
      <c r="V609" s="5" t="e">
        <f t="shared" si="21"/>
        <v>#REF!</v>
      </c>
    </row>
    <row r="610" spans="1:22" x14ac:dyDescent="0.25">
      <c r="A610" s="2">
        <v>46044</v>
      </c>
      <c r="B610" s="2">
        <v>45891</v>
      </c>
      <c r="C610" t="s">
        <v>478</v>
      </c>
      <c r="D610">
        <v>4</v>
      </c>
      <c r="E610" t="s">
        <v>1376</v>
      </c>
      <c r="F610" t="s">
        <v>261</v>
      </c>
      <c r="G610" t="s">
        <v>1377</v>
      </c>
      <c r="H610" t="s">
        <v>1378</v>
      </c>
      <c r="I610" t="s">
        <v>83</v>
      </c>
      <c r="J610" s="3" t="s">
        <v>1379</v>
      </c>
      <c r="K610" t="s">
        <v>1380</v>
      </c>
      <c r="L610" s="4">
        <v>1</v>
      </c>
      <c r="M610" s="4">
        <v>0</v>
      </c>
      <c r="N610">
        <v>1</v>
      </c>
      <c r="O610" t="s">
        <v>118</v>
      </c>
      <c r="P610">
        <v>60</v>
      </c>
      <c r="Q610">
        <f>QtyRemaining*EstMfgMin/60</f>
        <v>1</v>
      </c>
      <c r="U610" t="e">
        <f t="shared" si="20"/>
        <v>#REF!</v>
      </c>
      <c r="V610" s="5" t="e">
        <f t="shared" si="21"/>
        <v>#REF!</v>
      </c>
    </row>
    <row r="611" spans="1:22" x14ac:dyDescent="0.25">
      <c r="A611" s="2">
        <v>46044</v>
      </c>
      <c r="B611" s="2">
        <v>45891</v>
      </c>
      <c r="C611" t="s">
        <v>478</v>
      </c>
      <c r="D611">
        <v>4</v>
      </c>
      <c r="E611" t="s">
        <v>1381</v>
      </c>
      <c r="F611" t="s">
        <v>261</v>
      </c>
      <c r="G611" t="s">
        <v>1377</v>
      </c>
      <c r="H611" t="s">
        <v>1382</v>
      </c>
      <c r="I611" t="s">
        <v>83</v>
      </c>
      <c r="J611" s="3" t="s">
        <v>1383</v>
      </c>
      <c r="K611" t="s">
        <v>1380</v>
      </c>
      <c r="L611" s="4">
        <v>7</v>
      </c>
      <c r="M611" s="4">
        <v>0</v>
      </c>
      <c r="N611">
        <v>7</v>
      </c>
      <c r="O611" t="s">
        <v>86</v>
      </c>
      <c r="P611">
        <v>75</v>
      </c>
      <c r="Q611">
        <f>QtyRemaining*EstMfgMin/60</f>
        <v>8.75</v>
      </c>
      <c r="U611" t="e">
        <f t="shared" si="20"/>
        <v>#REF!</v>
      </c>
      <c r="V611" s="5" t="e">
        <f t="shared" si="21"/>
        <v>#REF!</v>
      </c>
    </row>
    <row r="612" spans="1:22" x14ac:dyDescent="0.25">
      <c r="A612" s="2">
        <v>46044</v>
      </c>
      <c r="B612" s="2">
        <v>45967</v>
      </c>
      <c r="C612" t="s">
        <v>465</v>
      </c>
      <c r="D612">
        <v>4</v>
      </c>
      <c r="E612" t="s">
        <v>1384</v>
      </c>
      <c r="F612" t="s">
        <v>211</v>
      </c>
      <c r="G612" t="s">
        <v>467</v>
      </c>
      <c r="H612" t="s">
        <v>1385</v>
      </c>
      <c r="I612" t="s">
        <v>214</v>
      </c>
      <c r="J612" s="3" t="s">
        <v>1200</v>
      </c>
      <c r="K612" t="s">
        <v>1201</v>
      </c>
      <c r="L612" s="4">
        <v>5</v>
      </c>
      <c r="M612" s="4">
        <v>0</v>
      </c>
      <c r="N612">
        <v>5</v>
      </c>
      <c r="O612" t="s">
        <v>176</v>
      </c>
      <c r="P612">
        <v>5</v>
      </c>
      <c r="Q612">
        <f>QtyRemaining*EstMfgMin/60</f>
        <v>0.41666666666666669</v>
      </c>
      <c r="U612" t="e">
        <f t="shared" si="20"/>
        <v>#REF!</v>
      </c>
      <c r="V612" s="5" t="e">
        <f t="shared" si="21"/>
        <v>#REF!</v>
      </c>
    </row>
    <row r="613" spans="1:22" x14ac:dyDescent="0.25">
      <c r="A613" s="2">
        <v>46045</v>
      </c>
      <c r="B613" s="2">
        <v>45779</v>
      </c>
      <c r="C613" t="s">
        <v>232</v>
      </c>
      <c r="D613">
        <v>4</v>
      </c>
      <c r="E613" t="s">
        <v>1386</v>
      </c>
      <c r="F613" t="s">
        <v>211</v>
      </c>
      <c r="G613" t="s">
        <v>1184</v>
      </c>
      <c r="H613" t="s">
        <v>1387</v>
      </c>
      <c r="I613" t="s">
        <v>83</v>
      </c>
      <c r="J613" s="3" t="s">
        <v>1186</v>
      </c>
      <c r="K613" t="s">
        <v>1187</v>
      </c>
      <c r="L613" s="4">
        <v>52</v>
      </c>
      <c r="M613" s="4">
        <v>0</v>
      </c>
      <c r="N613">
        <v>52</v>
      </c>
      <c r="O613" t="s">
        <v>1188</v>
      </c>
      <c r="P613">
        <v>40</v>
      </c>
      <c r="Q613">
        <f>QtyRemaining*EstMfgMin/60</f>
        <v>34.666666666666664</v>
      </c>
      <c r="U613" t="e">
        <f t="shared" si="20"/>
        <v>#REF!</v>
      </c>
      <c r="V613" s="5" t="e">
        <f t="shared" si="21"/>
        <v>#REF!</v>
      </c>
    </row>
    <row r="614" spans="1:22" x14ac:dyDescent="0.25">
      <c r="A614" s="2">
        <v>46045</v>
      </c>
      <c r="B614" s="2">
        <v>45790</v>
      </c>
      <c r="C614" t="s">
        <v>485</v>
      </c>
      <c r="D614">
        <v>4</v>
      </c>
      <c r="E614" t="s">
        <v>1388</v>
      </c>
      <c r="F614" t="s">
        <v>211</v>
      </c>
      <c r="G614" t="s">
        <v>864</v>
      </c>
      <c r="H614" t="s">
        <v>1389</v>
      </c>
      <c r="I614" t="s">
        <v>214</v>
      </c>
      <c r="J614" s="3" t="s">
        <v>1390</v>
      </c>
      <c r="K614" t="s">
        <v>1391</v>
      </c>
      <c r="L614" s="4">
        <v>50</v>
      </c>
      <c r="M614" s="4">
        <v>0</v>
      </c>
      <c r="N614">
        <v>50</v>
      </c>
      <c r="O614" t="s">
        <v>176</v>
      </c>
      <c r="P614">
        <v>60</v>
      </c>
      <c r="Q614">
        <f>QtyRemaining*EstMfgMin/60</f>
        <v>50</v>
      </c>
      <c r="U614" t="e">
        <f t="shared" si="20"/>
        <v>#REF!</v>
      </c>
      <c r="V614" s="5" t="e">
        <f t="shared" si="21"/>
        <v>#REF!</v>
      </c>
    </row>
    <row r="615" spans="1:22" x14ac:dyDescent="0.25">
      <c r="A615" s="2">
        <v>46045</v>
      </c>
      <c r="B615" s="2">
        <v>45944</v>
      </c>
      <c r="C615" t="s">
        <v>465</v>
      </c>
      <c r="D615">
        <v>4</v>
      </c>
      <c r="E615" t="s">
        <v>1392</v>
      </c>
      <c r="F615" t="s">
        <v>211</v>
      </c>
      <c r="G615" t="s">
        <v>467</v>
      </c>
      <c r="H615" t="s">
        <v>1393</v>
      </c>
      <c r="I615" t="s">
        <v>214</v>
      </c>
      <c r="J615" s="3" t="s">
        <v>1394</v>
      </c>
      <c r="K615" t="s">
        <v>1395</v>
      </c>
      <c r="L615" s="4">
        <v>2</v>
      </c>
      <c r="M615" s="4">
        <v>0</v>
      </c>
      <c r="N615">
        <v>2</v>
      </c>
      <c r="O615" t="s">
        <v>94</v>
      </c>
      <c r="P615">
        <v>48</v>
      </c>
      <c r="Q615">
        <f>QtyRemaining*EstMfgMin/60</f>
        <v>1.6</v>
      </c>
      <c r="U615" t="e">
        <f t="shared" si="20"/>
        <v>#REF!</v>
      </c>
      <c r="V615" s="5" t="e">
        <f t="shared" si="21"/>
        <v>#REF!</v>
      </c>
    </row>
    <row r="616" spans="1:22" x14ac:dyDescent="0.25">
      <c r="A616" s="2">
        <v>46045</v>
      </c>
      <c r="B616" s="2">
        <v>45944</v>
      </c>
      <c r="C616" t="s">
        <v>465</v>
      </c>
      <c r="D616">
        <v>4</v>
      </c>
      <c r="E616" t="s">
        <v>1392</v>
      </c>
      <c r="F616" t="s">
        <v>211</v>
      </c>
      <c r="G616" t="s">
        <v>467</v>
      </c>
      <c r="H616" t="s">
        <v>1393</v>
      </c>
      <c r="I616" t="s">
        <v>214</v>
      </c>
      <c r="J616" s="3" t="s">
        <v>1396</v>
      </c>
      <c r="K616" t="s">
        <v>1397</v>
      </c>
      <c r="L616" s="4">
        <v>3</v>
      </c>
      <c r="M616" s="4">
        <v>0</v>
      </c>
      <c r="N616">
        <v>3</v>
      </c>
      <c r="O616" t="s">
        <v>457</v>
      </c>
      <c r="P616">
        <v>42</v>
      </c>
      <c r="Q616">
        <f>QtyRemaining*EstMfgMin/60</f>
        <v>2.1</v>
      </c>
      <c r="U616" t="e">
        <f t="shared" si="20"/>
        <v>#REF!</v>
      </c>
      <c r="V616" s="5" t="e">
        <f t="shared" si="21"/>
        <v>#REF!</v>
      </c>
    </row>
    <row r="617" spans="1:22" x14ac:dyDescent="0.25">
      <c r="A617" s="2">
        <v>46045</v>
      </c>
      <c r="B617" s="2">
        <v>45944</v>
      </c>
      <c r="C617" t="s">
        <v>465</v>
      </c>
      <c r="D617">
        <v>4</v>
      </c>
      <c r="E617" t="s">
        <v>1392</v>
      </c>
      <c r="F617" t="s">
        <v>211</v>
      </c>
      <c r="G617" t="s">
        <v>467</v>
      </c>
      <c r="H617" t="s">
        <v>1393</v>
      </c>
      <c r="I617" t="s">
        <v>214</v>
      </c>
      <c r="J617" s="3" t="s">
        <v>1398</v>
      </c>
      <c r="K617" t="s">
        <v>1399</v>
      </c>
      <c r="L617" s="4">
        <v>3</v>
      </c>
      <c r="M617" s="4">
        <v>0</v>
      </c>
      <c r="N617">
        <v>3</v>
      </c>
      <c r="O617" t="s">
        <v>176</v>
      </c>
      <c r="P617">
        <v>42</v>
      </c>
      <c r="Q617">
        <f>QtyRemaining*EstMfgMin/60</f>
        <v>2.1</v>
      </c>
      <c r="U617" t="e">
        <f t="shared" si="20"/>
        <v>#REF!</v>
      </c>
      <c r="V617" s="5" t="e">
        <f t="shared" si="21"/>
        <v>#REF!</v>
      </c>
    </row>
    <row r="618" spans="1:22" x14ac:dyDescent="0.25">
      <c r="A618" s="2">
        <v>46045</v>
      </c>
      <c r="B618" s="2">
        <v>45981</v>
      </c>
      <c r="C618" t="s">
        <v>478</v>
      </c>
      <c r="D618">
        <v>4</v>
      </c>
      <c r="E618" t="s">
        <v>1111</v>
      </c>
      <c r="F618" t="s">
        <v>261</v>
      </c>
      <c r="G618" t="s">
        <v>1021</v>
      </c>
      <c r="H618" t="s">
        <v>1112</v>
      </c>
      <c r="I618" t="s">
        <v>83</v>
      </c>
      <c r="J618" s="3" t="s">
        <v>1113</v>
      </c>
      <c r="K618" t="s">
        <v>1114</v>
      </c>
      <c r="L618" s="4">
        <v>17</v>
      </c>
      <c r="M618" s="4">
        <v>0</v>
      </c>
      <c r="N618">
        <v>17</v>
      </c>
      <c r="O618" t="s">
        <v>283</v>
      </c>
      <c r="P618">
        <v>140</v>
      </c>
      <c r="Q618">
        <f>QtyRemaining*EstMfgMin/60</f>
        <v>39.666666666666664</v>
      </c>
      <c r="U618" t="e">
        <f t="shared" si="20"/>
        <v>#REF!</v>
      </c>
      <c r="V618" s="5" t="e">
        <f t="shared" si="21"/>
        <v>#REF!</v>
      </c>
    </row>
    <row r="619" spans="1:22" x14ac:dyDescent="0.25">
      <c r="A619" s="2">
        <v>46045</v>
      </c>
      <c r="B619" s="2">
        <v>46000</v>
      </c>
      <c r="C619" t="s">
        <v>485</v>
      </c>
      <c r="D619">
        <v>4</v>
      </c>
      <c r="E619" t="s">
        <v>1400</v>
      </c>
      <c r="F619" t="s">
        <v>211</v>
      </c>
      <c r="G619" t="s">
        <v>1217</v>
      </c>
      <c r="H619" t="s">
        <v>1401</v>
      </c>
      <c r="I619" t="s">
        <v>214</v>
      </c>
      <c r="J619" s="3" t="s">
        <v>1402</v>
      </c>
      <c r="K619" t="s">
        <v>1403</v>
      </c>
      <c r="L619" s="4">
        <v>25</v>
      </c>
      <c r="M619" s="4">
        <v>0</v>
      </c>
      <c r="N619">
        <v>25</v>
      </c>
      <c r="O619" t="s">
        <v>643</v>
      </c>
      <c r="P619">
        <v>8</v>
      </c>
      <c r="Q619">
        <f>QtyRemaining*EstMfgMin/60</f>
        <v>3.3333333333333335</v>
      </c>
      <c r="U619" t="e">
        <f t="shared" si="20"/>
        <v>#REF!</v>
      </c>
      <c r="V619" s="5" t="e">
        <f t="shared" si="21"/>
        <v>#REF!</v>
      </c>
    </row>
    <row r="620" spans="1:22" x14ac:dyDescent="0.25">
      <c r="A620" s="2">
        <v>46045</v>
      </c>
      <c r="B620" s="2">
        <v>46024</v>
      </c>
      <c r="C620" t="s">
        <v>465</v>
      </c>
      <c r="D620">
        <v>4</v>
      </c>
      <c r="E620" t="s">
        <v>1404</v>
      </c>
      <c r="F620" t="s">
        <v>211</v>
      </c>
      <c r="G620" t="s">
        <v>1338</v>
      </c>
      <c r="H620" t="s">
        <v>1405</v>
      </c>
      <c r="I620" t="s">
        <v>214</v>
      </c>
      <c r="J620" s="3" t="s">
        <v>1406</v>
      </c>
      <c r="K620" t="s">
        <v>1407</v>
      </c>
      <c r="L620" s="4">
        <v>1</v>
      </c>
      <c r="M620" s="4">
        <v>0</v>
      </c>
      <c r="N620">
        <v>1</v>
      </c>
      <c r="O620" t="s">
        <v>1236</v>
      </c>
      <c r="P620">
        <v>84</v>
      </c>
      <c r="Q620">
        <f>QtyRemaining*EstMfgMin/60</f>
        <v>1.4</v>
      </c>
      <c r="U620" t="e">
        <f t="shared" si="20"/>
        <v>#REF!</v>
      </c>
      <c r="V620" s="5" t="e">
        <f t="shared" si="21"/>
        <v>#REF!</v>
      </c>
    </row>
    <row r="621" spans="1:22" x14ac:dyDescent="0.25">
      <c r="A621" s="2">
        <v>46045</v>
      </c>
      <c r="B621" s="2">
        <v>46024</v>
      </c>
      <c r="C621" t="s">
        <v>485</v>
      </c>
      <c r="D621">
        <v>4</v>
      </c>
      <c r="E621" t="s">
        <v>1408</v>
      </c>
      <c r="F621" t="s">
        <v>211</v>
      </c>
      <c r="G621" t="s">
        <v>1211</v>
      </c>
      <c r="H621" t="s">
        <v>1409</v>
      </c>
      <c r="I621" t="s">
        <v>214</v>
      </c>
      <c r="J621" s="3" t="s">
        <v>1410</v>
      </c>
      <c r="K621" t="s">
        <v>1411</v>
      </c>
      <c r="L621" s="4">
        <v>6</v>
      </c>
      <c r="M621" s="4">
        <v>0</v>
      </c>
      <c r="N621">
        <v>6</v>
      </c>
      <c r="O621" t="s">
        <v>1271</v>
      </c>
      <c r="P621">
        <v>18</v>
      </c>
      <c r="Q621">
        <f>QtyRemaining*EstMfgMin/60</f>
        <v>1.8</v>
      </c>
      <c r="U621" t="e">
        <f t="shared" si="20"/>
        <v>#REF!</v>
      </c>
      <c r="V621" s="5" t="e">
        <f t="shared" si="21"/>
        <v>#REF!</v>
      </c>
    </row>
    <row r="622" spans="1:22" x14ac:dyDescent="0.25">
      <c r="A622" s="2">
        <v>46045</v>
      </c>
      <c r="B622" s="2">
        <v>46024</v>
      </c>
      <c r="C622" t="s">
        <v>485</v>
      </c>
      <c r="D622">
        <v>4</v>
      </c>
      <c r="E622" t="s">
        <v>1412</v>
      </c>
      <c r="F622" t="s">
        <v>211</v>
      </c>
      <c r="G622" t="s">
        <v>761</v>
      </c>
      <c r="H622" t="s">
        <v>1413</v>
      </c>
      <c r="I622" t="s">
        <v>214</v>
      </c>
      <c r="J622" s="3" t="s">
        <v>1414</v>
      </c>
      <c r="K622" t="s">
        <v>1415</v>
      </c>
      <c r="L622" s="4">
        <v>10</v>
      </c>
      <c r="M622" s="4">
        <v>0</v>
      </c>
      <c r="N622">
        <v>10</v>
      </c>
      <c r="O622" t="s">
        <v>176</v>
      </c>
      <c r="P622">
        <v>116</v>
      </c>
      <c r="Q622">
        <f>QtyRemaining*EstMfgMin/60</f>
        <v>19.333333333333332</v>
      </c>
      <c r="U622" t="e">
        <f t="shared" si="20"/>
        <v>#REF!</v>
      </c>
      <c r="V622" s="5" t="e">
        <f t="shared" si="21"/>
        <v>#REF!</v>
      </c>
    </row>
    <row r="623" spans="1:22" x14ac:dyDescent="0.25">
      <c r="A623" s="2">
        <v>46048</v>
      </c>
      <c r="B623" s="2">
        <v>45790</v>
      </c>
      <c r="C623" t="s">
        <v>485</v>
      </c>
      <c r="D623">
        <v>5</v>
      </c>
      <c r="E623" t="s">
        <v>1388</v>
      </c>
      <c r="F623" t="s">
        <v>211</v>
      </c>
      <c r="G623" t="s">
        <v>864</v>
      </c>
      <c r="H623" t="s">
        <v>1389</v>
      </c>
      <c r="I623" t="s">
        <v>214</v>
      </c>
      <c r="J623" s="3" t="s">
        <v>1416</v>
      </c>
      <c r="K623" t="s">
        <v>1417</v>
      </c>
      <c r="L623" s="4">
        <v>50</v>
      </c>
      <c r="M623" s="4">
        <v>0</v>
      </c>
      <c r="N623">
        <v>50</v>
      </c>
      <c r="O623" t="s">
        <v>176</v>
      </c>
      <c r="P623">
        <v>18</v>
      </c>
      <c r="Q623">
        <f>QtyRemaining*EstMfgMin/60</f>
        <v>15</v>
      </c>
      <c r="U623" t="e">
        <f t="shared" si="20"/>
        <v>#REF!</v>
      </c>
      <c r="V623" s="5" t="e">
        <f t="shared" si="21"/>
        <v>#REF!</v>
      </c>
    </row>
    <row r="624" spans="1:22" x14ac:dyDescent="0.25">
      <c r="A624" s="2">
        <v>46048</v>
      </c>
      <c r="B624" s="2">
        <v>45891</v>
      </c>
      <c r="C624" t="s">
        <v>232</v>
      </c>
      <c r="D624">
        <v>5</v>
      </c>
      <c r="E624" t="s">
        <v>1418</v>
      </c>
      <c r="F624" t="s">
        <v>211</v>
      </c>
      <c r="G624" t="s">
        <v>270</v>
      </c>
      <c r="H624" t="s">
        <v>1419</v>
      </c>
      <c r="I624" t="s">
        <v>214</v>
      </c>
      <c r="J624" s="3" t="s">
        <v>1420</v>
      </c>
      <c r="K624" t="s">
        <v>1421</v>
      </c>
      <c r="L624" s="4">
        <v>15</v>
      </c>
      <c r="M624" s="4">
        <v>0</v>
      </c>
      <c r="N624">
        <v>15</v>
      </c>
      <c r="O624" t="s">
        <v>176</v>
      </c>
      <c r="P624">
        <v>30</v>
      </c>
      <c r="Q624">
        <f>QtyRemaining*EstMfgMin/60</f>
        <v>7.5</v>
      </c>
      <c r="U624" t="e">
        <f t="shared" si="20"/>
        <v>#REF!</v>
      </c>
      <c r="V624" s="5" t="e">
        <f t="shared" si="21"/>
        <v>#REF!</v>
      </c>
    </row>
    <row r="625" spans="1:22" x14ac:dyDescent="0.25">
      <c r="A625" s="2">
        <v>46048</v>
      </c>
      <c r="B625" s="2">
        <v>45950</v>
      </c>
      <c r="C625" t="s">
        <v>633</v>
      </c>
      <c r="D625">
        <v>5</v>
      </c>
      <c r="E625" t="s">
        <v>1422</v>
      </c>
      <c r="F625" t="s">
        <v>261</v>
      </c>
      <c r="G625" t="s">
        <v>262</v>
      </c>
      <c r="H625" t="s">
        <v>1423</v>
      </c>
      <c r="I625" t="s">
        <v>45</v>
      </c>
      <c r="J625" s="3" t="s">
        <v>1424</v>
      </c>
      <c r="K625" t="s">
        <v>1425</v>
      </c>
      <c r="L625" s="4">
        <v>31</v>
      </c>
      <c r="M625" s="4">
        <v>0</v>
      </c>
      <c r="N625">
        <v>31</v>
      </c>
      <c r="O625" t="s">
        <v>457</v>
      </c>
      <c r="P625">
        <v>0</v>
      </c>
      <c r="Q625">
        <f>QtyRemaining*EstMfgMin/60</f>
        <v>0</v>
      </c>
      <c r="U625" t="e">
        <f t="shared" si="20"/>
        <v>#REF!</v>
      </c>
      <c r="V625" s="5" t="e">
        <f t="shared" si="21"/>
        <v>#REF!</v>
      </c>
    </row>
    <row r="626" spans="1:22" x14ac:dyDescent="0.25">
      <c r="A626" s="2">
        <v>46048</v>
      </c>
      <c r="B626" s="2">
        <v>46009</v>
      </c>
      <c r="C626" t="s">
        <v>485</v>
      </c>
      <c r="D626">
        <v>5</v>
      </c>
      <c r="E626" t="s">
        <v>1426</v>
      </c>
      <c r="F626" t="s">
        <v>211</v>
      </c>
      <c r="G626" t="s">
        <v>864</v>
      </c>
      <c r="H626" t="s">
        <v>1427</v>
      </c>
      <c r="I626" t="s">
        <v>214</v>
      </c>
      <c r="J626" s="3" t="s">
        <v>1428</v>
      </c>
      <c r="K626" t="s">
        <v>1429</v>
      </c>
      <c r="L626" s="4">
        <v>50</v>
      </c>
      <c r="M626" s="4">
        <v>0</v>
      </c>
      <c r="N626">
        <v>50</v>
      </c>
      <c r="O626" t="s">
        <v>514</v>
      </c>
      <c r="P626">
        <v>3</v>
      </c>
      <c r="Q626">
        <f>QtyRemaining*EstMfgMin/60</f>
        <v>2.5</v>
      </c>
      <c r="U626" t="e">
        <f t="shared" si="20"/>
        <v>#REF!</v>
      </c>
      <c r="V626" s="5" t="e">
        <f t="shared" si="21"/>
        <v>#REF!</v>
      </c>
    </row>
    <row r="627" spans="1:22" x14ac:dyDescent="0.25">
      <c r="A627" s="2">
        <v>46048</v>
      </c>
      <c r="B627" s="2">
        <v>46009</v>
      </c>
      <c r="C627" t="s">
        <v>485</v>
      </c>
      <c r="D627">
        <v>5</v>
      </c>
      <c r="E627" t="s">
        <v>1430</v>
      </c>
      <c r="F627" t="s">
        <v>211</v>
      </c>
      <c r="G627" t="s">
        <v>864</v>
      </c>
      <c r="H627" t="s">
        <v>1431</v>
      </c>
      <c r="I627" t="s">
        <v>214</v>
      </c>
      <c r="J627" s="3" t="s">
        <v>1432</v>
      </c>
      <c r="K627" t="s">
        <v>1433</v>
      </c>
      <c r="L627" s="4">
        <v>16</v>
      </c>
      <c r="M627" s="4">
        <v>0</v>
      </c>
      <c r="N627">
        <v>16</v>
      </c>
      <c r="O627" t="s">
        <v>514</v>
      </c>
      <c r="P627">
        <v>4</v>
      </c>
      <c r="Q627">
        <f>QtyRemaining*EstMfgMin/60</f>
        <v>1.0666666666666667</v>
      </c>
      <c r="U627" t="e">
        <f t="shared" si="20"/>
        <v>#REF!</v>
      </c>
      <c r="V627" s="5" t="e">
        <f t="shared" si="21"/>
        <v>#REF!</v>
      </c>
    </row>
    <row r="628" spans="1:22" x14ac:dyDescent="0.25">
      <c r="A628" s="2">
        <v>46048</v>
      </c>
      <c r="B628" s="2">
        <v>46009</v>
      </c>
      <c r="C628" t="s">
        <v>485</v>
      </c>
      <c r="D628">
        <v>5</v>
      </c>
      <c r="E628" t="s">
        <v>1430</v>
      </c>
      <c r="F628" t="s">
        <v>211</v>
      </c>
      <c r="G628" t="s">
        <v>864</v>
      </c>
      <c r="H628" t="s">
        <v>1431</v>
      </c>
      <c r="I628" t="s">
        <v>214</v>
      </c>
      <c r="J628" s="3" t="s">
        <v>1434</v>
      </c>
      <c r="K628" t="s">
        <v>1435</v>
      </c>
      <c r="L628" s="4">
        <v>50</v>
      </c>
      <c r="M628" s="4">
        <v>0</v>
      </c>
      <c r="N628">
        <v>50</v>
      </c>
      <c r="O628" t="s">
        <v>514</v>
      </c>
      <c r="P628">
        <v>3</v>
      </c>
      <c r="Q628">
        <f>QtyRemaining*EstMfgMin/60</f>
        <v>2.5</v>
      </c>
      <c r="U628" t="e">
        <f t="shared" si="20"/>
        <v>#REF!</v>
      </c>
      <c r="V628" s="5" t="e">
        <f t="shared" si="21"/>
        <v>#REF!</v>
      </c>
    </row>
    <row r="629" spans="1:22" x14ac:dyDescent="0.25">
      <c r="A629" s="2">
        <v>46048</v>
      </c>
      <c r="B629" s="2">
        <v>46009</v>
      </c>
      <c r="C629" t="s">
        <v>485</v>
      </c>
      <c r="D629">
        <v>5</v>
      </c>
      <c r="E629" t="s">
        <v>1430</v>
      </c>
      <c r="F629" t="s">
        <v>211</v>
      </c>
      <c r="G629" t="s">
        <v>864</v>
      </c>
      <c r="H629" t="s">
        <v>1431</v>
      </c>
      <c r="I629" t="s">
        <v>214</v>
      </c>
      <c r="J629" s="3" t="s">
        <v>1436</v>
      </c>
      <c r="K629" t="s">
        <v>1437</v>
      </c>
      <c r="L629" s="4">
        <v>50</v>
      </c>
      <c r="M629" s="4">
        <v>0</v>
      </c>
      <c r="N629">
        <v>50</v>
      </c>
      <c r="O629" t="s">
        <v>1188</v>
      </c>
      <c r="P629">
        <v>7</v>
      </c>
      <c r="Q629">
        <f>QtyRemaining*EstMfgMin/60</f>
        <v>5.833333333333333</v>
      </c>
      <c r="U629" t="e">
        <f t="shared" si="20"/>
        <v>#REF!</v>
      </c>
      <c r="V629" s="5" t="e">
        <f t="shared" si="21"/>
        <v>#REF!</v>
      </c>
    </row>
    <row r="630" spans="1:22" x14ac:dyDescent="0.25">
      <c r="A630" s="2">
        <v>46048</v>
      </c>
      <c r="B630" s="2">
        <v>46009</v>
      </c>
      <c r="C630" t="s">
        <v>485</v>
      </c>
      <c r="D630">
        <v>5</v>
      </c>
      <c r="E630" t="s">
        <v>1430</v>
      </c>
      <c r="F630" t="s">
        <v>211</v>
      </c>
      <c r="G630" t="s">
        <v>864</v>
      </c>
      <c r="H630" t="s">
        <v>1431</v>
      </c>
      <c r="I630" t="s">
        <v>214</v>
      </c>
      <c r="J630" s="3" t="s">
        <v>1438</v>
      </c>
      <c r="K630" t="s">
        <v>1439</v>
      </c>
      <c r="L630" s="4">
        <v>25</v>
      </c>
      <c r="M630" s="4">
        <v>0</v>
      </c>
      <c r="N630">
        <v>25</v>
      </c>
      <c r="O630" t="s">
        <v>514</v>
      </c>
      <c r="P630">
        <v>6</v>
      </c>
      <c r="Q630">
        <f>QtyRemaining*EstMfgMin/60</f>
        <v>2.5</v>
      </c>
      <c r="U630" t="e">
        <f t="shared" si="20"/>
        <v>#REF!</v>
      </c>
      <c r="V630" s="5" t="e">
        <f t="shared" si="21"/>
        <v>#REF!</v>
      </c>
    </row>
    <row r="631" spans="1:22" x14ac:dyDescent="0.25">
      <c r="A631" s="2">
        <v>46048</v>
      </c>
      <c r="B631" s="2">
        <v>46009</v>
      </c>
      <c r="C631" t="s">
        <v>485</v>
      </c>
      <c r="D631">
        <v>5</v>
      </c>
      <c r="E631" t="s">
        <v>1430</v>
      </c>
      <c r="F631" t="s">
        <v>211</v>
      </c>
      <c r="G631" t="s">
        <v>864</v>
      </c>
      <c r="H631" t="s">
        <v>1431</v>
      </c>
      <c r="I631" t="s">
        <v>214</v>
      </c>
      <c r="J631" s="3" t="s">
        <v>1440</v>
      </c>
      <c r="K631" t="s">
        <v>1441</v>
      </c>
      <c r="L631" s="4">
        <v>25</v>
      </c>
      <c r="M631" s="4">
        <v>0</v>
      </c>
      <c r="N631">
        <v>25</v>
      </c>
      <c r="O631" t="s">
        <v>514</v>
      </c>
      <c r="P631">
        <v>6</v>
      </c>
      <c r="Q631">
        <f>QtyRemaining*EstMfgMin/60</f>
        <v>2.5</v>
      </c>
      <c r="U631" t="e">
        <f t="shared" si="20"/>
        <v>#REF!</v>
      </c>
      <c r="V631" s="5" t="e">
        <f t="shared" si="21"/>
        <v>#REF!</v>
      </c>
    </row>
    <row r="632" spans="1:22" x14ac:dyDescent="0.25">
      <c r="A632" s="2">
        <v>46049</v>
      </c>
      <c r="B632" s="2">
        <v>45870</v>
      </c>
      <c r="C632" t="s">
        <v>633</v>
      </c>
      <c r="D632">
        <v>5</v>
      </c>
      <c r="E632" t="s">
        <v>1442</v>
      </c>
      <c r="F632" t="s">
        <v>261</v>
      </c>
      <c r="G632" t="s">
        <v>262</v>
      </c>
      <c r="H632" t="s">
        <v>1443</v>
      </c>
      <c r="I632" t="s">
        <v>155</v>
      </c>
      <c r="J632" s="3" t="s">
        <v>1444</v>
      </c>
      <c r="K632" t="s">
        <v>131</v>
      </c>
      <c r="L632" s="4">
        <v>8</v>
      </c>
      <c r="M632" s="4">
        <v>0</v>
      </c>
      <c r="N632">
        <v>8</v>
      </c>
      <c r="O632" t="s">
        <v>151</v>
      </c>
      <c r="P632">
        <v>100</v>
      </c>
      <c r="Q632">
        <f>QtyRemaining*EstMfgMin/60</f>
        <v>13.333333333333334</v>
      </c>
      <c r="R632" t="s">
        <v>1445</v>
      </c>
      <c r="U632" t="e">
        <f t="shared" si="20"/>
        <v>#REF!</v>
      </c>
      <c r="V632" s="5" t="e">
        <f t="shared" si="21"/>
        <v>#REF!</v>
      </c>
    </row>
    <row r="633" spans="1:22" x14ac:dyDescent="0.25">
      <c r="A633" s="2">
        <v>46049</v>
      </c>
      <c r="B633" s="2">
        <v>45944</v>
      </c>
      <c r="C633" t="s">
        <v>465</v>
      </c>
      <c r="D633">
        <v>5</v>
      </c>
      <c r="E633" t="s">
        <v>1392</v>
      </c>
      <c r="F633" t="s">
        <v>211</v>
      </c>
      <c r="G633" t="s">
        <v>467</v>
      </c>
      <c r="H633" t="s">
        <v>1393</v>
      </c>
      <c r="I633" t="s">
        <v>214</v>
      </c>
      <c r="J633" s="3" t="s">
        <v>1446</v>
      </c>
      <c r="K633" t="s">
        <v>1447</v>
      </c>
      <c r="L633" s="4">
        <v>1</v>
      </c>
      <c r="M633" s="4">
        <v>0</v>
      </c>
      <c r="N633">
        <v>1</v>
      </c>
      <c r="O633" t="s">
        <v>457</v>
      </c>
      <c r="P633">
        <v>46</v>
      </c>
      <c r="Q633">
        <f>QtyRemaining*EstMfgMin/60</f>
        <v>0.76666666666666672</v>
      </c>
      <c r="U633" t="e">
        <f t="shared" si="20"/>
        <v>#REF!</v>
      </c>
      <c r="V633" s="5" t="e">
        <f t="shared" si="21"/>
        <v>#REF!</v>
      </c>
    </row>
    <row r="634" spans="1:22" x14ac:dyDescent="0.25">
      <c r="A634" s="2">
        <v>46049</v>
      </c>
      <c r="B634" s="2">
        <v>45944</v>
      </c>
      <c r="C634" t="s">
        <v>465</v>
      </c>
      <c r="D634">
        <v>5</v>
      </c>
      <c r="E634" t="s">
        <v>1392</v>
      </c>
      <c r="F634" t="s">
        <v>211</v>
      </c>
      <c r="G634" t="s">
        <v>467</v>
      </c>
      <c r="H634" t="s">
        <v>1393</v>
      </c>
      <c r="I634" t="s">
        <v>214</v>
      </c>
      <c r="J634" s="3" t="s">
        <v>1448</v>
      </c>
      <c r="K634" t="s">
        <v>1449</v>
      </c>
      <c r="L634" s="4">
        <v>1</v>
      </c>
      <c r="M634" s="4">
        <v>0</v>
      </c>
      <c r="N634">
        <v>1</v>
      </c>
      <c r="O634" t="s">
        <v>94</v>
      </c>
      <c r="P634">
        <v>60</v>
      </c>
      <c r="Q634">
        <f>QtyRemaining*EstMfgMin/60</f>
        <v>1</v>
      </c>
      <c r="U634" t="e">
        <f t="shared" si="20"/>
        <v>#REF!</v>
      </c>
      <c r="V634" s="5" t="e">
        <f t="shared" si="21"/>
        <v>#REF!</v>
      </c>
    </row>
    <row r="635" spans="1:22" x14ac:dyDescent="0.25">
      <c r="A635" s="2">
        <v>46049</v>
      </c>
      <c r="B635" s="2">
        <v>45950</v>
      </c>
      <c r="C635" t="s">
        <v>465</v>
      </c>
      <c r="D635">
        <v>5</v>
      </c>
      <c r="E635" t="s">
        <v>1450</v>
      </c>
      <c r="F635" t="s">
        <v>211</v>
      </c>
      <c r="G635" t="s">
        <v>467</v>
      </c>
      <c r="H635" t="s">
        <v>1451</v>
      </c>
      <c r="I635" t="s">
        <v>214</v>
      </c>
      <c r="J635" s="3" t="s">
        <v>1452</v>
      </c>
      <c r="K635" t="s">
        <v>1453</v>
      </c>
      <c r="L635" s="4">
        <v>4</v>
      </c>
      <c r="M635" s="4">
        <v>0</v>
      </c>
      <c r="N635">
        <v>4</v>
      </c>
      <c r="O635" t="s">
        <v>151</v>
      </c>
      <c r="P635">
        <v>14</v>
      </c>
      <c r="Q635">
        <f>QtyRemaining*EstMfgMin/60</f>
        <v>0.93333333333333335</v>
      </c>
      <c r="U635" t="e">
        <f t="shared" si="20"/>
        <v>#REF!</v>
      </c>
      <c r="V635" s="5" t="e">
        <f t="shared" si="21"/>
        <v>#REF!</v>
      </c>
    </row>
    <row r="636" spans="1:22" x14ac:dyDescent="0.25">
      <c r="A636" s="2">
        <v>46049</v>
      </c>
      <c r="B636" s="2">
        <v>45993</v>
      </c>
      <c r="C636" t="s">
        <v>570</v>
      </c>
      <c r="D636">
        <v>5</v>
      </c>
      <c r="E636" t="s">
        <v>1454</v>
      </c>
      <c r="F636" t="s">
        <v>261</v>
      </c>
      <c r="G636" t="s">
        <v>1455</v>
      </c>
      <c r="H636" t="s">
        <v>1456</v>
      </c>
      <c r="I636" t="s">
        <v>83</v>
      </c>
      <c r="J636" s="3" t="s">
        <v>1457</v>
      </c>
      <c r="K636" t="s">
        <v>1458</v>
      </c>
      <c r="L636" s="4">
        <v>4</v>
      </c>
      <c r="M636" s="4">
        <v>0</v>
      </c>
      <c r="N636">
        <v>4</v>
      </c>
      <c r="O636" t="s">
        <v>118</v>
      </c>
      <c r="P636">
        <v>40</v>
      </c>
      <c r="Q636">
        <f>QtyRemaining*EstMfgMin/60</f>
        <v>2.6666666666666665</v>
      </c>
      <c r="U636" t="e">
        <f t="shared" si="20"/>
        <v>#REF!</v>
      </c>
      <c r="V636" s="5" t="e">
        <f t="shared" si="21"/>
        <v>#REF!</v>
      </c>
    </row>
    <row r="637" spans="1:22" x14ac:dyDescent="0.25">
      <c r="A637" s="2">
        <v>46049</v>
      </c>
      <c r="B637" s="2">
        <v>45993</v>
      </c>
      <c r="C637" t="s">
        <v>570</v>
      </c>
      <c r="D637">
        <v>5</v>
      </c>
      <c r="E637" t="s">
        <v>1454</v>
      </c>
      <c r="F637" t="s">
        <v>261</v>
      </c>
      <c r="G637" t="s">
        <v>1455</v>
      </c>
      <c r="H637" t="s">
        <v>1456</v>
      </c>
      <c r="I637" t="s">
        <v>83</v>
      </c>
      <c r="J637" s="3" t="s">
        <v>724</v>
      </c>
      <c r="K637" t="s">
        <v>725</v>
      </c>
      <c r="L637" s="4">
        <v>1</v>
      </c>
      <c r="M637" s="4">
        <v>0</v>
      </c>
      <c r="N637">
        <v>1</v>
      </c>
      <c r="P637">
        <v>0</v>
      </c>
      <c r="Q637">
        <f>QtyRemaining*EstMfgMin/60</f>
        <v>0</v>
      </c>
      <c r="U637" t="e">
        <f t="shared" si="20"/>
        <v>#REF!</v>
      </c>
      <c r="V637" s="5" t="e">
        <f t="shared" si="21"/>
        <v>#REF!</v>
      </c>
    </row>
    <row r="638" spans="1:22" x14ac:dyDescent="0.25">
      <c r="A638" s="2">
        <v>46049</v>
      </c>
      <c r="B638" s="2">
        <v>46003</v>
      </c>
      <c r="C638" t="s">
        <v>232</v>
      </c>
      <c r="D638">
        <v>5</v>
      </c>
      <c r="E638" t="s">
        <v>1459</v>
      </c>
      <c r="F638" t="s">
        <v>211</v>
      </c>
      <c r="G638" t="s">
        <v>270</v>
      </c>
      <c r="H638" t="s">
        <v>1460</v>
      </c>
      <c r="I638" t="s">
        <v>214</v>
      </c>
      <c r="J638" s="3" t="s">
        <v>1461</v>
      </c>
      <c r="K638" t="s">
        <v>1462</v>
      </c>
      <c r="L638" s="4">
        <v>25</v>
      </c>
      <c r="M638" s="4">
        <v>0</v>
      </c>
      <c r="N638">
        <v>25</v>
      </c>
      <c r="O638" t="s">
        <v>118</v>
      </c>
      <c r="P638">
        <v>4</v>
      </c>
      <c r="Q638">
        <f>QtyRemaining*EstMfgMin/60</f>
        <v>1.6666666666666667</v>
      </c>
      <c r="U638" t="e">
        <f t="shared" si="20"/>
        <v>#REF!</v>
      </c>
      <c r="V638" s="5" t="e">
        <f t="shared" si="21"/>
        <v>#REF!</v>
      </c>
    </row>
    <row r="639" spans="1:22" x14ac:dyDescent="0.25">
      <c r="A639" s="2">
        <v>46049</v>
      </c>
      <c r="B639" s="2">
        <v>46024</v>
      </c>
      <c r="C639" t="s">
        <v>485</v>
      </c>
      <c r="D639">
        <v>5</v>
      </c>
      <c r="E639" t="s">
        <v>1463</v>
      </c>
      <c r="F639" t="s">
        <v>211</v>
      </c>
      <c r="G639" t="s">
        <v>1211</v>
      </c>
      <c r="H639" t="s">
        <v>1464</v>
      </c>
      <c r="I639" t="s">
        <v>214</v>
      </c>
      <c r="J639" s="3" t="s">
        <v>1465</v>
      </c>
      <c r="K639" t="s">
        <v>1466</v>
      </c>
      <c r="L639" s="4">
        <v>2</v>
      </c>
      <c r="M639" s="4">
        <v>0</v>
      </c>
      <c r="N639">
        <v>2</v>
      </c>
      <c r="O639" t="s">
        <v>176</v>
      </c>
      <c r="P639">
        <v>14</v>
      </c>
      <c r="Q639">
        <f>QtyRemaining*EstMfgMin/60</f>
        <v>0.46666666666666667</v>
      </c>
      <c r="U639" t="e">
        <f t="shared" si="20"/>
        <v>#REF!</v>
      </c>
      <c r="V639" s="5" t="e">
        <f t="shared" si="21"/>
        <v>#REF!</v>
      </c>
    </row>
    <row r="640" spans="1:22" x14ac:dyDescent="0.25">
      <c r="A640" s="2">
        <v>46049</v>
      </c>
      <c r="B640" s="2">
        <v>46024</v>
      </c>
      <c r="C640" t="s">
        <v>485</v>
      </c>
      <c r="D640">
        <v>5</v>
      </c>
      <c r="E640" t="s">
        <v>1463</v>
      </c>
      <c r="F640" t="s">
        <v>211</v>
      </c>
      <c r="G640" t="s">
        <v>1211</v>
      </c>
      <c r="H640" t="s">
        <v>1464</v>
      </c>
      <c r="I640" t="s">
        <v>214</v>
      </c>
      <c r="J640" s="3" t="s">
        <v>1467</v>
      </c>
      <c r="K640" t="s">
        <v>1468</v>
      </c>
      <c r="L640" s="4">
        <v>2</v>
      </c>
      <c r="M640" s="4">
        <v>0</v>
      </c>
      <c r="N640">
        <v>2</v>
      </c>
      <c r="O640" t="s">
        <v>176</v>
      </c>
      <c r="P640">
        <v>5</v>
      </c>
      <c r="Q640">
        <f>QtyRemaining*EstMfgMin/60</f>
        <v>0.16666666666666666</v>
      </c>
      <c r="U640" t="e">
        <f t="shared" si="20"/>
        <v>#REF!</v>
      </c>
      <c r="V640" s="5" t="e">
        <f t="shared" si="21"/>
        <v>#REF!</v>
      </c>
    </row>
    <row r="641" spans="1:22" x14ac:dyDescent="0.25">
      <c r="A641" s="2">
        <v>46049</v>
      </c>
      <c r="B641" s="2">
        <v>46024</v>
      </c>
      <c r="C641" t="s">
        <v>485</v>
      </c>
      <c r="D641">
        <v>5</v>
      </c>
      <c r="E641" t="s">
        <v>1463</v>
      </c>
      <c r="F641" t="s">
        <v>211</v>
      </c>
      <c r="G641" t="s">
        <v>1211</v>
      </c>
      <c r="H641" t="s">
        <v>1464</v>
      </c>
      <c r="I641" t="s">
        <v>214</v>
      </c>
      <c r="J641" s="3" t="s">
        <v>1469</v>
      </c>
      <c r="K641" t="s">
        <v>1470</v>
      </c>
      <c r="L641" s="4">
        <v>4</v>
      </c>
      <c r="M641" s="4">
        <v>0</v>
      </c>
      <c r="N641">
        <v>4</v>
      </c>
      <c r="O641" t="s">
        <v>1471</v>
      </c>
      <c r="P641">
        <v>6</v>
      </c>
      <c r="Q641">
        <f>QtyRemaining*EstMfgMin/60</f>
        <v>0.4</v>
      </c>
      <c r="U641" t="e">
        <f t="shared" si="20"/>
        <v>#REF!</v>
      </c>
      <c r="V641" s="5" t="e">
        <f t="shared" si="21"/>
        <v>#REF!</v>
      </c>
    </row>
    <row r="642" spans="1:22" x14ac:dyDescent="0.25">
      <c r="A642" s="2">
        <v>46049</v>
      </c>
      <c r="B642" s="2">
        <v>46024</v>
      </c>
      <c r="C642" t="s">
        <v>485</v>
      </c>
      <c r="D642">
        <v>5</v>
      </c>
      <c r="E642" t="s">
        <v>1463</v>
      </c>
      <c r="F642" t="s">
        <v>211</v>
      </c>
      <c r="G642" t="s">
        <v>1211</v>
      </c>
      <c r="H642" t="s">
        <v>1464</v>
      </c>
      <c r="I642" t="s">
        <v>214</v>
      </c>
      <c r="J642" s="3" t="s">
        <v>1472</v>
      </c>
      <c r="K642" t="s">
        <v>1473</v>
      </c>
      <c r="L642" s="4">
        <v>2</v>
      </c>
      <c r="M642" s="4">
        <v>0</v>
      </c>
      <c r="N642">
        <v>2</v>
      </c>
      <c r="O642" t="s">
        <v>176</v>
      </c>
      <c r="P642">
        <v>0</v>
      </c>
      <c r="Q642">
        <f>QtyRemaining*EstMfgMin/60</f>
        <v>0</v>
      </c>
      <c r="U642" t="e">
        <f t="shared" si="20"/>
        <v>#REF!</v>
      </c>
      <c r="V642" s="5" t="e">
        <f t="shared" si="21"/>
        <v>#REF!</v>
      </c>
    </row>
    <row r="643" spans="1:22" x14ac:dyDescent="0.25">
      <c r="A643" s="2">
        <v>46049</v>
      </c>
      <c r="B643" s="2">
        <v>46024</v>
      </c>
      <c r="C643" t="s">
        <v>485</v>
      </c>
      <c r="D643">
        <v>5</v>
      </c>
      <c r="E643" t="s">
        <v>1463</v>
      </c>
      <c r="F643" t="s">
        <v>211</v>
      </c>
      <c r="G643" t="s">
        <v>1211</v>
      </c>
      <c r="H643" t="s">
        <v>1464</v>
      </c>
      <c r="I643" t="s">
        <v>214</v>
      </c>
      <c r="J643" s="3" t="s">
        <v>1474</v>
      </c>
      <c r="K643" t="s">
        <v>1475</v>
      </c>
      <c r="L643" s="4">
        <v>2</v>
      </c>
      <c r="M643" s="4">
        <v>0</v>
      </c>
      <c r="N643">
        <v>2</v>
      </c>
      <c r="O643" t="s">
        <v>176</v>
      </c>
      <c r="P643">
        <v>20</v>
      </c>
      <c r="Q643">
        <f>QtyRemaining*EstMfgMin/60</f>
        <v>0.66666666666666663</v>
      </c>
      <c r="U643" t="e">
        <f t="shared" ref="U643:U706" si="22">VLOOKUP(A643,Calendar,13,FALSE)</f>
        <v>#REF!</v>
      </c>
      <c r="V643" s="5" t="e">
        <f t="shared" ref="V643:V706" si="23">VLOOKUP(A643,Calendar,14,FALSE)</f>
        <v>#REF!</v>
      </c>
    </row>
    <row r="644" spans="1:22" x14ac:dyDescent="0.25">
      <c r="A644" s="2">
        <v>46049</v>
      </c>
      <c r="B644" s="2">
        <v>46024</v>
      </c>
      <c r="C644" t="s">
        <v>485</v>
      </c>
      <c r="D644">
        <v>5</v>
      </c>
      <c r="E644" t="s">
        <v>1463</v>
      </c>
      <c r="F644" t="s">
        <v>211</v>
      </c>
      <c r="G644" t="s">
        <v>1211</v>
      </c>
      <c r="H644" t="s">
        <v>1464</v>
      </c>
      <c r="I644" t="s">
        <v>214</v>
      </c>
      <c r="J644" s="3" t="s">
        <v>1476</v>
      </c>
      <c r="K644" t="s">
        <v>1477</v>
      </c>
      <c r="L644" s="4">
        <v>2</v>
      </c>
      <c r="M644" s="4">
        <v>0</v>
      </c>
      <c r="N644">
        <v>2</v>
      </c>
      <c r="O644" t="s">
        <v>176</v>
      </c>
      <c r="P644">
        <v>8</v>
      </c>
      <c r="Q644">
        <f>QtyRemaining*EstMfgMin/60</f>
        <v>0.26666666666666666</v>
      </c>
      <c r="U644" t="e">
        <f t="shared" si="22"/>
        <v>#REF!</v>
      </c>
      <c r="V644" s="5" t="e">
        <f t="shared" si="23"/>
        <v>#REF!</v>
      </c>
    </row>
    <row r="645" spans="1:22" x14ac:dyDescent="0.25">
      <c r="A645" s="2">
        <v>46049</v>
      </c>
      <c r="B645" s="2">
        <v>46024</v>
      </c>
      <c r="C645" t="s">
        <v>485</v>
      </c>
      <c r="D645">
        <v>5</v>
      </c>
      <c r="E645" t="s">
        <v>1463</v>
      </c>
      <c r="F645" t="s">
        <v>211</v>
      </c>
      <c r="G645" t="s">
        <v>1211</v>
      </c>
      <c r="H645" t="s">
        <v>1464</v>
      </c>
      <c r="I645" t="s">
        <v>214</v>
      </c>
      <c r="J645" s="3" t="s">
        <v>1478</v>
      </c>
      <c r="K645" t="s">
        <v>1479</v>
      </c>
      <c r="L645" s="4">
        <v>2</v>
      </c>
      <c r="M645" s="4">
        <v>0</v>
      </c>
      <c r="N645">
        <v>2</v>
      </c>
      <c r="O645" t="s">
        <v>176</v>
      </c>
      <c r="P645">
        <v>6</v>
      </c>
      <c r="Q645">
        <f>QtyRemaining*EstMfgMin/60</f>
        <v>0.2</v>
      </c>
      <c r="U645" t="e">
        <f t="shared" si="22"/>
        <v>#REF!</v>
      </c>
      <c r="V645" s="5" t="e">
        <f t="shared" si="23"/>
        <v>#REF!</v>
      </c>
    </row>
    <row r="646" spans="1:22" x14ac:dyDescent="0.25">
      <c r="A646" s="2">
        <v>46049</v>
      </c>
      <c r="B646" s="2">
        <v>46049</v>
      </c>
      <c r="C646" t="s">
        <v>465</v>
      </c>
      <c r="D646">
        <v>5</v>
      </c>
      <c r="E646" t="s">
        <v>1480</v>
      </c>
      <c r="F646" t="s">
        <v>211</v>
      </c>
      <c r="G646" t="s">
        <v>467</v>
      </c>
      <c r="H646" t="s">
        <v>1481</v>
      </c>
      <c r="I646" t="s">
        <v>214</v>
      </c>
      <c r="J646" s="3" t="s">
        <v>928</v>
      </c>
      <c r="K646" t="s">
        <v>929</v>
      </c>
      <c r="L646" s="4">
        <v>-1</v>
      </c>
      <c r="M646" s="4">
        <v>0</v>
      </c>
      <c r="N646">
        <v>-1</v>
      </c>
      <c r="O646" t="s">
        <v>176</v>
      </c>
      <c r="P646">
        <v>172</v>
      </c>
      <c r="Q646">
        <f>QtyRemaining*EstMfgMin/60</f>
        <v>-2.8666666666666667</v>
      </c>
      <c r="U646" t="e">
        <f t="shared" si="22"/>
        <v>#REF!</v>
      </c>
      <c r="V646" s="5" t="e">
        <f t="shared" si="23"/>
        <v>#REF!</v>
      </c>
    </row>
    <row r="647" spans="1:22" x14ac:dyDescent="0.25">
      <c r="A647" s="2">
        <v>46049</v>
      </c>
      <c r="B647" s="2">
        <v>46049</v>
      </c>
      <c r="C647" t="s">
        <v>465</v>
      </c>
      <c r="D647">
        <v>5</v>
      </c>
      <c r="E647" t="s">
        <v>1480</v>
      </c>
      <c r="F647" t="s">
        <v>211</v>
      </c>
      <c r="G647" t="s">
        <v>467</v>
      </c>
      <c r="H647" t="s">
        <v>1481</v>
      </c>
      <c r="I647" t="s">
        <v>214</v>
      </c>
      <c r="J647" s="3" t="s">
        <v>928</v>
      </c>
      <c r="K647" t="s">
        <v>929</v>
      </c>
      <c r="L647" s="4">
        <v>1</v>
      </c>
      <c r="M647" s="4">
        <v>0</v>
      </c>
      <c r="N647">
        <v>1</v>
      </c>
      <c r="O647" t="s">
        <v>176</v>
      </c>
      <c r="P647">
        <v>172</v>
      </c>
      <c r="Q647">
        <f>QtyRemaining*EstMfgMin/60</f>
        <v>2.8666666666666667</v>
      </c>
      <c r="U647" t="e">
        <f t="shared" si="22"/>
        <v>#REF!</v>
      </c>
      <c r="V647" s="5" t="e">
        <f t="shared" si="23"/>
        <v>#REF!</v>
      </c>
    </row>
    <row r="648" spans="1:22" x14ac:dyDescent="0.25">
      <c r="A648" s="2">
        <v>46049</v>
      </c>
      <c r="B648" s="2">
        <v>46049</v>
      </c>
      <c r="C648" t="s">
        <v>465</v>
      </c>
      <c r="D648">
        <v>5</v>
      </c>
      <c r="E648" t="s">
        <v>1480</v>
      </c>
      <c r="F648" t="s">
        <v>211</v>
      </c>
      <c r="G648" t="s">
        <v>467</v>
      </c>
      <c r="H648" t="s">
        <v>1481</v>
      </c>
      <c r="I648" t="s">
        <v>214</v>
      </c>
      <c r="J648" s="3" t="s">
        <v>272</v>
      </c>
      <c r="K648" t="s">
        <v>325</v>
      </c>
      <c r="L648" s="4">
        <v>1</v>
      </c>
      <c r="M648" s="4">
        <v>0</v>
      </c>
      <c r="N648">
        <v>1</v>
      </c>
      <c r="P648">
        <v>0</v>
      </c>
      <c r="Q648">
        <f>QtyRemaining*EstMfgMin/60</f>
        <v>0</v>
      </c>
      <c r="U648" t="e">
        <f t="shared" si="22"/>
        <v>#REF!</v>
      </c>
      <c r="V648" s="5" t="e">
        <f t="shared" si="23"/>
        <v>#REF!</v>
      </c>
    </row>
    <row r="649" spans="1:22" x14ac:dyDescent="0.25">
      <c r="A649" s="2">
        <v>46050</v>
      </c>
      <c r="B649" s="2">
        <v>45854</v>
      </c>
      <c r="C649" t="s">
        <v>633</v>
      </c>
      <c r="D649">
        <v>5</v>
      </c>
      <c r="E649" t="s">
        <v>1482</v>
      </c>
      <c r="F649" t="s">
        <v>261</v>
      </c>
      <c r="G649" t="s">
        <v>262</v>
      </c>
      <c r="H649" t="s">
        <v>1483</v>
      </c>
      <c r="I649" t="s">
        <v>122</v>
      </c>
      <c r="J649" s="3" t="s">
        <v>787</v>
      </c>
      <c r="K649" t="s">
        <v>788</v>
      </c>
      <c r="L649" s="4">
        <v>164</v>
      </c>
      <c r="M649" s="4">
        <v>0</v>
      </c>
      <c r="N649">
        <v>164</v>
      </c>
      <c r="O649" t="s">
        <v>457</v>
      </c>
      <c r="P649">
        <v>100</v>
      </c>
      <c r="Q649">
        <f>QtyRemaining*EstMfgMin/60</f>
        <v>273.33333333333331</v>
      </c>
      <c r="U649" t="e">
        <f t="shared" si="22"/>
        <v>#REF!</v>
      </c>
      <c r="V649" s="5" t="e">
        <f t="shared" si="23"/>
        <v>#REF!</v>
      </c>
    </row>
    <row r="650" spans="1:22" x14ac:dyDescent="0.25">
      <c r="A650" s="2">
        <v>46050</v>
      </c>
      <c r="B650" s="2">
        <v>45854</v>
      </c>
      <c r="C650" t="s">
        <v>633</v>
      </c>
      <c r="D650">
        <v>5</v>
      </c>
      <c r="E650" t="s">
        <v>1484</v>
      </c>
      <c r="F650" t="s">
        <v>261</v>
      </c>
      <c r="G650" t="s">
        <v>262</v>
      </c>
      <c r="H650" t="s">
        <v>1485</v>
      </c>
      <c r="I650" t="s">
        <v>155</v>
      </c>
      <c r="J650" s="3" t="s">
        <v>1486</v>
      </c>
      <c r="K650" t="s">
        <v>808</v>
      </c>
      <c r="L650" s="4">
        <v>1</v>
      </c>
      <c r="M650" s="4">
        <v>0</v>
      </c>
      <c r="N650">
        <v>1</v>
      </c>
      <c r="O650" t="s">
        <v>118</v>
      </c>
      <c r="P650">
        <v>120</v>
      </c>
      <c r="Q650">
        <f>QtyRemaining*EstMfgMin/60</f>
        <v>2</v>
      </c>
      <c r="R650" t="s">
        <v>1487</v>
      </c>
      <c r="U650" t="e">
        <f t="shared" si="22"/>
        <v>#REF!</v>
      </c>
      <c r="V650" s="5" t="e">
        <f t="shared" si="23"/>
        <v>#REF!</v>
      </c>
    </row>
    <row r="651" spans="1:22" x14ac:dyDescent="0.25">
      <c r="A651" s="2">
        <v>46050</v>
      </c>
      <c r="B651" s="2">
        <v>45854</v>
      </c>
      <c r="C651" t="s">
        <v>633</v>
      </c>
      <c r="D651">
        <v>5</v>
      </c>
      <c r="E651" t="s">
        <v>1484</v>
      </c>
      <c r="F651" t="s">
        <v>261</v>
      </c>
      <c r="G651" t="s">
        <v>262</v>
      </c>
      <c r="H651" t="s">
        <v>1485</v>
      </c>
      <c r="I651" t="s">
        <v>155</v>
      </c>
      <c r="J651" s="3" t="s">
        <v>1486</v>
      </c>
      <c r="K651" t="s">
        <v>808</v>
      </c>
      <c r="L651" s="4">
        <v>1</v>
      </c>
      <c r="M651" s="4">
        <v>0</v>
      </c>
      <c r="N651">
        <v>1</v>
      </c>
      <c r="O651" t="s">
        <v>118</v>
      </c>
      <c r="P651">
        <v>120</v>
      </c>
      <c r="Q651">
        <f>QtyRemaining*EstMfgMin/60</f>
        <v>2</v>
      </c>
      <c r="R651" t="s">
        <v>1487</v>
      </c>
      <c r="U651" t="e">
        <f t="shared" si="22"/>
        <v>#REF!</v>
      </c>
      <c r="V651" s="5" t="e">
        <f t="shared" si="23"/>
        <v>#REF!</v>
      </c>
    </row>
    <row r="652" spans="1:22" x14ac:dyDescent="0.25">
      <c r="A652" s="2">
        <v>46050</v>
      </c>
      <c r="B652" s="2">
        <v>45854</v>
      </c>
      <c r="C652" t="s">
        <v>633</v>
      </c>
      <c r="D652">
        <v>5</v>
      </c>
      <c r="E652" t="s">
        <v>1484</v>
      </c>
      <c r="F652" t="s">
        <v>261</v>
      </c>
      <c r="G652" t="s">
        <v>262</v>
      </c>
      <c r="H652" t="s">
        <v>1485</v>
      </c>
      <c r="I652" t="s">
        <v>155</v>
      </c>
      <c r="J652" s="3" t="s">
        <v>1486</v>
      </c>
      <c r="K652" t="s">
        <v>808</v>
      </c>
      <c r="L652" s="4">
        <v>1</v>
      </c>
      <c r="M652" s="4">
        <v>0</v>
      </c>
      <c r="N652">
        <v>1</v>
      </c>
      <c r="O652" t="s">
        <v>118</v>
      </c>
      <c r="P652">
        <v>120</v>
      </c>
      <c r="Q652">
        <f>QtyRemaining*EstMfgMin/60</f>
        <v>2</v>
      </c>
      <c r="R652" t="s">
        <v>1487</v>
      </c>
      <c r="U652" t="e">
        <f t="shared" si="22"/>
        <v>#REF!</v>
      </c>
      <c r="V652" s="5" t="e">
        <f t="shared" si="23"/>
        <v>#REF!</v>
      </c>
    </row>
    <row r="653" spans="1:22" x14ac:dyDescent="0.25">
      <c r="A653" s="2">
        <v>46050</v>
      </c>
      <c r="B653" s="2">
        <v>45854</v>
      </c>
      <c r="C653" t="s">
        <v>633</v>
      </c>
      <c r="D653">
        <v>5</v>
      </c>
      <c r="E653" t="s">
        <v>1484</v>
      </c>
      <c r="F653" t="s">
        <v>261</v>
      </c>
      <c r="G653" t="s">
        <v>262</v>
      </c>
      <c r="H653" t="s">
        <v>1485</v>
      </c>
      <c r="I653" t="s">
        <v>155</v>
      </c>
      <c r="J653" s="3" t="s">
        <v>1486</v>
      </c>
      <c r="K653" t="s">
        <v>808</v>
      </c>
      <c r="L653" s="4">
        <v>1</v>
      </c>
      <c r="M653" s="4">
        <v>0</v>
      </c>
      <c r="N653">
        <v>1</v>
      </c>
      <c r="O653" t="s">
        <v>118</v>
      </c>
      <c r="P653">
        <v>120</v>
      </c>
      <c r="Q653">
        <f>QtyRemaining*EstMfgMin/60</f>
        <v>2</v>
      </c>
      <c r="R653" t="s">
        <v>1487</v>
      </c>
      <c r="U653" t="e">
        <f t="shared" si="22"/>
        <v>#REF!</v>
      </c>
      <c r="V653" s="5" t="e">
        <f t="shared" si="23"/>
        <v>#REF!</v>
      </c>
    </row>
    <row r="654" spans="1:22" x14ac:dyDescent="0.25">
      <c r="A654" s="2">
        <v>46050</v>
      </c>
      <c r="B654" s="2">
        <v>45933</v>
      </c>
      <c r="C654" t="s">
        <v>478</v>
      </c>
      <c r="D654">
        <v>5</v>
      </c>
      <c r="E654" t="s">
        <v>1488</v>
      </c>
      <c r="F654" t="s">
        <v>261</v>
      </c>
      <c r="G654" t="s">
        <v>1228</v>
      </c>
      <c r="H654" t="s">
        <v>1489</v>
      </c>
      <c r="I654" t="s">
        <v>155</v>
      </c>
      <c r="J654" s="3" t="s">
        <v>1490</v>
      </c>
      <c r="K654" t="s">
        <v>1491</v>
      </c>
      <c r="L654" s="4">
        <v>4</v>
      </c>
      <c r="M654" s="4">
        <v>0</v>
      </c>
      <c r="N654">
        <v>4</v>
      </c>
      <c r="O654" t="s">
        <v>146</v>
      </c>
      <c r="P654">
        <v>52</v>
      </c>
      <c r="Q654">
        <f>QtyRemaining*EstMfgMin/60</f>
        <v>3.4666666666666668</v>
      </c>
      <c r="R654" t="s">
        <v>967</v>
      </c>
      <c r="U654" t="e">
        <f t="shared" si="22"/>
        <v>#REF!</v>
      </c>
      <c r="V654" s="5" t="e">
        <f t="shared" si="23"/>
        <v>#REF!</v>
      </c>
    </row>
    <row r="655" spans="1:22" x14ac:dyDescent="0.25">
      <c r="A655" s="2">
        <v>46050</v>
      </c>
      <c r="B655" s="2">
        <v>45933</v>
      </c>
      <c r="C655" t="s">
        <v>478</v>
      </c>
      <c r="D655">
        <v>5</v>
      </c>
      <c r="E655" t="s">
        <v>1488</v>
      </c>
      <c r="F655" t="s">
        <v>261</v>
      </c>
      <c r="G655" t="s">
        <v>1228</v>
      </c>
      <c r="H655" t="s">
        <v>1489</v>
      </c>
      <c r="I655" t="s">
        <v>155</v>
      </c>
      <c r="J655" s="3" t="s">
        <v>875</v>
      </c>
      <c r="K655" t="s">
        <v>1492</v>
      </c>
      <c r="L655" s="4">
        <v>1</v>
      </c>
      <c r="M655" s="4">
        <v>0</v>
      </c>
      <c r="N655">
        <v>1</v>
      </c>
      <c r="P655">
        <v>0</v>
      </c>
      <c r="Q655">
        <f>QtyRemaining*EstMfgMin/60</f>
        <v>0</v>
      </c>
      <c r="U655" t="e">
        <f t="shared" si="22"/>
        <v>#REF!</v>
      </c>
      <c r="V655" s="5" t="e">
        <f t="shared" si="23"/>
        <v>#REF!</v>
      </c>
    </row>
    <row r="656" spans="1:22" x14ac:dyDescent="0.25">
      <c r="A656" s="2">
        <v>46050</v>
      </c>
      <c r="B656" s="2">
        <v>45950</v>
      </c>
      <c r="C656" t="s">
        <v>465</v>
      </c>
      <c r="D656">
        <v>5</v>
      </c>
      <c r="E656" t="s">
        <v>1493</v>
      </c>
      <c r="F656" t="s">
        <v>211</v>
      </c>
      <c r="G656" t="s">
        <v>467</v>
      </c>
      <c r="H656" t="s">
        <v>1494</v>
      </c>
      <c r="I656" t="s">
        <v>214</v>
      </c>
      <c r="J656" s="3" t="s">
        <v>1495</v>
      </c>
      <c r="K656" t="s">
        <v>1496</v>
      </c>
      <c r="L656" s="4">
        <v>1</v>
      </c>
      <c r="M656" s="4">
        <v>0</v>
      </c>
      <c r="N656">
        <v>1</v>
      </c>
      <c r="O656" t="s">
        <v>94</v>
      </c>
      <c r="P656">
        <v>102</v>
      </c>
      <c r="Q656">
        <f>QtyRemaining*EstMfgMin/60</f>
        <v>1.7</v>
      </c>
      <c r="U656" t="e">
        <f t="shared" si="22"/>
        <v>#REF!</v>
      </c>
      <c r="V656" s="5" t="e">
        <f t="shared" si="23"/>
        <v>#REF!</v>
      </c>
    </row>
    <row r="657" spans="1:22" x14ac:dyDescent="0.25">
      <c r="A657" s="2">
        <v>46050</v>
      </c>
      <c r="B657" s="2">
        <v>45950</v>
      </c>
      <c r="C657" t="s">
        <v>465</v>
      </c>
      <c r="D657">
        <v>5</v>
      </c>
      <c r="E657" t="s">
        <v>1493</v>
      </c>
      <c r="F657" t="s">
        <v>211</v>
      </c>
      <c r="G657" t="s">
        <v>467</v>
      </c>
      <c r="H657" t="s">
        <v>1494</v>
      </c>
      <c r="I657" t="s">
        <v>214</v>
      </c>
      <c r="J657" s="3" t="s">
        <v>1497</v>
      </c>
      <c r="K657" t="s">
        <v>1498</v>
      </c>
      <c r="L657" s="4">
        <v>1</v>
      </c>
      <c r="M657" s="4">
        <v>0</v>
      </c>
      <c r="N657">
        <v>1</v>
      </c>
      <c r="O657" t="s">
        <v>94</v>
      </c>
      <c r="P657">
        <v>102</v>
      </c>
      <c r="Q657">
        <f>QtyRemaining*EstMfgMin/60</f>
        <v>1.7</v>
      </c>
      <c r="U657" t="e">
        <f t="shared" si="22"/>
        <v>#REF!</v>
      </c>
      <c r="V657" s="5" t="e">
        <f t="shared" si="23"/>
        <v>#REF!</v>
      </c>
    </row>
    <row r="658" spans="1:22" x14ac:dyDescent="0.25">
      <c r="A658" s="2">
        <v>46050</v>
      </c>
      <c r="B658" s="2">
        <v>45957</v>
      </c>
      <c r="C658" t="s">
        <v>485</v>
      </c>
      <c r="D658">
        <v>5</v>
      </c>
      <c r="E658" t="s">
        <v>1499</v>
      </c>
      <c r="F658" t="s">
        <v>211</v>
      </c>
      <c r="G658" t="s">
        <v>864</v>
      </c>
      <c r="H658" t="s">
        <v>1500</v>
      </c>
      <c r="I658" t="s">
        <v>214</v>
      </c>
      <c r="J658" s="3" t="s">
        <v>1501</v>
      </c>
      <c r="K658" t="s">
        <v>1502</v>
      </c>
      <c r="L658" s="4">
        <v>10</v>
      </c>
      <c r="M658" s="4">
        <v>0</v>
      </c>
      <c r="N658">
        <v>10</v>
      </c>
      <c r="O658" t="s">
        <v>514</v>
      </c>
      <c r="P658">
        <v>3</v>
      </c>
      <c r="Q658">
        <f>QtyRemaining*EstMfgMin/60</f>
        <v>0.5</v>
      </c>
      <c r="U658" t="e">
        <f t="shared" si="22"/>
        <v>#REF!</v>
      </c>
      <c r="V658" s="5" t="e">
        <f t="shared" si="23"/>
        <v>#REF!</v>
      </c>
    </row>
    <row r="659" spans="1:22" x14ac:dyDescent="0.25">
      <c r="A659" s="2">
        <v>46050</v>
      </c>
      <c r="B659" s="2">
        <v>45958</v>
      </c>
      <c r="C659" t="s">
        <v>570</v>
      </c>
      <c r="D659">
        <v>5</v>
      </c>
      <c r="E659" t="s">
        <v>810</v>
      </c>
      <c r="F659" t="s">
        <v>261</v>
      </c>
      <c r="G659" t="s">
        <v>811</v>
      </c>
      <c r="H659" t="s">
        <v>812</v>
      </c>
      <c r="I659" t="s">
        <v>83</v>
      </c>
      <c r="J659" s="3" t="s">
        <v>1503</v>
      </c>
      <c r="K659" t="s">
        <v>952</v>
      </c>
      <c r="L659" s="4">
        <v>7</v>
      </c>
      <c r="M659" s="4">
        <v>0</v>
      </c>
      <c r="N659">
        <v>7</v>
      </c>
      <c r="O659" t="s">
        <v>176</v>
      </c>
      <c r="P659">
        <v>40</v>
      </c>
      <c r="Q659">
        <f>QtyRemaining*EstMfgMin/60</f>
        <v>4.666666666666667</v>
      </c>
      <c r="U659" t="e">
        <f t="shared" si="22"/>
        <v>#REF!</v>
      </c>
      <c r="V659" s="5" t="e">
        <f t="shared" si="23"/>
        <v>#REF!</v>
      </c>
    </row>
    <row r="660" spans="1:22" x14ac:dyDescent="0.25">
      <c r="A660" s="2">
        <v>46050</v>
      </c>
      <c r="B660" s="2">
        <v>46014</v>
      </c>
      <c r="C660" t="s">
        <v>465</v>
      </c>
      <c r="D660">
        <v>5</v>
      </c>
      <c r="E660" t="s">
        <v>1504</v>
      </c>
      <c r="F660" t="s">
        <v>211</v>
      </c>
      <c r="G660" t="s">
        <v>467</v>
      </c>
      <c r="H660" t="s">
        <v>1505</v>
      </c>
      <c r="I660" t="s">
        <v>214</v>
      </c>
      <c r="J660" s="3" t="s">
        <v>1156</v>
      </c>
      <c r="K660" t="s">
        <v>1157</v>
      </c>
      <c r="L660" s="4">
        <v>1</v>
      </c>
      <c r="M660" s="4">
        <v>0</v>
      </c>
      <c r="N660">
        <v>1</v>
      </c>
      <c r="O660" t="s">
        <v>94</v>
      </c>
      <c r="P660">
        <v>72</v>
      </c>
      <c r="Q660">
        <f>QtyRemaining*EstMfgMin/60</f>
        <v>1.2</v>
      </c>
      <c r="U660" t="e">
        <f t="shared" si="22"/>
        <v>#REF!</v>
      </c>
      <c r="V660" s="5" t="e">
        <f t="shared" si="23"/>
        <v>#REF!</v>
      </c>
    </row>
    <row r="661" spans="1:22" x14ac:dyDescent="0.25">
      <c r="A661" s="2">
        <v>46050</v>
      </c>
      <c r="B661" s="2">
        <v>46036</v>
      </c>
      <c r="C661" t="s">
        <v>465</v>
      </c>
      <c r="D661">
        <v>5</v>
      </c>
      <c r="E661" t="s">
        <v>1506</v>
      </c>
      <c r="F661" t="s">
        <v>211</v>
      </c>
      <c r="G661" t="s">
        <v>467</v>
      </c>
      <c r="H661" t="s">
        <v>1507</v>
      </c>
      <c r="I661" t="s">
        <v>214</v>
      </c>
      <c r="J661" s="3" t="s">
        <v>1508</v>
      </c>
      <c r="K661" t="s">
        <v>1509</v>
      </c>
      <c r="L661" s="4">
        <v>1</v>
      </c>
      <c r="M661" s="4">
        <v>0</v>
      </c>
      <c r="N661">
        <v>1</v>
      </c>
      <c r="O661" t="s">
        <v>266</v>
      </c>
      <c r="P661">
        <v>48</v>
      </c>
      <c r="Q661">
        <f>QtyRemaining*EstMfgMin/60</f>
        <v>0.8</v>
      </c>
      <c r="U661" t="e">
        <f t="shared" si="22"/>
        <v>#REF!</v>
      </c>
      <c r="V661" s="5" t="e">
        <f t="shared" si="23"/>
        <v>#REF!</v>
      </c>
    </row>
    <row r="662" spans="1:22" x14ac:dyDescent="0.25">
      <c r="A662" s="2">
        <v>46050</v>
      </c>
      <c r="B662" s="2">
        <v>46050</v>
      </c>
      <c r="C662" t="s">
        <v>209</v>
      </c>
      <c r="D662">
        <v>5</v>
      </c>
      <c r="E662" t="s">
        <v>1510</v>
      </c>
      <c r="F662" t="s">
        <v>211</v>
      </c>
      <c r="G662" t="s">
        <v>1511</v>
      </c>
      <c r="H662" t="s">
        <v>1512</v>
      </c>
      <c r="I662" t="s">
        <v>1513</v>
      </c>
      <c r="J662" s="3" t="s">
        <v>219</v>
      </c>
      <c r="K662" t="s">
        <v>1514</v>
      </c>
      <c r="L662" s="4">
        <v>17290</v>
      </c>
      <c r="M662" s="4">
        <v>0</v>
      </c>
      <c r="N662">
        <v>17290</v>
      </c>
      <c r="P662">
        <v>0</v>
      </c>
      <c r="Q662">
        <f>QtyRemaining*EstMfgMin/60</f>
        <v>0</v>
      </c>
      <c r="U662" t="e">
        <f t="shared" si="22"/>
        <v>#REF!</v>
      </c>
      <c r="V662" s="5" t="e">
        <f t="shared" si="23"/>
        <v>#REF!</v>
      </c>
    </row>
    <row r="663" spans="1:22" x14ac:dyDescent="0.25">
      <c r="A663" s="2">
        <v>46050</v>
      </c>
      <c r="B663" s="2">
        <v>46050</v>
      </c>
      <c r="C663" t="s">
        <v>209</v>
      </c>
      <c r="D663">
        <v>5</v>
      </c>
      <c r="E663" t="s">
        <v>1510</v>
      </c>
      <c r="F663" t="s">
        <v>211</v>
      </c>
      <c r="G663" t="s">
        <v>1511</v>
      </c>
      <c r="H663" t="s">
        <v>1512</v>
      </c>
      <c r="I663" t="s">
        <v>1513</v>
      </c>
      <c r="J663" s="3" t="s">
        <v>219</v>
      </c>
      <c r="K663" t="s">
        <v>1514</v>
      </c>
      <c r="L663" s="4">
        <v>17290</v>
      </c>
      <c r="M663" s="4">
        <v>0</v>
      </c>
      <c r="N663">
        <v>17290</v>
      </c>
      <c r="P663">
        <v>0</v>
      </c>
      <c r="Q663">
        <f>QtyRemaining*EstMfgMin/60</f>
        <v>0</v>
      </c>
      <c r="U663" t="e">
        <f t="shared" si="22"/>
        <v>#REF!</v>
      </c>
      <c r="V663" s="5" t="e">
        <f t="shared" si="23"/>
        <v>#REF!</v>
      </c>
    </row>
    <row r="664" spans="1:22" x14ac:dyDescent="0.25">
      <c r="A664" s="2">
        <v>46050</v>
      </c>
      <c r="B664" s="2">
        <v>46050</v>
      </c>
      <c r="C664" t="s">
        <v>209</v>
      </c>
      <c r="D664">
        <v>5</v>
      </c>
      <c r="E664" t="s">
        <v>1510</v>
      </c>
      <c r="F664" t="s">
        <v>211</v>
      </c>
      <c r="G664" t="s">
        <v>1511</v>
      </c>
      <c r="H664" t="s">
        <v>1512</v>
      </c>
      <c r="I664" t="s">
        <v>1513</v>
      </c>
      <c r="J664" s="3" t="s">
        <v>219</v>
      </c>
      <c r="K664" t="s">
        <v>1515</v>
      </c>
      <c r="L664" s="4">
        <v>17290</v>
      </c>
      <c r="M664" s="4">
        <v>0</v>
      </c>
      <c r="N664">
        <v>17290</v>
      </c>
      <c r="P664">
        <v>0</v>
      </c>
      <c r="Q664">
        <f>QtyRemaining*EstMfgMin/60</f>
        <v>0</v>
      </c>
      <c r="U664" t="e">
        <f t="shared" si="22"/>
        <v>#REF!</v>
      </c>
      <c r="V664" s="5" t="e">
        <f t="shared" si="23"/>
        <v>#REF!</v>
      </c>
    </row>
    <row r="665" spans="1:22" x14ac:dyDescent="0.25">
      <c r="A665" s="2">
        <v>46050</v>
      </c>
      <c r="B665" s="2">
        <v>46050</v>
      </c>
      <c r="C665" t="s">
        <v>209</v>
      </c>
      <c r="D665">
        <v>5</v>
      </c>
      <c r="E665" t="s">
        <v>1510</v>
      </c>
      <c r="F665" t="s">
        <v>211</v>
      </c>
      <c r="G665" t="s">
        <v>1511</v>
      </c>
      <c r="H665" t="s">
        <v>1512</v>
      </c>
      <c r="I665" t="s">
        <v>1513</v>
      </c>
      <c r="J665" s="3" t="s">
        <v>219</v>
      </c>
      <c r="K665" t="s">
        <v>1515</v>
      </c>
      <c r="L665" s="4">
        <v>17290</v>
      </c>
      <c r="M665" s="4">
        <v>0</v>
      </c>
      <c r="N665">
        <v>17290</v>
      </c>
      <c r="P665">
        <v>0</v>
      </c>
      <c r="Q665">
        <f>QtyRemaining*EstMfgMin/60</f>
        <v>0</v>
      </c>
      <c r="U665" t="e">
        <f t="shared" si="22"/>
        <v>#REF!</v>
      </c>
      <c r="V665" s="5" t="e">
        <f t="shared" si="23"/>
        <v>#REF!</v>
      </c>
    </row>
    <row r="666" spans="1:22" x14ac:dyDescent="0.25">
      <c r="A666" s="2">
        <v>46050</v>
      </c>
      <c r="B666" s="2">
        <v>46050</v>
      </c>
      <c r="C666" t="s">
        <v>209</v>
      </c>
      <c r="D666">
        <v>5</v>
      </c>
      <c r="E666" t="s">
        <v>1510</v>
      </c>
      <c r="F666" t="s">
        <v>211</v>
      </c>
      <c r="G666" t="s">
        <v>1511</v>
      </c>
      <c r="H666" t="s">
        <v>1512</v>
      </c>
      <c r="I666" t="s">
        <v>1513</v>
      </c>
      <c r="J666" s="3" t="s">
        <v>219</v>
      </c>
      <c r="K666" t="s">
        <v>1515</v>
      </c>
      <c r="L666" s="4">
        <v>17290</v>
      </c>
      <c r="M666" s="4">
        <v>0</v>
      </c>
      <c r="N666">
        <v>17290</v>
      </c>
      <c r="P666">
        <v>0</v>
      </c>
      <c r="Q666">
        <f>QtyRemaining*EstMfgMin/60</f>
        <v>0</v>
      </c>
      <c r="U666" t="e">
        <f t="shared" si="22"/>
        <v>#REF!</v>
      </c>
      <c r="V666" s="5" t="e">
        <f t="shared" si="23"/>
        <v>#REF!</v>
      </c>
    </row>
    <row r="667" spans="1:22" x14ac:dyDescent="0.25">
      <c r="A667" s="2">
        <v>46050</v>
      </c>
      <c r="B667" s="2">
        <v>46050</v>
      </c>
      <c r="C667" t="s">
        <v>209</v>
      </c>
      <c r="D667">
        <v>5</v>
      </c>
      <c r="E667" t="s">
        <v>1510</v>
      </c>
      <c r="F667" t="s">
        <v>211</v>
      </c>
      <c r="G667" t="s">
        <v>1511</v>
      </c>
      <c r="H667" t="s">
        <v>1512</v>
      </c>
      <c r="I667" t="s">
        <v>1513</v>
      </c>
      <c r="J667" s="3" t="s">
        <v>219</v>
      </c>
      <c r="K667" t="s">
        <v>1514</v>
      </c>
      <c r="L667" s="4">
        <v>17290</v>
      </c>
      <c r="M667" s="4">
        <v>0</v>
      </c>
      <c r="N667">
        <v>17290</v>
      </c>
      <c r="P667">
        <v>0</v>
      </c>
      <c r="Q667">
        <f>QtyRemaining*EstMfgMin/60</f>
        <v>0</v>
      </c>
      <c r="U667" t="e">
        <f t="shared" si="22"/>
        <v>#REF!</v>
      </c>
      <c r="V667" s="5" t="e">
        <f t="shared" si="23"/>
        <v>#REF!</v>
      </c>
    </row>
    <row r="668" spans="1:22" x14ac:dyDescent="0.25">
      <c r="A668" s="2">
        <v>46050</v>
      </c>
      <c r="B668" s="2">
        <v>46050</v>
      </c>
      <c r="C668" t="s">
        <v>209</v>
      </c>
      <c r="D668">
        <v>5</v>
      </c>
      <c r="E668" t="s">
        <v>1510</v>
      </c>
      <c r="F668" t="s">
        <v>211</v>
      </c>
      <c r="G668" t="s">
        <v>1511</v>
      </c>
      <c r="H668" t="s">
        <v>1512</v>
      </c>
      <c r="I668" t="s">
        <v>1513</v>
      </c>
      <c r="J668" s="3" t="s">
        <v>219</v>
      </c>
      <c r="K668" t="s">
        <v>1514</v>
      </c>
      <c r="L668" s="4">
        <v>17290</v>
      </c>
      <c r="M668" s="4">
        <v>0</v>
      </c>
      <c r="N668">
        <v>17290</v>
      </c>
      <c r="P668">
        <v>0</v>
      </c>
      <c r="Q668">
        <f>QtyRemaining*EstMfgMin/60</f>
        <v>0</v>
      </c>
      <c r="U668" t="e">
        <f t="shared" si="22"/>
        <v>#REF!</v>
      </c>
      <c r="V668" s="5" t="e">
        <f t="shared" si="23"/>
        <v>#REF!</v>
      </c>
    </row>
    <row r="669" spans="1:22" x14ac:dyDescent="0.25">
      <c r="A669" s="2">
        <v>46050</v>
      </c>
      <c r="B669" s="2">
        <v>46050</v>
      </c>
      <c r="C669" t="s">
        <v>209</v>
      </c>
      <c r="D669">
        <v>5</v>
      </c>
      <c r="E669" t="s">
        <v>1510</v>
      </c>
      <c r="F669" t="s">
        <v>211</v>
      </c>
      <c r="G669" t="s">
        <v>1511</v>
      </c>
      <c r="H669" t="s">
        <v>1512</v>
      </c>
      <c r="I669" t="s">
        <v>1513</v>
      </c>
      <c r="J669" s="3" t="s">
        <v>219</v>
      </c>
      <c r="K669" t="s">
        <v>1516</v>
      </c>
      <c r="L669" s="4">
        <v>17290</v>
      </c>
      <c r="M669" s="4">
        <v>0</v>
      </c>
      <c r="N669">
        <v>17290</v>
      </c>
      <c r="P669">
        <v>0</v>
      </c>
      <c r="Q669">
        <f>QtyRemaining*EstMfgMin/60</f>
        <v>0</v>
      </c>
      <c r="U669" t="e">
        <f t="shared" si="22"/>
        <v>#REF!</v>
      </c>
      <c r="V669" s="5" t="e">
        <f t="shared" si="23"/>
        <v>#REF!</v>
      </c>
    </row>
    <row r="670" spans="1:22" x14ac:dyDescent="0.25">
      <c r="A670" s="2">
        <v>46050</v>
      </c>
      <c r="B670" s="2">
        <v>46050</v>
      </c>
      <c r="C670" t="s">
        <v>209</v>
      </c>
      <c r="D670">
        <v>5</v>
      </c>
      <c r="E670" t="s">
        <v>1510</v>
      </c>
      <c r="F670" t="s">
        <v>211</v>
      </c>
      <c r="G670" t="s">
        <v>1511</v>
      </c>
      <c r="H670" t="s">
        <v>1512</v>
      </c>
      <c r="I670" t="s">
        <v>1513</v>
      </c>
      <c r="J670" s="3" t="s">
        <v>219</v>
      </c>
      <c r="K670" t="s">
        <v>1515</v>
      </c>
      <c r="L670" s="4">
        <v>17290</v>
      </c>
      <c r="M670" s="4">
        <v>0</v>
      </c>
      <c r="N670">
        <v>17290</v>
      </c>
      <c r="P670">
        <v>0</v>
      </c>
      <c r="Q670">
        <f>QtyRemaining*EstMfgMin/60</f>
        <v>0</v>
      </c>
      <c r="U670" t="e">
        <f t="shared" si="22"/>
        <v>#REF!</v>
      </c>
      <c r="V670" s="5" t="e">
        <f t="shared" si="23"/>
        <v>#REF!</v>
      </c>
    </row>
    <row r="671" spans="1:22" x14ac:dyDescent="0.25">
      <c r="A671" s="2">
        <v>46050</v>
      </c>
      <c r="B671" s="2">
        <v>46050</v>
      </c>
      <c r="C671" t="s">
        <v>209</v>
      </c>
      <c r="D671">
        <v>5</v>
      </c>
      <c r="E671" t="s">
        <v>1510</v>
      </c>
      <c r="F671" t="s">
        <v>211</v>
      </c>
      <c r="G671" t="s">
        <v>1511</v>
      </c>
      <c r="H671" t="s">
        <v>1512</v>
      </c>
      <c r="I671" t="s">
        <v>1513</v>
      </c>
      <c r="J671" s="3" t="s">
        <v>219</v>
      </c>
      <c r="K671" t="s">
        <v>1515</v>
      </c>
      <c r="L671" s="4">
        <v>17290</v>
      </c>
      <c r="M671" s="4">
        <v>0</v>
      </c>
      <c r="N671">
        <v>17290</v>
      </c>
      <c r="P671">
        <v>0</v>
      </c>
      <c r="Q671">
        <f>QtyRemaining*EstMfgMin/60</f>
        <v>0</v>
      </c>
      <c r="U671" t="e">
        <f t="shared" si="22"/>
        <v>#REF!</v>
      </c>
      <c r="V671" s="5" t="e">
        <f t="shared" si="23"/>
        <v>#REF!</v>
      </c>
    </row>
    <row r="672" spans="1:22" x14ac:dyDescent="0.25">
      <c r="A672" s="2">
        <v>46050</v>
      </c>
      <c r="B672" s="2">
        <v>46050</v>
      </c>
      <c r="C672" t="s">
        <v>209</v>
      </c>
      <c r="D672">
        <v>5</v>
      </c>
      <c r="E672" t="s">
        <v>1510</v>
      </c>
      <c r="F672" t="s">
        <v>211</v>
      </c>
      <c r="G672" t="s">
        <v>1511</v>
      </c>
      <c r="H672" t="s">
        <v>1512</v>
      </c>
      <c r="I672" t="s">
        <v>1513</v>
      </c>
      <c r="J672" s="3" t="s">
        <v>219</v>
      </c>
      <c r="K672" t="s">
        <v>1515</v>
      </c>
      <c r="L672" s="4">
        <v>17290</v>
      </c>
      <c r="M672" s="4">
        <v>0</v>
      </c>
      <c r="N672">
        <v>17290</v>
      </c>
      <c r="P672">
        <v>0</v>
      </c>
      <c r="Q672">
        <f>QtyRemaining*EstMfgMin/60</f>
        <v>0</v>
      </c>
      <c r="U672" t="e">
        <f t="shared" si="22"/>
        <v>#REF!</v>
      </c>
      <c r="V672" s="5" t="e">
        <f t="shared" si="23"/>
        <v>#REF!</v>
      </c>
    </row>
    <row r="673" spans="1:22" x14ac:dyDescent="0.25">
      <c r="A673" s="2">
        <v>46050</v>
      </c>
      <c r="B673" s="2">
        <v>46050</v>
      </c>
      <c r="C673" t="s">
        <v>209</v>
      </c>
      <c r="D673">
        <v>5</v>
      </c>
      <c r="E673" t="s">
        <v>1517</v>
      </c>
      <c r="F673" t="s">
        <v>211</v>
      </c>
      <c r="G673" t="s">
        <v>1511</v>
      </c>
      <c r="H673" t="s">
        <v>1518</v>
      </c>
      <c r="I673" t="s">
        <v>1513</v>
      </c>
      <c r="J673" s="3" t="s">
        <v>219</v>
      </c>
      <c r="K673" t="s">
        <v>1515</v>
      </c>
      <c r="L673" s="4">
        <v>7410</v>
      </c>
      <c r="M673" s="4">
        <v>0</v>
      </c>
      <c r="N673">
        <v>7410</v>
      </c>
      <c r="P673">
        <v>0</v>
      </c>
      <c r="Q673">
        <f>QtyRemaining*EstMfgMin/60</f>
        <v>0</v>
      </c>
      <c r="U673" t="e">
        <f t="shared" si="22"/>
        <v>#REF!</v>
      </c>
      <c r="V673" s="5" t="e">
        <f t="shared" si="23"/>
        <v>#REF!</v>
      </c>
    </row>
    <row r="674" spans="1:22" x14ac:dyDescent="0.25">
      <c r="A674" s="2">
        <v>46050</v>
      </c>
      <c r="B674" s="2">
        <v>46050</v>
      </c>
      <c r="C674" t="s">
        <v>209</v>
      </c>
      <c r="D674">
        <v>5</v>
      </c>
      <c r="E674" t="s">
        <v>1517</v>
      </c>
      <c r="F674" t="s">
        <v>211</v>
      </c>
      <c r="G674" t="s">
        <v>1511</v>
      </c>
      <c r="H674" t="s">
        <v>1518</v>
      </c>
      <c r="I674" t="s">
        <v>1513</v>
      </c>
      <c r="J674" s="3" t="s">
        <v>219</v>
      </c>
      <c r="K674" t="s">
        <v>1514</v>
      </c>
      <c r="L674" s="4">
        <v>7410</v>
      </c>
      <c r="M674" s="4">
        <v>0</v>
      </c>
      <c r="N674">
        <v>7410</v>
      </c>
      <c r="P674">
        <v>0</v>
      </c>
      <c r="Q674">
        <f>QtyRemaining*EstMfgMin/60</f>
        <v>0</v>
      </c>
      <c r="U674" t="e">
        <f t="shared" si="22"/>
        <v>#REF!</v>
      </c>
      <c r="V674" s="5" t="e">
        <f t="shared" si="23"/>
        <v>#REF!</v>
      </c>
    </row>
    <row r="675" spans="1:22" x14ac:dyDescent="0.25">
      <c r="A675" s="2">
        <v>46050</v>
      </c>
      <c r="B675" s="2">
        <v>46050</v>
      </c>
      <c r="C675" t="s">
        <v>209</v>
      </c>
      <c r="D675">
        <v>5</v>
      </c>
      <c r="E675" t="s">
        <v>1517</v>
      </c>
      <c r="F675" t="s">
        <v>211</v>
      </c>
      <c r="G675" t="s">
        <v>1511</v>
      </c>
      <c r="H675" t="s">
        <v>1518</v>
      </c>
      <c r="I675" t="s">
        <v>1513</v>
      </c>
      <c r="J675" s="3" t="s">
        <v>219</v>
      </c>
      <c r="K675" t="s">
        <v>1514</v>
      </c>
      <c r="L675" s="4">
        <v>7410</v>
      </c>
      <c r="M675" s="4">
        <v>0</v>
      </c>
      <c r="N675">
        <v>7410</v>
      </c>
      <c r="P675">
        <v>0</v>
      </c>
      <c r="Q675">
        <f>QtyRemaining*EstMfgMin/60</f>
        <v>0</v>
      </c>
      <c r="U675" t="e">
        <f t="shared" si="22"/>
        <v>#REF!</v>
      </c>
      <c r="V675" s="5" t="e">
        <f t="shared" si="23"/>
        <v>#REF!</v>
      </c>
    </row>
    <row r="676" spans="1:22" x14ac:dyDescent="0.25">
      <c r="A676" s="2">
        <v>46050</v>
      </c>
      <c r="B676" s="2">
        <v>46050</v>
      </c>
      <c r="C676" t="s">
        <v>209</v>
      </c>
      <c r="D676">
        <v>5</v>
      </c>
      <c r="E676" t="s">
        <v>1517</v>
      </c>
      <c r="F676" t="s">
        <v>211</v>
      </c>
      <c r="G676" t="s">
        <v>1511</v>
      </c>
      <c r="H676" t="s">
        <v>1518</v>
      </c>
      <c r="I676" t="s">
        <v>1513</v>
      </c>
      <c r="J676" s="3" t="s">
        <v>219</v>
      </c>
      <c r="K676" t="s">
        <v>1515</v>
      </c>
      <c r="L676" s="4">
        <v>7410</v>
      </c>
      <c r="M676" s="4">
        <v>0</v>
      </c>
      <c r="N676">
        <v>7410</v>
      </c>
      <c r="P676">
        <v>0</v>
      </c>
      <c r="Q676">
        <f>QtyRemaining*EstMfgMin/60</f>
        <v>0</v>
      </c>
      <c r="U676" t="e">
        <f t="shared" si="22"/>
        <v>#REF!</v>
      </c>
      <c r="V676" s="5" t="e">
        <f t="shared" si="23"/>
        <v>#REF!</v>
      </c>
    </row>
    <row r="677" spans="1:22" x14ac:dyDescent="0.25">
      <c r="A677" s="2">
        <v>46050</v>
      </c>
      <c r="B677" s="2">
        <v>46050</v>
      </c>
      <c r="C677" t="s">
        <v>209</v>
      </c>
      <c r="D677">
        <v>5</v>
      </c>
      <c r="E677" t="s">
        <v>1517</v>
      </c>
      <c r="F677" t="s">
        <v>211</v>
      </c>
      <c r="G677" t="s">
        <v>1511</v>
      </c>
      <c r="H677" t="s">
        <v>1518</v>
      </c>
      <c r="I677" t="s">
        <v>1513</v>
      </c>
      <c r="J677" s="3" t="s">
        <v>219</v>
      </c>
      <c r="K677" t="s">
        <v>1515</v>
      </c>
      <c r="L677" s="4">
        <v>7410</v>
      </c>
      <c r="M677" s="4">
        <v>0</v>
      </c>
      <c r="N677">
        <v>7410</v>
      </c>
      <c r="P677">
        <v>0</v>
      </c>
      <c r="Q677">
        <f>QtyRemaining*EstMfgMin/60</f>
        <v>0</v>
      </c>
      <c r="U677" t="e">
        <f t="shared" si="22"/>
        <v>#REF!</v>
      </c>
      <c r="V677" s="5" t="e">
        <f t="shared" si="23"/>
        <v>#REF!</v>
      </c>
    </row>
    <row r="678" spans="1:22" x14ac:dyDescent="0.25">
      <c r="A678" s="2">
        <v>46050</v>
      </c>
      <c r="B678" s="2">
        <v>46050</v>
      </c>
      <c r="C678" t="s">
        <v>209</v>
      </c>
      <c r="D678">
        <v>5</v>
      </c>
      <c r="E678" t="s">
        <v>1517</v>
      </c>
      <c r="F678" t="s">
        <v>211</v>
      </c>
      <c r="G678" t="s">
        <v>1511</v>
      </c>
      <c r="H678" t="s">
        <v>1518</v>
      </c>
      <c r="I678" t="s">
        <v>1513</v>
      </c>
      <c r="J678" s="3" t="s">
        <v>219</v>
      </c>
      <c r="K678" t="s">
        <v>1515</v>
      </c>
      <c r="L678" s="4">
        <v>7410</v>
      </c>
      <c r="M678" s="4">
        <v>0</v>
      </c>
      <c r="N678">
        <v>7410</v>
      </c>
      <c r="P678">
        <v>0</v>
      </c>
      <c r="Q678">
        <f>QtyRemaining*EstMfgMin/60</f>
        <v>0</v>
      </c>
      <c r="U678" t="e">
        <f t="shared" si="22"/>
        <v>#REF!</v>
      </c>
      <c r="V678" s="5" t="e">
        <f t="shared" si="23"/>
        <v>#REF!</v>
      </c>
    </row>
    <row r="679" spans="1:22" x14ac:dyDescent="0.25">
      <c r="A679" s="2">
        <v>46050</v>
      </c>
      <c r="B679" s="2">
        <v>46050</v>
      </c>
      <c r="C679" t="s">
        <v>209</v>
      </c>
      <c r="D679">
        <v>5</v>
      </c>
      <c r="E679" t="s">
        <v>1517</v>
      </c>
      <c r="F679" t="s">
        <v>211</v>
      </c>
      <c r="G679" t="s">
        <v>1511</v>
      </c>
      <c r="H679" t="s">
        <v>1518</v>
      </c>
      <c r="I679" t="s">
        <v>1513</v>
      </c>
      <c r="J679" s="3" t="s">
        <v>219</v>
      </c>
      <c r="K679" t="s">
        <v>1514</v>
      </c>
      <c r="L679" s="4">
        <v>7410</v>
      </c>
      <c r="M679" s="4">
        <v>0</v>
      </c>
      <c r="N679">
        <v>7410</v>
      </c>
      <c r="P679">
        <v>0</v>
      </c>
      <c r="Q679">
        <f>QtyRemaining*EstMfgMin/60</f>
        <v>0</v>
      </c>
      <c r="U679" t="e">
        <f t="shared" si="22"/>
        <v>#REF!</v>
      </c>
      <c r="V679" s="5" t="e">
        <f t="shared" si="23"/>
        <v>#REF!</v>
      </c>
    </row>
    <row r="680" spans="1:22" x14ac:dyDescent="0.25">
      <c r="A680" s="2">
        <v>46050</v>
      </c>
      <c r="B680" s="2">
        <v>46050</v>
      </c>
      <c r="C680" t="s">
        <v>209</v>
      </c>
      <c r="D680">
        <v>5</v>
      </c>
      <c r="E680" t="s">
        <v>1517</v>
      </c>
      <c r="F680" t="s">
        <v>211</v>
      </c>
      <c r="G680" t="s">
        <v>1511</v>
      </c>
      <c r="H680" t="s">
        <v>1518</v>
      </c>
      <c r="I680" t="s">
        <v>1513</v>
      </c>
      <c r="J680" s="3" t="s">
        <v>219</v>
      </c>
      <c r="K680" t="s">
        <v>1514</v>
      </c>
      <c r="L680" s="4">
        <v>7410</v>
      </c>
      <c r="M680" s="4">
        <v>0</v>
      </c>
      <c r="N680">
        <v>7410</v>
      </c>
      <c r="P680">
        <v>0</v>
      </c>
      <c r="Q680">
        <f>QtyRemaining*EstMfgMin/60</f>
        <v>0</v>
      </c>
      <c r="U680" t="e">
        <f t="shared" si="22"/>
        <v>#REF!</v>
      </c>
      <c r="V680" s="5" t="e">
        <f t="shared" si="23"/>
        <v>#REF!</v>
      </c>
    </row>
    <row r="681" spans="1:22" x14ac:dyDescent="0.25">
      <c r="A681" s="2">
        <v>46050</v>
      </c>
      <c r="B681" s="2">
        <v>46050</v>
      </c>
      <c r="C681" t="s">
        <v>209</v>
      </c>
      <c r="D681">
        <v>5</v>
      </c>
      <c r="E681" t="s">
        <v>1517</v>
      </c>
      <c r="F681" t="s">
        <v>211</v>
      </c>
      <c r="G681" t="s">
        <v>1511</v>
      </c>
      <c r="H681" t="s">
        <v>1518</v>
      </c>
      <c r="I681" t="s">
        <v>1513</v>
      </c>
      <c r="J681" s="3" t="s">
        <v>219</v>
      </c>
      <c r="K681" t="s">
        <v>1516</v>
      </c>
      <c r="L681" s="4">
        <v>7410</v>
      </c>
      <c r="M681" s="4">
        <v>0</v>
      </c>
      <c r="N681">
        <v>7410</v>
      </c>
      <c r="P681">
        <v>0</v>
      </c>
      <c r="Q681">
        <f>QtyRemaining*EstMfgMin/60</f>
        <v>0</v>
      </c>
      <c r="U681" t="e">
        <f t="shared" si="22"/>
        <v>#REF!</v>
      </c>
      <c r="V681" s="5" t="e">
        <f t="shared" si="23"/>
        <v>#REF!</v>
      </c>
    </row>
    <row r="682" spans="1:22" x14ac:dyDescent="0.25">
      <c r="A682" s="2">
        <v>46050</v>
      </c>
      <c r="B682" s="2">
        <v>46050</v>
      </c>
      <c r="C682" t="s">
        <v>209</v>
      </c>
      <c r="D682">
        <v>5</v>
      </c>
      <c r="E682" t="s">
        <v>1517</v>
      </c>
      <c r="F682" t="s">
        <v>211</v>
      </c>
      <c r="G682" t="s">
        <v>1511</v>
      </c>
      <c r="H682" t="s">
        <v>1518</v>
      </c>
      <c r="I682" t="s">
        <v>1513</v>
      </c>
      <c r="J682" s="3" t="s">
        <v>219</v>
      </c>
      <c r="K682" t="s">
        <v>1515</v>
      </c>
      <c r="L682" s="4">
        <v>7410</v>
      </c>
      <c r="M682" s="4">
        <v>0</v>
      </c>
      <c r="N682">
        <v>7410</v>
      </c>
      <c r="P682">
        <v>0</v>
      </c>
      <c r="Q682">
        <f>QtyRemaining*EstMfgMin/60</f>
        <v>0</v>
      </c>
      <c r="U682" t="e">
        <f t="shared" si="22"/>
        <v>#REF!</v>
      </c>
      <c r="V682" s="5" t="e">
        <f t="shared" si="23"/>
        <v>#REF!</v>
      </c>
    </row>
    <row r="683" spans="1:22" x14ac:dyDescent="0.25">
      <c r="A683" s="2">
        <v>46050</v>
      </c>
      <c r="B683" s="2">
        <v>46050</v>
      </c>
      <c r="C683" t="s">
        <v>209</v>
      </c>
      <c r="D683">
        <v>5</v>
      </c>
      <c r="E683" t="s">
        <v>1517</v>
      </c>
      <c r="F683" t="s">
        <v>211</v>
      </c>
      <c r="G683" t="s">
        <v>1511</v>
      </c>
      <c r="H683" t="s">
        <v>1518</v>
      </c>
      <c r="I683" t="s">
        <v>1513</v>
      </c>
      <c r="J683" s="3" t="s">
        <v>219</v>
      </c>
      <c r="K683" t="s">
        <v>1515</v>
      </c>
      <c r="L683" s="4">
        <v>7410</v>
      </c>
      <c r="M683" s="4">
        <v>0</v>
      </c>
      <c r="N683">
        <v>7410</v>
      </c>
      <c r="P683">
        <v>0</v>
      </c>
      <c r="Q683">
        <f>QtyRemaining*EstMfgMin/60</f>
        <v>0</v>
      </c>
      <c r="U683" t="e">
        <f t="shared" si="22"/>
        <v>#REF!</v>
      </c>
      <c r="V683" s="5" t="e">
        <f t="shared" si="23"/>
        <v>#REF!</v>
      </c>
    </row>
    <row r="684" spans="1:22" x14ac:dyDescent="0.25">
      <c r="A684" s="2">
        <v>46050</v>
      </c>
      <c r="B684" s="2">
        <v>46050</v>
      </c>
      <c r="C684" t="s">
        <v>209</v>
      </c>
      <c r="D684">
        <v>5</v>
      </c>
      <c r="E684" t="s">
        <v>1517</v>
      </c>
      <c r="F684" t="s">
        <v>211</v>
      </c>
      <c r="G684" t="s">
        <v>1511</v>
      </c>
      <c r="H684" t="s">
        <v>1518</v>
      </c>
      <c r="I684" t="s">
        <v>1513</v>
      </c>
      <c r="J684" s="3" t="s">
        <v>219</v>
      </c>
      <c r="K684" t="s">
        <v>1515</v>
      </c>
      <c r="L684" s="4">
        <v>7410</v>
      </c>
      <c r="M684" s="4">
        <v>0</v>
      </c>
      <c r="N684">
        <v>7410</v>
      </c>
      <c r="P684">
        <v>0</v>
      </c>
      <c r="Q684">
        <f>QtyRemaining*EstMfgMin/60</f>
        <v>0</v>
      </c>
      <c r="U684" t="e">
        <f t="shared" si="22"/>
        <v>#REF!</v>
      </c>
      <c r="V684" s="5" t="e">
        <f t="shared" si="23"/>
        <v>#REF!</v>
      </c>
    </row>
    <row r="685" spans="1:22" x14ac:dyDescent="0.25">
      <c r="A685" s="2">
        <v>46050</v>
      </c>
      <c r="B685" s="2">
        <v>46050</v>
      </c>
      <c r="C685" t="s">
        <v>485</v>
      </c>
      <c r="D685">
        <v>5</v>
      </c>
      <c r="E685" t="s">
        <v>1519</v>
      </c>
      <c r="F685" t="s">
        <v>211</v>
      </c>
      <c r="G685" t="s">
        <v>1520</v>
      </c>
      <c r="H685" t="s">
        <v>1521</v>
      </c>
      <c r="I685" t="s">
        <v>291</v>
      </c>
      <c r="J685" s="3" t="s">
        <v>1522</v>
      </c>
      <c r="K685" t="s">
        <v>1523</v>
      </c>
      <c r="L685" s="4">
        <v>20</v>
      </c>
      <c r="M685" s="4">
        <v>0</v>
      </c>
      <c r="N685">
        <v>20</v>
      </c>
      <c r="P685">
        <v>0</v>
      </c>
      <c r="Q685">
        <f>QtyRemaining*EstMfgMin/60</f>
        <v>0</v>
      </c>
      <c r="U685" t="e">
        <f t="shared" si="22"/>
        <v>#REF!</v>
      </c>
      <c r="V685" s="5" t="e">
        <f t="shared" si="23"/>
        <v>#REF!</v>
      </c>
    </row>
    <row r="686" spans="1:22" x14ac:dyDescent="0.25">
      <c r="A686" s="2">
        <v>46050</v>
      </c>
      <c r="B686" s="2">
        <v>46050</v>
      </c>
      <c r="C686" t="s">
        <v>485</v>
      </c>
      <c r="D686">
        <v>5</v>
      </c>
      <c r="E686" t="s">
        <v>1519</v>
      </c>
      <c r="F686" t="s">
        <v>211</v>
      </c>
      <c r="G686" t="s">
        <v>1520</v>
      </c>
      <c r="H686" t="s">
        <v>1521</v>
      </c>
      <c r="I686" t="s">
        <v>291</v>
      </c>
      <c r="J686" s="3" t="s">
        <v>1524</v>
      </c>
      <c r="K686" t="s">
        <v>1525</v>
      </c>
      <c r="L686" s="4">
        <v>50</v>
      </c>
      <c r="M686" s="4">
        <v>0</v>
      </c>
      <c r="N686">
        <v>50</v>
      </c>
      <c r="P686">
        <v>17</v>
      </c>
      <c r="Q686">
        <f>QtyRemaining*EstMfgMin/60</f>
        <v>14.166666666666666</v>
      </c>
      <c r="U686" t="e">
        <f t="shared" si="22"/>
        <v>#REF!</v>
      </c>
      <c r="V686" s="5" t="e">
        <f t="shared" si="23"/>
        <v>#REF!</v>
      </c>
    </row>
    <row r="687" spans="1:22" x14ac:dyDescent="0.25">
      <c r="A687" s="2">
        <v>46050</v>
      </c>
      <c r="B687" s="2">
        <v>46050</v>
      </c>
      <c r="C687" t="s">
        <v>485</v>
      </c>
      <c r="D687">
        <v>5</v>
      </c>
      <c r="E687" t="s">
        <v>1519</v>
      </c>
      <c r="F687" t="s">
        <v>211</v>
      </c>
      <c r="G687" t="s">
        <v>1520</v>
      </c>
      <c r="H687" t="s">
        <v>1521</v>
      </c>
      <c r="I687" t="s">
        <v>291</v>
      </c>
      <c r="J687" s="3" t="s">
        <v>1526</v>
      </c>
      <c r="K687" t="s">
        <v>1527</v>
      </c>
      <c r="L687" s="4">
        <v>50</v>
      </c>
      <c r="M687" s="4">
        <v>0</v>
      </c>
      <c r="N687">
        <v>50</v>
      </c>
      <c r="P687">
        <v>17</v>
      </c>
      <c r="Q687">
        <f>QtyRemaining*EstMfgMin/60</f>
        <v>14.166666666666666</v>
      </c>
      <c r="U687" t="e">
        <f t="shared" si="22"/>
        <v>#REF!</v>
      </c>
      <c r="V687" s="5" t="e">
        <f t="shared" si="23"/>
        <v>#REF!</v>
      </c>
    </row>
    <row r="688" spans="1:22" x14ac:dyDescent="0.25">
      <c r="A688" s="2">
        <v>46050</v>
      </c>
      <c r="B688" s="2">
        <v>46050</v>
      </c>
      <c r="C688" t="s">
        <v>485</v>
      </c>
      <c r="D688">
        <v>5</v>
      </c>
      <c r="E688" t="s">
        <v>1519</v>
      </c>
      <c r="F688" t="s">
        <v>211</v>
      </c>
      <c r="G688" t="s">
        <v>1520</v>
      </c>
      <c r="H688" t="s">
        <v>1521</v>
      </c>
      <c r="I688" t="s">
        <v>291</v>
      </c>
      <c r="J688" s="3" t="s">
        <v>1528</v>
      </c>
      <c r="K688" t="s">
        <v>1529</v>
      </c>
      <c r="L688" s="4">
        <v>40</v>
      </c>
      <c r="M688" s="4">
        <v>0</v>
      </c>
      <c r="N688">
        <v>40</v>
      </c>
      <c r="P688">
        <v>0</v>
      </c>
      <c r="Q688">
        <f>QtyRemaining*EstMfgMin/60</f>
        <v>0</v>
      </c>
      <c r="U688" t="e">
        <f t="shared" si="22"/>
        <v>#REF!</v>
      </c>
      <c r="V688" s="5" t="e">
        <f t="shared" si="23"/>
        <v>#REF!</v>
      </c>
    </row>
    <row r="689" spans="1:22" x14ac:dyDescent="0.25">
      <c r="A689" s="2">
        <v>46050</v>
      </c>
      <c r="B689" s="2">
        <v>46050</v>
      </c>
      <c r="C689" t="s">
        <v>485</v>
      </c>
      <c r="D689">
        <v>5</v>
      </c>
      <c r="E689" t="s">
        <v>1519</v>
      </c>
      <c r="F689" t="s">
        <v>211</v>
      </c>
      <c r="G689" t="s">
        <v>1520</v>
      </c>
      <c r="H689" t="s">
        <v>1521</v>
      </c>
      <c r="I689" t="s">
        <v>291</v>
      </c>
      <c r="J689" s="3" t="s">
        <v>1530</v>
      </c>
      <c r="K689" t="s">
        <v>1531</v>
      </c>
      <c r="L689" s="4">
        <v>20</v>
      </c>
      <c r="M689" s="4">
        <v>0</v>
      </c>
      <c r="N689">
        <v>20</v>
      </c>
      <c r="P689">
        <v>17</v>
      </c>
      <c r="Q689">
        <f>QtyRemaining*EstMfgMin/60</f>
        <v>5.666666666666667</v>
      </c>
      <c r="U689" t="e">
        <f t="shared" si="22"/>
        <v>#REF!</v>
      </c>
      <c r="V689" s="5" t="e">
        <f t="shared" si="23"/>
        <v>#REF!</v>
      </c>
    </row>
    <row r="690" spans="1:22" x14ac:dyDescent="0.25">
      <c r="A690" s="2">
        <v>46050</v>
      </c>
      <c r="B690" s="2">
        <v>46050</v>
      </c>
      <c r="C690" t="s">
        <v>485</v>
      </c>
      <c r="D690">
        <v>5</v>
      </c>
      <c r="E690" t="s">
        <v>1519</v>
      </c>
      <c r="F690" t="s">
        <v>211</v>
      </c>
      <c r="G690" t="s">
        <v>1520</v>
      </c>
      <c r="H690" t="s">
        <v>1521</v>
      </c>
      <c r="I690" t="s">
        <v>291</v>
      </c>
      <c r="J690" s="3" t="s">
        <v>1532</v>
      </c>
      <c r="K690" t="s">
        <v>1533</v>
      </c>
      <c r="L690" s="4">
        <v>15</v>
      </c>
      <c r="M690" s="4">
        <v>0</v>
      </c>
      <c r="N690">
        <v>15</v>
      </c>
      <c r="P690">
        <v>0</v>
      </c>
      <c r="Q690">
        <f>QtyRemaining*EstMfgMin/60</f>
        <v>0</v>
      </c>
      <c r="U690" t="e">
        <f t="shared" si="22"/>
        <v>#REF!</v>
      </c>
      <c r="V690" s="5" t="e">
        <f t="shared" si="23"/>
        <v>#REF!</v>
      </c>
    </row>
    <row r="691" spans="1:22" x14ac:dyDescent="0.25">
      <c r="A691" s="2">
        <v>46050</v>
      </c>
      <c r="B691" s="2">
        <v>46050</v>
      </c>
      <c r="C691" t="s">
        <v>485</v>
      </c>
      <c r="D691">
        <v>5</v>
      </c>
      <c r="E691" t="s">
        <v>1519</v>
      </c>
      <c r="F691" t="s">
        <v>211</v>
      </c>
      <c r="G691" t="s">
        <v>1520</v>
      </c>
      <c r="H691" t="s">
        <v>1521</v>
      </c>
      <c r="I691" t="s">
        <v>291</v>
      </c>
      <c r="J691" s="3" t="s">
        <v>1534</v>
      </c>
      <c r="K691" t="s">
        <v>1535</v>
      </c>
      <c r="L691" s="4">
        <v>20</v>
      </c>
      <c r="M691" s="4">
        <v>0</v>
      </c>
      <c r="N691">
        <v>20</v>
      </c>
      <c r="P691">
        <v>0</v>
      </c>
      <c r="Q691">
        <f>QtyRemaining*EstMfgMin/60</f>
        <v>0</v>
      </c>
      <c r="U691" t="e">
        <f t="shared" si="22"/>
        <v>#REF!</v>
      </c>
      <c r="V691" s="5" t="e">
        <f t="shared" si="23"/>
        <v>#REF!</v>
      </c>
    </row>
    <row r="692" spans="1:22" x14ac:dyDescent="0.25">
      <c r="A692" s="2">
        <v>46050</v>
      </c>
      <c r="B692" s="2">
        <v>46050</v>
      </c>
      <c r="C692" t="s">
        <v>485</v>
      </c>
      <c r="D692">
        <v>5</v>
      </c>
      <c r="E692" t="s">
        <v>1519</v>
      </c>
      <c r="F692" t="s">
        <v>211</v>
      </c>
      <c r="G692" t="s">
        <v>1520</v>
      </c>
      <c r="H692" t="s">
        <v>1521</v>
      </c>
      <c r="I692" t="s">
        <v>291</v>
      </c>
      <c r="J692" s="3" t="s">
        <v>1536</v>
      </c>
      <c r="K692" t="s">
        <v>1537</v>
      </c>
      <c r="L692" s="4">
        <v>10</v>
      </c>
      <c r="M692" s="4">
        <v>0</v>
      </c>
      <c r="N692">
        <v>10</v>
      </c>
      <c r="P692">
        <v>0</v>
      </c>
      <c r="Q692">
        <f>QtyRemaining*EstMfgMin/60</f>
        <v>0</v>
      </c>
      <c r="U692" t="e">
        <f t="shared" si="22"/>
        <v>#REF!</v>
      </c>
      <c r="V692" s="5" t="e">
        <f t="shared" si="23"/>
        <v>#REF!</v>
      </c>
    </row>
    <row r="693" spans="1:22" x14ac:dyDescent="0.25">
      <c r="A693" s="2">
        <v>46050</v>
      </c>
      <c r="B693" s="2">
        <v>46050</v>
      </c>
      <c r="C693" t="s">
        <v>485</v>
      </c>
      <c r="D693">
        <v>5</v>
      </c>
      <c r="E693" t="s">
        <v>1519</v>
      </c>
      <c r="F693" t="s">
        <v>211</v>
      </c>
      <c r="G693" t="s">
        <v>1520</v>
      </c>
      <c r="H693" t="s">
        <v>1521</v>
      </c>
      <c r="I693" t="s">
        <v>291</v>
      </c>
      <c r="J693" s="3" t="s">
        <v>1538</v>
      </c>
      <c r="K693" t="s">
        <v>1539</v>
      </c>
      <c r="L693" s="4">
        <v>30</v>
      </c>
      <c r="M693" s="4">
        <v>0</v>
      </c>
      <c r="N693">
        <v>30</v>
      </c>
      <c r="P693">
        <v>0</v>
      </c>
      <c r="Q693">
        <f>QtyRemaining*EstMfgMin/60</f>
        <v>0</v>
      </c>
      <c r="U693" t="e">
        <f t="shared" si="22"/>
        <v>#REF!</v>
      </c>
      <c r="V693" s="5" t="e">
        <f t="shared" si="23"/>
        <v>#REF!</v>
      </c>
    </row>
    <row r="694" spans="1:22" x14ac:dyDescent="0.25">
      <c r="A694" s="2">
        <v>46050</v>
      </c>
      <c r="B694" s="2">
        <v>46050</v>
      </c>
      <c r="C694" t="s">
        <v>485</v>
      </c>
      <c r="D694">
        <v>5</v>
      </c>
      <c r="E694" t="s">
        <v>1519</v>
      </c>
      <c r="F694" t="s">
        <v>211</v>
      </c>
      <c r="G694" t="s">
        <v>1520</v>
      </c>
      <c r="H694" t="s">
        <v>1521</v>
      </c>
      <c r="I694" t="s">
        <v>291</v>
      </c>
      <c r="J694" s="3" t="s">
        <v>1540</v>
      </c>
      <c r="K694" t="s">
        <v>1541</v>
      </c>
      <c r="L694" s="4">
        <v>40</v>
      </c>
      <c r="M694" s="4">
        <v>0</v>
      </c>
      <c r="N694">
        <v>40</v>
      </c>
      <c r="P694">
        <v>0</v>
      </c>
      <c r="Q694">
        <f>QtyRemaining*EstMfgMin/60</f>
        <v>0</v>
      </c>
      <c r="U694" t="e">
        <f t="shared" si="22"/>
        <v>#REF!</v>
      </c>
      <c r="V694" s="5" t="e">
        <f t="shared" si="23"/>
        <v>#REF!</v>
      </c>
    </row>
    <row r="695" spans="1:22" x14ac:dyDescent="0.25">
      <c r="A695" s="2">
        <v>46050</v>
      </c>
      <c r="B695" s="2">
        <v>46050</v>
      </c>
      <c r="C695" t="s">
        <v>485</v>
      </c>
      <c r="D695">
        <v>5</v>
      </c>
      <c r="E695" t="s">
        <v>1519</v>
      </c>
      <c r="F695" t="s">
        <v>211</v>
      </c>
      <c r="G695" t="s">
        <v>1520</v>
      </c>
      <c r="H695" t="s">
        <v>1521</v>
      </c>
      <c r="I695" t="s">
        <v>291</v>
      </c>
      <c r="J695" s="3" t="s">
        <v>1542</v>
      </c>
      <c r="K695" t="s">
        <v>1543</v>
      </c>
      <c r="L695" s="4">
        <v>40</v>
      </c>
      <c r="M695" s="4">
        <v>0</v>
      </c>
      <c r="N695">
        <v>40</v>
      </c>
      <c r="P695">
        <v>0</v>
      </c>
      <c r="Q695">
        <f>QtyRemaining*EstMfgMin/60</f>
        <v>0</v>
      </c>
      <c r="U695" t="e">
        <f t="shared" si="22"/>
        <v>#REF!</v>
      </c>
      <c r="V695" s="5" t="e">
        <f t="shared" si="23"/>
        <v>#REF!</v>
      </c>
    </row>
    <row r="696" spans="1:22" x14ac:dyDescent="0.25">
      <c r="A696" s="2">
        <v>46050</v>
      </c>
      <c r="B696" s="2">
        <v>46050</v>
      </c>
      <c r="C696" t="s">
        <v>485</v>
      </c>
      <c r="D696">
        <v>5</v>
      </c>
      <c r="E696" t="s">
        <v>1519</v>
      </c>
      <c r="F696" t="s">
        <v>211</v>
      </c>
      <c r="G696" t="s">
        <v>1520</v>
      </c>
      <c r="H696" t="s">
        <v>1521</v>
      </c>
      <c r="I696" t="s">
        <v>291</v>
      </c>
      <c r="J696" s="3" t="s">
        <v>1544</v>
      </c>
      <c r="K696" t="s">
        <v>1545</v>
      </c>
      <c r="L696" s="4">
        <v>40</v>
      </c>
      <c r="M696" s="4">
        <v>0</v>
      </c>
      <c r="N696">
        <v>40</v>
      </c>
      <c r="P696">
        <v>0</v>
      </c>
      <c r="Q696">
        <f>QtyRemaining*EstMfgMin/60</f>
        <v>0</v>
      </c>
      <c r="U696" t="e">
        <f t="shared" si="22"/>
        <v>#REF!</v>
      </c>
      <c r="V696" s="5" t="e">
        <f t="shared" si="23"/>
        <v>#REF!</v>
      </c>
    </row>
    <row r="697" spans="1:22" x14ac:dyDescent="0.25">
      <c r="A697" s="2">
        <v>46050</v>
      </c>
      <c r="B697" s="2">
        <v>46050</v>
      </c>
      <c r="C697" t="s">
        <v>485</v>
      </c>
      <c r="D697">
        <v>5</v>
      </c>
      <c r="E697" t="s">
        <v>1519</v>
      </c>
      <c r="F697" t="s">
        <v>211</v>
      </c>
      <c r="G697" t="s">
        <v>1520</v>
      </c>
      <c r="H697" t="s">
        <v>1521</v>
      </c>
      <c r="I697" t="s">
        <v>291</v>
      </c>
      <c r="J697" s="3" t="s">
        <v>1546</v>
      </c>
      <c r="K697" t="s">
        <v>1547</v>
      </c>
      <c r="L697" s="4">
        <v>40</v>
      </c>
      <c r="M697" s="4">
        <v>0</v>
      </c>
      <c r="N697">
        <v>40</v>
      </c>
      <c r="P697">
        <v>0</v>
      </c>
      <c r="Q697">
        <f>QtyRemaining*EstMfgMin/60</f>
        <v>0</v>
      </c>
      <c r="U697" t="e">
        <f t="shared" si="22"/>
        <v>#REF!</v>
      </c>
      <c r="V697" s="5" t="e">
        <f t="shared" si="23"/>
        <v>#REF!</v>
      </c>
    </row>
    <row r="698" spans="1:22" x14ac:dyDescent="0.25">
      <c r="A698" s="2">
        <v>46050</v>
      </c>
      <c r="B698" s="2">
        <v>46050</v>
      </c>
      <c r="C698" t="s">
        <v>485</v>
      </c>
      <c r="D698">
        <v>5</v>
      </c>
      <c r="E698" t="s">
        <v>1519</v>
      </c>
      <c r="F698" t="s">
        <v>211</v>
      </c>
      <c r="G698" t="s">
        <v>1520</v>
      </c>
      <c r="H698" t="s">
        <v>1521</v>
      </c>
      <c r="I698" t="s">
        <v>291</v>
      </c>
      <c r="J698" s="3" t="s">
        <v>1548</v>
      </c>
      <c r="K698" t="s">
        <v>1549</v>
      </c>
      <c r="L698" s="4">
        <v>35</v>
      </c>
      <c r="M698" s="4">
        <v>0</v>
      </c>
      <c r="N698">
        <v>35</v>
      </c>
      <c r="P698">
        <v>0</v>
      </c>
      <c r="Q698">
        <f>QtyRemaining*EstMfgMin/60</f>
        <v>0</v>
      </c>
      <c r="U698" t="e">
        <f t="shared" si="22"/>
        <v>#REF!</v>
      </c>
      <c r="V698" s="5" t="e">
        <f t="shared" si="23"/>
        <v>#REF!</v>
      </c>
    </row>
    <row r="699" spans="1:22" x14ac:dyDescent="0.25">
      <c r="A699" s="2">
        <v>46050</v>
      </c>
      <c r="B699" s="2">
        <v>46050</v>
      </c>
      <c r="C699" t="s">
        <v>485</v>
      </c>
      <c r="D699">
        <v>5</v>
      </c>
      <c r="E699" t="s">
        <v>1519</v>
      </c>
      <c r="F699" t="s">
        <v>211</v>
      </c>
      <c r="G699" t="s">
        <v>1520</v>
      </c>
      <c r="H699" t="s">
        <v>1521</v>
      </c>
      <c r="I699" t="s">
        <v>291</v>
      </c>
      <c r="J699" s="3" t="s">
        <v>1550</v>
      </c>
      <c r="K699" t="s">
        <v>1551</v>
      </c>
      <c r="L699" s="4">
        <v>20</v>
      </c>
      <c r="M699" s="4">
        <v>0</v>
      </c>
      <c r="N699">
        <v>20</v>
      </c>
      <c r="P699">
        <v>0</v>
      </c>
      <c r="Q699">
        <f>QtyRemaining*EstMfgMin/60</f>
        <v>0</v>
      </c>
      <c r="U699" t="e">
        <f t="shared" si="22"/>
        <v>#REF!</v>
      </c>
      <c r="V699" s="5" t="e">
        <f t="shared" si="23"/>
        <v>#REF!</v>
      </c>
    </row>
    <row r="700" spans="1:22" x14ac:dyDescent="0.25">
      <c r="A700" s="2">
        <v>46051</v>
      </c>
      <c r="B700" s="2">
        <v>45924</v>
      </c>
      <c r="C700" t="s">
        <v>1168</v>
      </c>
      <c r="D700">
        <v>5</v>
      </c>
      <c r="E700" t="s">
        <v>1552</v>
      </c>
      <c r="F700" t="s">
        <v>211</v>
      </c>
      <c r="G700" t="s">
        <v>1553</v>
      </c>
      <c r="H700" t="s">
        <v>1554</v>
      </c>
      <c r="I700" t="s">
        <v>83</v>
      </c>
      <c r="J700" s="3" t="s">
        <v>1555</v>
      </c>
      <c r="K700" t="s">
        <v>1556</v>
      </c>
      <c r="L700" s="4">
        <v>1</v>
      </c>
      <c r="M700" s="4">
        <v>0</v>
      </c>
      <c r="N700">
        <v>1</v>
      </c>
      <c r="O700" t="s">
        <v>1557</v>
      </c>
      <c r="P700">
        <v>100</v>
      </c>
      <c r="Q700">
        <f>QtyRemaining*EstMfgMin/60</f>
        <v>1.6666666666666667</v>
      </c>
      <c r="U700" t="e">
        <f t="shared" si="22"/>
        <v>#REF!</v>
      </c>
      <c r="V700" s="5" t="e">
        <f t="shared" si="23"/>
        <v>#REF!</v>
      </c>
    </row>
    <row r="701" spans="1:22" x14ac:dyDescent="0.25">
      <c r="A701" s="2">
        <v>46051</v>
      </c>
      <c r="B701" s="2">
        <v>45950</v>
      </c>
      <c r="C701" t="s">
        <v>1168</v>
      </c>
      <c r="D701">
        <v>5</v>
      </c>
      <c r="E701" t="s">
        <v>1558</v>
      </c>
      <c r="F701" t="s">
        <v>283</v>
      </c>
      <c r="G701" t="s">
        <v>1170</v>
      </c>
      <c r="H701" t="s">
        <v>1559</v>
      </c>
      <c r="I701" t="s">
        <v>224</v>
      </c>
      <c r="J701" s="3" t="s">
        <v>1560</v>
      </c>
      <c r="K701" t="s">
        <v>1561</v>
      </c>
      <c r="L701" s="4">
        <v>100</v>
      </c>
      <c r="M701" s="4">
        <v>0</v>
      </c>
      <c r="N701">
        <v>100</v>
      </c>
      <c r="O701" t="s">
        <v>266</v>
      </c>
      <c r="P701">
        <v>50</v>
      </c>
      <c r="Q701">
        <f>QtyRemaining*EstMfgMin/60</f>
        <v>83.333333333333329</v>
      </c>
      <c r="U701" t="e">
        <f t="shared" si="22"/>
        <v>#REF!</v>
      </c>
      <c r="V701" s="5" t="e">
        <f t="shared" si="23"/>
        <v>#REF!</v>
      </c>
    </row>
    <row r="702" spans="1:22" x14ac:dyDescent="0.25">
      <c r="A702" s="2">
        <v>46051</v>
      </c>
      <c r="B702" s="2">
        <v>45957</v>
      </c>
      <c r="C702" t="s">
        <v>232</v>
      </c>
      <c r="D702">
        <v>5</v>
      </c>
      <c r="E702" t="s">
        <v>1562</v>
      </c>
      <c r="F702" t="s">
        <v>211</v>
      </c>
      <c r="G702" t="s">
        <v>1184</v>
      </c>
      <c r="H702" t="s">
        <v>1563</v>
      </c>
      <c r="I702" t="s">
        <v>83</v>
      </c>
      <c r="J702" s="3" t="s">
        <v>1564</v>
      </c>
      <c r="K702" t="s">
        <v>1565</v>
      </c>
      <c r="L702" s="4">
        <v>13</v>
      </c>
      <c r="M702" s="4">
        <v>0</v>
      </c>
      <c r="N702">
        <v>13</v>
      </c>
      <c r="O702" t="s">
        <v>1566</v>
      </c>
      <c r="P702">
        <v>125</v>
      </c>
      <c r="Q702">
        <f>QtyRemaining*EstMfgMin/60</f>
        <v>27.083333333333332</v>
      </c>
      <c r="U702" t="e">
        <f t="shared" si="22"/>
        <v>#REF!</v>
      </c>
      <c r="V702" s="5" t="e">
        <f t="shared" si="23"/>
        <v>#REF!</v>
      </c>
    </row>
    <row r="703" spans="1:22" x14ac:dyDescent="0.25">
      <c r="A703" s="2">
        <v>46051</v>
      </c>
      <c r="B703" s="2">
        <v>45964</v>
      </c>
      <c r="C703" t="s">
        <v>1168</v>
      </c>
      <c r="D703">
        <v>5</v>
      </c>
      <c r="E703" t="s">
        <v>1567</v>
      </c>
      <c r="F703" t="s">
        <v>283</v>
      </c>
      <c r="G703" t="s">
        <v>1170</v>
      </c>
      <c r="H703" t="s">
        <v>1568</v>
      </c>
      <c r="I703" t="s">
        <v>224</v>
      </c>
      <c r="J703" s="3" t="s">
        <v>1569</v>
      </c>
      <c r="K703" t="s">
        <v>1570</v>
      </c>
      <c r="L703" s="4">
        <v>40</v>
      </c>
      <c r="M703" s="4">
        <v>0</v>
      </c>
      <c r="N703">
        <v>40</v>
      </c>
      <c r="O703" t="s">
        <v>702</v>
      </c>
      <c r="P703">
        <v>90</v>
      </c>
      <c r="Q703">
        <f>QtyRemaining*EstMfgMin/60</f>
        <v>60</v>
      </c>
      <c r="U703" t="e">
        <f t="shared" si="22"/>
        <v>#REF!</v>
      </c>
      <c r="V703" s="5" t="e">
        <f t="shared" si="23"/>
        <v>#REF!</v>
      </c>
    </row>
    <row r="704" spans="1:22" x14ac:dyDescent="0.25">
      <c r="A704" s="2">
        <v>46051</v>
      </c>
      <c r="B704" s="2">
        <v>45967</v>
      </c>
      <c r="C704" t="s">
        <v>465</v>
      </c>
      <c r="D704">
        <v>5</v>
      </c>
      <c r="E704" t="s">
        <v>1384</v>
      </c>
      <c r="F704" t="s">
        <v>211</v>
      </c>
      <c r="G704" t="s">
        <v>467</v>
      </c>
      <c r="H704" t="s">
        <v>1385</v>
      </c>
      <c r="I704" t="s">
        <v>214</v>
      </c>
      <c r="J704" s="3" t="s">
        <v>1571</v>
      </c>
      <c r="K704" t="s">
        <v>1572</v>
      </c>
      <c r="L704" s="4">
        <v>19</v>
      </c>
      <c r="M704" s="4">
        <v>0</v>
      </c>
      <c r="N704">
        <v>19</v>
      </c>
      <c r="O704" t="s">
        <v>176</v>
      </c>
      <c r="P704">
        <v>22</v>
      </c>
      <c r="Q704">
        <f>QtyRemaining*EstMfgMin/60</f>
        <v>6.9666666666666668</v>
      </c>
      <c r="U704" t="e">
        <f t="shared" si="22"/>
        <v>#REF!</v>
      </c>
      <c r="V704" s="5" t="e">
        <f t="shared" si="23"/>
        <v>#REF!</v>
      </c>
    </row>
    <row r="705" spans="1:22" x14ac:dyDescent="0.25">
      <c r="A705" s="2">
        <v>46051</v>
      </c>
      <c r="B705" s="2">
        <v>46013</v>
      </c>
      <c r="C705" t="s">
        <v>478</v>
      </c>
      <c r="D705">
        <v>5</v>
      </c>
      <c r="E705" t="s">
        <v>1573</v>
      </c>
      <c r="F705" t="s">
        <v>261</v>
      </c>
      <c r="G705" t="s">
        <v>1021</v>
      </c>
      <c r="H705" t="s">
        <v>1574</v>
      </c>
      <c r="I705" t="s">
        <v>83</v>
      </c>
      <c r="J705" s="3" t="s">
        <v>1575</v>
      </c>
      <c r="K705" t="s">
        <v>1576</v>
      </c>
      <c r="L705" s="4">
        <v>18</v>
      </c>
      <c r="M705" s="4">
        <v>0</v>
      </c>
      <c r="N705">
        <v>18</v>
      </c>
      <c r="O705" t="s">
        <v>118</v>
      </c>
      <c r="P705">
        <v>5</v>
      </c>
      <c r="Q705">
        <f>QtyRemaining*EstMfgMin/60</f>
        <v>1.5</v>
      </c>
      <c r="U705" t="e">
        <f t="shared" si="22"/>
        <v>#REF!</v>
      </c>
      <c r="V705" s="5" t="e">
        <f t="shared" si="23"/>
        <v>#REF!</v>
      </c>
    </row>
    <row r="706" spans="1:22" x14ac:dyDescent="0.25">
      <c r="A706" s="2">
        <v>46051</v>
      </c>
      <c r="B706" s="2">
        <v>46013</v>
      </c>
      <c r="C706" t="s">
        <v>478</v>
      </c>
      <c r="D706">
        <v>5</v>
      </c>
      <c r="E706" t="s">
        <v>1573</v>
      </c>
      <c r="F706" t="s">
        <v>261</v>
      </c>
      <c r="G706" t="s">
        <v>1021</v>
      </c>
      <c r="H706" t="s">
        <v>1574</v>
      </c>
      <c r="I706" t="s">
        <v>874</v>
      </c>
      <c r="J706" s="3" t="s">
        <v>875</v>
      </c>
      <c r="K706" t="s">
        <v>1577</v>
      </c>
      <c r="L706" s="4">
        <v>1</v>
      </c>
      <c r="M706" s="4">
        <v>0</v>
      </c>
      <c r="N706">
        <v>1</v>
      </c>
      <c r="P706">
        <v>0</v>
      </c>
      <c r="Q706">
        <f>QtyRemaining*EstMfgMin/60</f>
        <v>0</v>
      </c>
      <c r="U706" t="e">
        <f t="shared" si="22"/>
        <v>#REF!</v>
      </c>
      <c r="V706" s="5" t="e">
        <f t="shared" si="23"/>
        <v>#REF!</v>
      </c>
    </row>
    <row r="707" spans="1:22" x14ac:dyDescent="0.25">
      <c r="A707" s="2">
        <v>46051</v>
      </c>
      <c r="B707" s="2">
        <v>46036</v>
      </c>
      <c r="C707" t="s">
        <v>465</v>
      </c>
      <c r="D707">
        <v>5</v>
      </c>
      <c r="E707" t="s">
        <v>1506</v>
      </c>
      <c r="F707" t="s">
        <v>211</v>
      </c>
      <c r="G707" t="s">
        <v>467</v>
      </c>
      <c r="H707" t="s">
        <v>1507</v>
      </c>
      <c r="I707" t="s">
        <v>214</v>
      </c>
      <c r="J707" s="3" t="s">
        <v>1578</v>
      </c>
      <c r="K707" t="s">
        <v>1579</v>
      </c>
      <c r="L707" s="4">
        <v>1</v>
      </c>
      <c r="M707" s="4">
        <v>0</v>
      </c>
      <c r="N707">
        <v>1</v>
      </c>
      <c r="O707" t="s">
        <v>86</v>
      </c>
      <c r="P707">
        <v>37</v>
      </c>
      <c r="Q707">
        <f>QtyRemaining*EstMfgMin/60</f>
        <v>0.6166666666666667</v>
      </c>
      <c r="U707" t="e">
        <f t="shared" ref="U707:U770" si="24">VLOOKUP(A707,Calendar,13,FALSE)</f>
        <v>#REF!</v>
      </c>
      <c r="V707" s="5" t="e">
        <f t="shared" ref="V707:V770" si="25">VLOOKUP(A707,Calendar,14,FALSE)</f>
        <v>#REF!</v>
      </c>
    </row>
    <row r="708" spans="1:22" x14ac:dyDescent="0.25">
      <c r="A708" s="2">
        <v>46052</v>
      </c>
      <c r="B708" s="2">
        <v>45407</v>
      </c>
      <c r="C708" t="s">
        <v>570</v>
      </c>
      <c r="D708">
        <v>5</v>
      </c>
      <c r="E708" t="s">
        <v>1580</v>
      </c>
      <c r="F708" t="s">
        <v>261</v>
      </c>
      <c r="G708" t="s">
        <v>262</v>
      </c>
      <c r="H708" t="s">
        <v>1581</v>
      </c>
      <c r="I708" t="s">
        <v>83</v>
      </c>
      <c r="J708" s="3" t="s">
        <v>932</v>
      </c>
      <c r="K708" t="s">
        <v>933</v>
      </c>
      <c r="L708" s="4">
        <v>44</v>
      </c>
      <c r="M708" s="4">
        <v>24</v>
      </c>
      <c r="N708">
        <v>20</v>
      </c>
      <c r="O708" t="s">
        <v>118</v>
      </c>
      <c r="P708">
        <v>0</v>
      </c>
      <c r="Q708">
        <f>QtyRemaining*EstMfgMin/60</f>
        <v>0</v>
      </c>
      <c r="U708" t="e">
        <f t="shared" si="24"/>
        <v>#REF!</v>
      </c>
      <c r="V708" s="5" t="e">
        <f t="shared" si="25"/>
        <v>#REF!</v>
      </c>
    </row>
    <row r="709" spans="1:22" x14ac:dyDescent="0.25">
      <c r="A709" s="2">
        <v>46052</v>
      </c>
      <c r="B709" s="2">
        <v>45541</v>
      </c>
      <c r="C709" t="s">
        <v>633</v>
      </c>
      <c r="D709">
        <v>5</v>
      </c>
      <c r="E709" t="s">
        <v>1582</v>
      </c>
      <c r="F709" t="s">
        <v>261</v>
      </c>
      <c r="G709" t="s">
        <v>1583</v>
      </c>
      <c r="H709" t="s">
        <v>1584</v>
      </c>
      <c r="I709" t="s">
        <v>83</v>
      </c>
      <c r="J709" s="3" t="s">
        <v>1585</v>
      </c>
      <c r="K709" t="s">
        <v>1586</v>
      </c>
      <c r="L709" s="4">
        <v>4</v>
      </c>
      <c r="M709" s="4">
        <v>0</v>
      </c>
      <c r="N709">
        <v>4</v>
      </c>
      <c r="P709">
        <v>0</v>
      </c>
      <c r="Q709">
        <f>QtyRemaining*EstMfgMin/60</f>
        <v>0</v>
      </c>
      <c r="U709" t="e">
        <f t="shared" si="24"/>
        <v>#REF!</v>
      </c>
      <c r="V709" s="5" t="e">
        <f t="shared" si="25"/>
        <v>#REF!</v>
      </c>
    </row>
    <row r="710" spans="1:22" x14ac:dyDescent="0.25">
      <c r="A710" s="2">
        <v>46052</v>
      </c>
      <c r="B710" s="2">
        <v>45700</v>
      </c>
      <c r="C710" t="s">
        <v>478</v>
      </c>
      <c r="D710">
        <v>5</v>
      </c>
      <c r="E710" t="s">
        <v>1587</v>
      </c>
      <c r="F710" t="s">
        <v>261</v>
      </c>
      <c r="G710" t="s">
        <v>510</v>
      </c>
      <c r="H710" t="s">
        <v>1588</v>
      </c>
      <c r="I710" t="s">
        <v>83</v>
      </c>
      <c r="J710" s="3" t="s">
        <v>1589</v>
      </c>
      <c r="K710" t="s">
        <v>1590</v>
      </c>
      <c r="L710" s="4">
        <v>106</v>
      </c>
      <c r="M710" s="4">
        <v>0</v>
      </c>
      <c r="N710">
        <v>106</v>
      </c>
      <c r="O710" t="s">
        <v>1370</v>
      </c>
      <c r="P710">
        <v>35</v>
      </c>
      <c r="Q710">
        <f>QtyRemaining*EstMfgMin/60</f>
        <v>61.833333333333336</v>
      </c>
      <c r="S710" t="s">
        <v>280</v>
      </c>
      <c r="U710" t="e">
        <f t="shared" si="24"/>
        <v>#REF!</v>
      </c>
      <c r="V710" s="5" t="e">
        <f t="shared" si="25"/>
        <v>#REF!</v>
      </c>
    </row>
    <row r="711" spans="1:22" x14ac:dyDescent="0.25">
      <c r="A711" s="2">
        <v>46052</v>
      </c>
      <c r="B711" s="2">
        <v>45776</v>
      </c>
      <c r="C711" t="s">
        <v>485</v>
      </c>
      <c r="D711">
        <v>5</v>
      </c>
      <c r="E711" t="s">
        <v>1591</v>
      </c>
      <c r="F711" t="s">
        <v>211</v>
      </c>
      <c r="G711" t="s">
        <v>487</v>
      </c>
      <c r="H711" t="s">
        <v>1592</v>
      </c>
      <c r="I711" t="s">
        <v>83</v>
      </c>
      <c r="J711" s="3" t="s">
        <v>1593</v>
      </c>
      <c r="K711" t="s">
        <v>1594</v>
      </c>
      <c r="L711" s="4">
        <v>42</v>
      </c>
      <c r="M711" s="4">
        <v>0</v>
      </c>
      <c r="N711">
        <v>42</v>
      </c>
      <c r="O711" t="s">
        <v>266</v>
      </c>
      <c r="P711">
        <v>200</v>
      </c>
      <c r="Q711">
        <f>QtyRemaining*EstMfgMin/60</f>
        <v>140</v>
      </c>
      <c r="U711" t="e">
        <f t="shared" si="24"/>
        <v>#REF!</v>
      </c>
      <c r="V711" s="5" t="e">
        <f t="shared" si="25"/>
        <v>#REF!</v>
      </c>
    </row>
    <row r="712" spans="1:22" x14ac:dyDescent="0.25">
      <c r="A712" s="2">
        <v>46052</v>
      </c>
      <c r="B712" s="2">
        <v>45776</v>
      </c>
      <c r="C712" t="s">
        <v>485</v>
      </c>
      <c r="D712">
        <v>5</v>
      </c>
      <c r="E712" t="s">
        <v>1591</v>
      </c>
      <c r="F712" t="s">
        <v>211</v>
      </c>
      <c r="G712" t="s">
        <v>487</v>
      </c>
      <c r="H712" t="s">
        <v>1592</v>
      </c>
      <c r="I712" t="s">
        <v>83</v>
      </c>
      <c r="J712" s="3" t="s">
        <v>1595</v>
      </c>
      <c r="K712" t="s">
        <v>1596</v>
      </c>
      <c r="L712" s="4">
        <v>42</v>
      </c>
      <c r="M712" s="4">
        <v>0</v>
      </c>
      <c r="N712">
        <v>42</v>
      </c>
      <c r="O712" t="s">
        <v>266</v>
      </c>
      <c r="P712">
        <v>200</v>
      </c>
      <c r="Q712">
        <f>QtyRemaining*EstMfgMin/60</f>
        <v>140</v>
      </c>
      <c r="U712" t="e">
        <f t="shared" si="24"/>
        <v>#REF!</v>
      </c>
      <c r="V712" s="5" t="e">
        <f t="shared" si="25"/>
        <v>#REF!</v>
      </c>
    </row>
    <row r="713" spans="1:22" x14ac:dyDescent="0.25">
      <c r="A713" s="2">
        <v>46052</v>
      </c>
      <c r="B713" s="2">
        <v>45909</v>
      </c>
      <c r="C713" t="s">
        <v>650</v>
      </c>
      <c r="D713">
        <v>5</v>
      </c>
      <c r="E713" t="s">
        <v>1597</v>
      </c>
      <c r="F713" t="s">
        <v>283</v>
      </c>
      <c r="G713" t="s">
        <v>652</v>
      </c>
      <c r="H713" t="s">
        <v>1598</v>
      </c>
      <c r="I713" t="s">
        <v>1087</v>
      </c>
      <c r="J713" s="3" t="s">
        <v>1599</v>
      </c>
      <c r="K713" t="s">
        <v>1600</v>
      </c>
      <c r="L713" s="4">
        <v>1</v>
      </c>
      <c r="M713" s="4">
        <v>0</v>
      </c>
      <c r="N713">
        <v>1</v>
      </c>
      <c r="O713" t="s">
        <v>656</v>
      </c>
      <c r="P713">
        <v>117</v>
      </c>
      <c r="Q713">
        <f>QtyRemaining*EstMfgMin/60</f>
        <v>1.95</v>
      </c>
      <c r="R713" t="s">
        <v>1601</v>
      </c>
      <c r="U713" t="e">
        <f t="shared" si="24"/>
        <v>#REF!</v>
      </c>
      <c r="V713" s="5" t="e">
        <f t="shared" si="25"/>
        <v>#REF!</v>
      </c>
    </row>
    <row r="714" spans="1:22" x14ac:dyDescent="0.25">
      <c r="A714" s="2">
        <v>46052</v>
      </c>
      <c r="B714" s="2">
        <v>45932</v>
      </c>
      <c r="C714" t="s">
        <v>650</v>
      </c>
      <c r="D714">
        <v>5</v>
      </c>
      <c r="E714" t="s">
        <v>1602</v>
      </c>
      <c r="F714" t="s">
        <v>283</v>
      </c>
      <c r="G714" t="s">
        <v>652</v>
      </c>
      <c r="H714" t="s">
        <v>1603</v>
      </c>
      <c r="I714" t="s">
        <v>1087</v>
      </c>
      <c r="J714" s="3" t="s">
        <v>1604</v>
      </c>
      <c r="K714" t="s">
        <v>1605</v>
      </c>
      <c r="L714" s="4">
        <v>80</v>
      </c>
      <c r="M714" s="4">
        <v>0</v>
      </c>
      <c r="N714">
        <v>80</v>
      </c>
      <c r="O714" t="s">
        <v>656</v>
      </c>
      <c r="P714">
        <v>36</v>
      </c>
      <c r="Q714">
        <f>QtyRemaining*EstMfgMin/60</f>
        <v>48</v>
      </c>
      <c r="R714" t="s">
        <v>1606</v>
      </c>
      <c r="U714" t="e">
        <f t="shared" si="24"/>
        <v>#REF!</v>
      </c>
      <c r="V714" s="5" t="e">
        <f t="shared" si="25"/>
        <v>#REF!</v>
      </c>
    </row>
    <row r="715" spans="1:22" x14ac:dyDescent="0.25">
      <c r="A715" s="2">
        <v>46052</v>
      </c>
      <c r="B715" s="2">
        <v>45958</v>
      </c>
      <c r="C715" t="s">
        <v>478</v>
      </c>
      <c r="D715">
        <v>5</v>
      </c>
      <c r="E715" t="s">
        <v>1607</v>
      </c>
      <c r="F715" t="s">
        <v>261</v>
      </c>
      <c r="G715" t="s">
        <v>670</v>
      </c>
      <c r="H715" t="s">
        <v>1608</v>
      </c>
      <c r="I715" t="s">
        <v>83</v>
      </c>
      <c r="J715" s="3" t="s">
        <v>1609</v>
      </c>
      <c r="K715" t="s">
        <v>1610</v>
      </c>
      <c r="L715" s="4">
        <v>34</v>
      </c>
      <c r="M715" s="4">
        <v>0</v>
      </c>
      <c r="N715">
        <v>34</v>
      </c>
      <c r="O715" t="s">
        <v>176</v>
      </c>
      <c r="P715">
        <v>55</v>
      </c>
      <c r="Q715">
        <f>QtyRemaining*EstMfgMin/60</f>
        <v>31.166666666666668</v>
      </c>
      <c r="U715" t="e">
        <f t="shared" si="24"/>
        <v>#REF!</v>
      </c>
      <c r="V715" s="5" t="e">
        <f t="shared" si="25"/>
        <v>#REF!</v>
      </c>
    </row>
    <row r="716" spans="1:22" x14ac:dyDescent="0.25">
      <c r="A716" s="2">
        <v>46052</v>
      </c>
      <c r="B716" s="2">
        <v>45958</v>
      </c>
      <c r="C716" t="s">
        <v>478</v>
      </c>
      <c r="D716">
        <v>5</v>
      </c>
      <c r="E716" t="s">
        <v>1607</v>
      </c>
      <c r="F716" t="s">
        <v>261</v>
      </c>
      <c r="G716" t="s">
        <v>670</v>
      </c>
      <c r="H716" t="s">
        <v>1608</v>
      </c>
      <c r="I716" t="s">
        <v>83</v>
      </c>
      <c r="J716" s="3" t="s">
        <v>1611</v>
      </c>
      <c r="K716" t="s">
        <v>1612</v>
      </c>
      <c r="L716" s="4">
        <v>34</v>
      </c>
      <c r="M716" s="4">
        <v>0</v>
      </c>
      <c r="N716">
        <v>34</v>
      </c>
      <c r="O716" t="s">
        <v>86</v>
      </c>
      <c r="P716">
        <v>50</v>
      </c>
      <c r="Q716">
        <f>QtyRemaining*EstMfgMin/60</f>
        <v>28.333333333333332</v>
      </c>
      <c r="U716" t="e">
        <f t="shared" si="24"/>
        <v>#REF!</v>
      </c>
      <c r="V716" s="5" t="e">
        <f t="shared" si="25"/>
        <v>#REF!</v>
      </c>
    </row>
    <row r="717" spans="1:22" x14ac:dyDescent="0.25">
      <c r="A717" s="2">
        <v>46052</v>
      </c>
      <c r="B717" s="2">
        <v>45972</v>
      </c>
      <c r="C717" t="s">
        <v>485</v>
      </c>
      <c r="D717">
        <v>5</v>
      </c>
      <c r="E717" t="s">
        <v>504</v>
      </c>
      <c r="F717" t="s">
        <v>211</v>
      </c>
      <c r="G717" t="s">
        <v>487</v>
      </c>
      <c r="H717" t="s">
        <v>505</v>
      </c>
      <c r="I717" t="s">
        <v>83</v>
      </c>
      <c r="J717" s="3" t="s">
        <v>1613</v>
      </c>
      <c r="K717" t="s">
        <v>1614</v>
      </c>
      <c r="L717" s="4">
        <v>250</v>
      </c>
      <c r="M717" s="4">
        <v>0</v>
      </c>
      <c r="N717">
        <v>250</v>
      </c>
      <c r="O717" t="s">
        <v>508</v>
      </c>
      <c r="P717">
        <v>55</v>
      </c>
      <c r="Q717">
        <f>QtyRemaining*EstMfgMin/60</f>
        <v>229.16666666666666</v>
      </c>
      <c r="U717" t="e">
        <f t="shared" si="24"/>
        <v>#REF!</v>
      </c>
      <c r="V717" s="5" t="e">
        <f t="shared" si="25"/>
        <v>#REF!</v>
      </c>
    </row>
    <row r="718" spans="1:22" x14ac:dyDescent="0.25">
      <c r="A718" s="2">
        <v>46052</v>
      </c>
      <c r="B718" s="2">
        <v>45972</v>
      </c>
      <c r="C718" t="s">
        <v>485</v>
      </c>
      <c r="D718">
        <v>5</v>
      </c>
      <c r="E718" t="s">
        <v>1078</v>
      </c>
      <c r="F718" t="s">
        <v>211</v>
      </c>
      <c r="G718" t="s">
        <v>761</v>
      </c>
      <c r="H718" t="s">
        <v>1079</v>
      </c>
      <c r="I718" t="s">
        <v>214</v>
      </c>
      <c r="J718" s="3" t="s">
        <v>1615</v>
      </c>
      <c r="K718" t="s">
        <v>1616</v>
      </c>
      <c r="L718" s="4">
        <v>100</v>
      </c>
      <c r="M718" s="4">
        <v>0</v>
      </c>
      <c r="N718">
        <v>100</v>
      </c>
      <c r="O718" t="s">
        <v>1082</v>
      </c>
      <c r="P718">
        <v>12</v>
      </c>
      <c r="Q718">
        <f>QtyRemaining*EstMfgMin/60</f>
        <v>20</v>
      </c>
      <c r="U718" t="e">
        <f t="shared" si="24"/>
        <v>#REF!</v>
      </c>
      <c r="V718" s="5" t="e">
        <f t="shared" si="25"/>
        <v>#REF!</v>
      </c>
    </row>
    <row r="719" spans="1:22" x14ac:dyDescent="0.25">
      <c r="A719" s="2">
        <v>46052</v>
      </c>
      <c r="B719" s="2">
        <v>45972</v>
      </c>
      <c r="C719" t="s">
        <v>485</v>
      </c>
      <c r="D719">
        <v>5</v>
      </c>
      <c r="E719" t="s">
        <v>1078</v>
      </c>
      <c r="F719" t="s">
        <v>211</v>
      </c>
      <c r="G719" t="s">
        <v>761</v>
      </c>
      <c r="H719" t="s">
        <v>1079</v>
      </c>
      <c r="I719" t="s">
        <v>214</v>
      </c>
      <c r="J719" s="3" t="s">
        <v>1617</v>
      </c>
      <c r="K719" t="s">
        <v>1618</v>
      </c>
      <c r="L719" s="4">
        <v>20</v>
      </c>
      <c r="M719" s="4">
        <v>0</v>
      </c>
      <c r="N719">
        <v>20</v>
      </c>
      <c r="O719" t="s">
        <v>176</v>
      </c>
      <c r="P719">
        <v>24</v>
      </c>
      <c r="Q719">
        <f>QtyRemaining*EstMfgMin/60</f>
        <v>8</v>
      </c>
      <c r="U719" t="e">
        <f t="shared" si="24"/>
        <v>#REF!</v>
      </c>
      <c r="V719" s="5" t="e">
        <f t="shared" si="25"/>
        <v>#REF!</v>
      </c>
    </row>
    <row r="720" spans="1:22" x14ac:dyDescent="0.25">
      <c r="A720" s="2">
        <v>46052</v>
      </c>
      <c r="B720" s="2">
        <v>45982</v>
      </c>
      <c r="C720" t="s">
        <v>465</v>
      </c>
      <c r="D720">
        <v>5</v>
      </c>
      <c r="E720" t="s">
        <v>1619</v>
      </c>
      <c r="F720" t="s">
        <v>211</v>
      </c>
      <c r="G720" t="s">
        <v>467</v>
      </c>
      <c r="H720" t="s">
        <v>1620</v>
      </c>
      <c r="I720" t="s">
        <v>214</v>
      </c>
      <c r="J720" s="3" t="s">
        <v>1255</v>
      </c>
      <c r="K720" t="s">
        <v>1256</v>
      </c>
      <c r="L720" s="4">
        <v>1</v>
      </c>
      <c r="M720" s="4">
        <v>0</v>
      </c>
      <c r="N720">
        <v>1</v>
      </c>
      <c r="O720" t="s">
        <v>457</v>
      </c>
      <c r="P720">
        <v>18</v>
      </c>
      <c r="Q720">
        <f>QtyRemaining*EstMfgMin/60</f>
        <v>0.3</v>
      </c>
      <c r="U720" t="e">
        <f t="shared" si="24"/>
        <v>#REF!</v>
      </c>
      <c r="V720" s="5" t="e">
        <f t="shared" si="25"/>
        <v>#REF!</v>
      </c>
    </row>
    <row r="721" spans="1:22" x14ac:dyDescent="0.25">
      <c r="A721" s="2">
        <v>46052</v>
      </c>
      <c r="B721" s="2">
        <v>46003</v>
      </c>
      <c r="C721" t="s">
        <v>465</v>
      </c>
      <c r="D721">
        <v>5</v>
      </c>
      <c r="E721" t="s">
        <v>1621</v>
      </c>
      <c r="F721" t="s">
        <v>211</v>
      </c>
      <c r="G721" t="s">
        <v>467</v>
      </c>
      <c r="H721" t="s">
        <v>1622</v>
      </c>
      <c r="I721" t="s">
        <v>214</v>
      </c>
      <c r="J721" s="3" t="s">
        <v>1571</v>
      </c>
      <c r="K721" t="s">
        <v>1572</v>
      </c>
      <c r="L721" s="4">
        <v>36</v>
      </c>
      <c r="M721" s="4">
        <v>0</v>
      </c>
      <c r="N721">
        <v>36</v>
      </c>
      <c r="O721" t="s">
        <v>176</v>
      </c>
      <c r="P721">
        <v>22</v>
      </c>
      <c r="Q721">
        <f>QtyRemaining*EstMfgMin/60</f>
        <v>13.2</v>
      </c>
      <c r="U721" t="e">
        <f t="shared" si="24"/>
        <v>#REF!</v>
      </c>
      <c r="V721" s="5" t="e">
        <f t="shared" si="25"/>
        <v>#REF!</v>
      </c>
    </row>
    <row r="722" spans="1:22" x14ac:dyDescent="0.25">
      <c r="A722" s="2">
        <v>46052</v>
      </c>
      <c r="B722" s="2">
        <v>46028</v>
      </c>
      <c r="C722" t="s">
        <v>523</v>
      </c>
      <c r="D722">
        <v>5</v>
      </c>
      <c r="E722" t="s">
        <v>1623</v>
      </c>
      <c r="F722" t="s">
        <v>261</v>
      </c>
      <c r="G722" t="s">
        <v>525</v>
      </c>
      <c r="H722" t="s">
        <v>1624</v>
      </c>
      <c r="I722" t="s">
        <v>83</v>
      </c>
      <c r="J722" s="3" t="s">
        <v>1142</v>
      </c>
      <c r="K722" t="s">
        <v>1141</v>
      </c>
      <c r="L722" s="4">
        <v>3</v>
      </c>
      <c r="M722" s="4">
        <v>0</v>
      </c>
      <c r="N722">
        <v>3</v>
      </c>
      <c r="O722" t="s">
        <v>118</v>
      </c>
      <c r="P722">
        <v>105</v>
      </c>
      <c r="Q722">
        <f>QtyRemaining*EstMfgMin/60</f>
        <v>5.25</v>
      </c>
      <c r="U722" t="e">
        <f t="shared" si="24"/>
        <v>#REF!</v>
      </c>
      <c r="V722" s="5" t="e">
        <f t="shared" si="25"/>
        <v>#REF!</v>
      </c>
    </row>
    <row r="723" spans="1:22" x14ac:dyDescent="0.25">
      <c r="A723" s="2">
        <v>46052</v>
      </c>
      <c r="B723" s="2">
        <v>46031</v>
      </c>
      <c r="C723" t="s">
        <v>485</v>
      </c>
      <c r="D723">
        <v>5</v>
      </c>
      <c r="E723" t="s">
        <v>1625</v>
      </c>
      <c r="F723" t="s">
        <v>211</v>
      </c>
      <c r="G723" t="s">
        <v>1626</v>
      </c>
      <c r="H723" t="s">
        <v>1627</v>
      </c>
      <c r="I723" t="s">
        <v>214</v>
      </c>
      <c r="J723" s="3" t="s">
        <v>1628</v>
      </c>
      <c r="K723" t="s">
        <v>1629</v>
      </c>
      <c r="L723" s="4">
        <v>2000</v>
      </c>
      <c r="M723" s="4">
        <v>0</v>
      </c>
      <c r="N723">
        <v>2000</v>
      </c>
      <c r="P723">
        <v>1</v>
      </c>
      <c r="Q723">
        <f>QtyRemaining*EstMfgMin/60</f>
        <v>33.333333333333336</v>
      </c>
      <c r="U723" t="e">
        <f t="shared" si="24"/>
        <v>#REF!</v>
      </c>
      <c r="V723" s="5" t="e">
        <f t="shared" si="25"/>
        <v>#REF!</v>
      </c>
    </row>
    <row r="724" spans="1:22" x14ac:dyDescent="0.25">
      <c r="A724" s="2">
        <v>46052</v>
      </c>
      <c r="B724" s="2">
        <v>46038</v>
      </c>
      <c r="C724" t="s">
        <v>1168</v>
      </c>
      <c r="D724">
        <v>5</v>
      </c>
      <c r="E724" t="s">
        <v>1630</v>
      </c>
      <c r="F724" t="s">
        <v>283</v>
      </c>
      <c r="G724" t="s">
        <v>1170</v>
      </c>
      <c r="H724" t="s">
        <v>1631</v>
      </c>
      <c r="I724" t="s">
        <v>1172</v>
      </c>
      <c r="J724" s="3" t="s">
        <v>1632</v>
      </c>
      <c r="K724" t="s">
        <v>1633</v>
      </c>
      <c r="L724" s="4">
        <v>100</v>
      </c>
      <c r="M724" s="4">
        <v>0</v>
      </c>
      <c r="N724">
        <v>100</v>
      </c>
      <c r="O724" t="s">
        <v>176</v>
      </c>
      <c r="P724">
        <v>5</v>
      </c>
      <c r="Q724">
        <f>QtyRemaining*EstMfgMin/60</f>
        <v>8.3333333333333339</v>
      </c>
      <c r="U724" t="e">
        <f t="shared" si="24"/>
        <v>#REF!</v>
      </c>
      <c r="V724" s="5" t="e">
        <f t="shared" si="25"/>
        <v>#REF!</v>
      </c>
    </row>
    <row r="725" spans="1:22" x14ac:dyDescent="0.25">
      <c r="A725" s="2">
        <v>46055</v>
      </c>
      <c r="B725" s="2">
        <v>45862</v>
      </c>
      <c r="C725" t="s">
        <v>633</v>
      </c>
      <c r="D725">
        <v>6</v>
      </c>
      <c r="E725" t="s">
        <v>1634</v>
      </c>
      <c r="F725" t="s">
        <v>261</v>
      </c>
      <c r="G725" t="s">
        <v>262</v>
      </c>
      <c r="H725" t="s">
        <v>1635</v>
      </c>
      <c r="I725" t="s">
        <v>83</v>
      </c>
      <c r="J725" s="3" t="s">
        <v>1636</v>
      </c>
      <c r="K725" t="s">
        <v>1637</v>
      </c>
      <c r="L725" s="4">
        <v>58</v>
      </c>
      <c r="M725" s="4">
        <v>0</v>
      </c>
      <c r="N725">
        <v>58</v>
      </c>
      <c r="O725" t="s">
        <v>151</v>
      </c>
      <c r="P725">
        <v>15</v>
      </c>
      <c r="Q725">
        <f>QtyRemaining*EstMfgMin/60</f>
        <v>14.5</v>
      </c>
      <c r="U725" t="e">
        <f t="shared" si="24"/>
        <v>#REF!</v>
      </c>
      <c r="V725" s="5" t="e">
        <f t="shared" si="25"/>
        <v>#REF!</v>
      </c>
    </row>
    <row r="726" spans="1:22" x14ac:dyDescent="0.25">
      <c r="A726" s="2">
        <v>46055</v>
      </c>
      <c r="B726" s="2">
        <v>45971</v>
      </c>
      <c r="C726" t="s">
        <v>478</v>
      </c>
      <c r="D726">
        <v>6</v>
      </c>
      <c r="E726" t="s">
        <v>1638</v>
      </c>
      <c r="F726" t="s">
        <v>261</v>
      </c>
      <c r="G726" t="s">
        <v>1021</v>
      </c>
      <c r="H726" t="s">
        <v>1639</v>
      </c>
      <c r="I726" t="s">
        <v>83</v>
      </c>
      <c r="J726" s="3" t="s">
        <v>1640</v>
      </c>
      <c r="K726" t="s">
        <v>1641</v>
      </c>
      <c r="L726" s="4">
        <v>7</v>
      </c>
      <c r="M726" s="4">
        <v>0</v>
      </c>
      <c r="N726">
        <v>7</v>
      </c>
      <c r="O726" t="s">
        <v>544</v>
      </c>
      <c r="P726">
        <v>16</v>
      </c>
      <c r="Q726">
        <f>QtyRemaining*EstMfgMin/60</f>
        <v>1.8666666666666667</v>
      </c>
      <c r="U726" t="e">
        <f t="shared" si="24"/>
        <v>#REF!</v>
      </c>
      <c r="V726" s="5" t="e">
        <f t="shared" si="25"/>
        <v>#REF!</v>
      </c>
    </row>
    <row r="727" spans="1:22" x14ac:dyDescent="0.25">
      <c r="A727" s="2">
        <v>46055</v>
      </c>
      <c r="B727" s="2">
        <v>45972</v>
      </c>
      <c r="C727" t="s">
        <v>485</v>
      </c>
      <c r="D727">
        <v>6</v>
      </c>
      <c r="E727" t="s">
        <v>1078</v>
      </c>
      <c r="F727" t="s">
        <v>211</v>
      </c>
      <c r="G727" t="s">
        <v>761</v>
      </c>
      <c r="H727" t="s">
        <v>1079</v>
      </c>
      <c r="I727" t="s">
        <v>214</v>
      </c>
      <c r="J727" s="3" t="s">
        <v>1642</v>
      </c>
      <c r="K727" t="s">
        <v>1643</v>
      </c>
      <c r="L727" s="4">
        <v>50</v>
      </c>
      <c r="M727" s="4">
        <v>0</v>
      </c>
      <c r="N727">
        <v>50</v>
      </c>
      <c r="O727" t="s">
        <v>1082</v>
      </c>
      <c r="P727">
        <v>6</v>
      </c>
      <c r="Q727">
        <f>QtyRemaining*EstMfgMin/60</f>
        <v>5</v>
      </c>
      <c r="U727" t="e">
        <f t="shared" si="24"/>
        <v>#REF!</v>
      </c>
      <c r="V727" s="5" t="e">
        <f t="shared" si="25"/>
        <v>#REF!</v>
      </c>
    </row>
    <row r="728" spans="1:22" x14ac:dyDescent="0.25">
      <c r="A728" s="2">
        <v>46055</v>
      </c>
      <c r="B728" s="2">
        <v>46021</v>
      </c>
      <c r="C728" t="s">
        <v>485</v>
      </c>
      <c r="D728">
        <v>6</v>
      </c>
      <c r="E728" t="s">
        <v>1644</v>
      </c>
      <c r="F728" t="s">
        <v>211</v>
      </c>
      <c r="G728" t="s">
        <v>1645</v>
      </c>
      <c r="H728" t="s">
        <v>1646</v>
      </c>
      <c r="I728" t="s">
        <v>214</v>
      </c>
      <c r="J728" s="3" t="s">
        <v>1647</v>
      </c>
      <c r="K728" t="s">
        <v>1648</v>
      </c>
      <c r="L728" s="4">
        <v>100</v>
      </c>
      <c r="M728" s="4">
        <v>0</v>
      </c>
      <c r="N728">
        <v>100</v>
      </c>
      <c r="O728" t="s">
        <v>86</v>
      </c>
      <c r="P728">
        <v>11</v>
      </c>
      <c r="Q728">
        <f>QtyRemaining*EstMfgMin/60</f>
        <v>18.333333333333332</v>
      </c>
      <c r="U728" t="e">
        <f t="shared" si="24"/>
        <v>#REF!</v>
      </c>
      <c r="V728" s="5" t="e">
        <f t="shared" si="25"/>
        <v>#REF!</v>
      </c>
    </row>
    <row r="729" spans="1:22" x14ac:dyDescent="0.25">
      <c r="A729" s="2">
        <v>46055</v>
      </c>
      <c r="B729" s="2">
        <v>46030</v>
      </c>
      <c r="C729" t="s">
        <v>465</v>
      </c>
      <c r="D729">
        <v>6</v>
      </c>
      <c r="E729" t="s">
        <v>1649</v>
      </c>
      <c r="F729" t="s">
        <v>211</v>
      </c>
      <c r="G729" t="s">
        <v>467</v>
      </c>
      <c r="H729" t="s">
        <v>1650</v>
      </c>
      <c r="I729" t="s">
        <v>214</v>
      </c>
      <c r="J729" s="3" t="s">
        <v>1651</v>
      </c>
      <c r="K729" t="s">
        <v>1652</v>
      </c>
      <c r="L729" s="4">
        <v>3</v>
      </c>
      <c r="M729" s="4">
        <v>0</v>
      </c>
      <c r="N729">
        <v>3</v>
      </c>
      <c r="O729" t="s">
        <v>176</v>
      </c>
      <c r="P729">
        <v>27</v>
      </c>
      <c r="Q729">
        <f>QtyRemaining*EstMfgMin/60</f>
        <v>1.35</v>
      </c>
      <c r="U729" t="e">
        <f t="shared" si="24"/>
        <v>#REF!</v>
      </c>
      <c r="V729" s="5" t="e">
        <f t="shared" si="25"/>
        <v>#REF!</v>
      </c>
    </row>
    <row r="730" spans="1:22" x14ac:dyDescent="0.25">
      <c r="A730" s="2">
        <v>46055</v>
      </c>
      <c r="B730" s="2">
        <v>46030</v>
      </c>
      <c r="C730" t="s">
        <v>465</v>
      </c>
      <c r="D730">
        <v>6</v>
      </c>
      <c r="E730" t="s">
        <v>1649</v>
      </c>
      <c r="F730" t="s">
        <v>211</v>
      </c>
      <c r="G730" t="s">
        <v>467</v>
      </c>
      <c r="H730" t="s">
        <v>1650</v>
      </c>
      <c r="I730" t="s">
        <v>214</v>
      </c>
      <c r="J730" s="3" t="s">
        <v>1653</v>
      </c>
      <c r="K730" t="s">
        <v>1654</v>
      </c>
      <c r="L730" s="4">
        <v>3</v>
      </c>
      <c r="M730" s="4">
        <v>0</v>
      </c>
      <c r="N730">
        <v>3</v>
      </c>
      <c r="O730" t="s">
        <v>176</v>
      </c>
      <c r="P730">
        <v>27</v>
      </c>
      <c r="Q730">
        <f>QtyRemaining*EstMfgMin/60</f>
        <v>1.35</v>
      </c>
      <c r="U730" t="e">
        <f t="shared" si="24"/>
        <v>#REF!</v>
      </c>
      <c r="V730" s="5" t="e">
        <f t="shared" si="25"/>
        <v>#REF!</v>
      </c>
    </row>
    <row r="731" spans="1:22" x14ac:dyDescent="0.25">
      <c r="A731" s="2">
        <v>46055</v>
      </c>
      <c r="B731" s="2">
        <v>46030</v>
      </c>
      <c r="C731" t="s">
        <v>465</v>
      </c>
      <c r="D731">
        <v>6</v>
      </c>
      <c r="E731" t="s">
        <v>1649</v>
      </c>
      <c r="F731" t="s">
        <v>211</v>
      </c>
      <c r="G731" t="s">
        <v>467</v>
      </c>
      <c r="H731" t="s">
        <v>1650</v>
      </c>
      <c r="I731" t="s">
        <v>214</v>
      </c>
      <c r="J731" s="3" t="s">
        <v>1655</v>
      </c>
      <c r="K731" t="s">
        <v>1656</v>
      </c>
      <c r="L731" s="4">
        <v>3</v>
      </c>
      <c r="M731" s="4">
        <v>0</v>
      </c>
      <c r="N731">
        <v>3</v>
      </c>
      <c r="O731" t="s">
        <v>176</v>
      </c>
      <c r="P731">
        <v>32</v>
      </c>
      <c r="Q731">
        <f>QtyRemaining*EstMfgMin/60</f>
        <v>1.6</v>
      </c>
      <c r="U731" t="e">
        <f t="shared" si="24"/>
        <v>#REF!</v>
      </c>
      <c r="V731" s="5" t="e">
        <f t="shared" si="25"/>
        <v>#REF!</v>
      </c>
    </row>
    <row r="732" spans="1:22" x14ac:dyDescent="0.25">
      <c r="A732" s="2">
        <v>46055</v>
      </c>
      <c r="B732" s="2">
        <v>46030</v>
      </c>
      <c r="C732" t="s">
        <v>465</v>
      </c>
      <c r="D732">
        <v>6</v>
      </c>
      <c r="E732" t="s">
        <v>1649</v>
      </c>
      <c r="F732" t="s">
        <v>211</v>
      </c>
      <c r="G732" t="s">
        <v>467</v>
      </c>
      <c r="H732" t="s">
        <v>1650</v>
      </c>
      <c r="I732" t="s">
        <v>214</v>
      </c>
      <c r="J732" s="3" t="s">
        <v>1657</v>
      </c>
      <c r="K732" t="s">
        <v>1658</v>
      </c>
      <c r="L732" s="4">
        <v>3</v>
      </c>
      <c r="M732" s="4">
        <v>0</v>
      </c>
      <c r="N732">
        <v>3</v>
      </c>
      <c r="O732" t="s">
        <v>176</v>
      </c>
      <c r="P732">
        <v>32</v>
      </c>
      <c r="Q732">
        <f>QtyRemaining*EstMfgMin/60</f>
        <v>1.6</v>
      </c>
      <c r="U732" t="e">
        <f t="shared" si="24"/>
        <v>#REF!</v>
      </c>
      <c r="V732" s="5" t="e">
        <f t="shared" si="25"/>
        <v>#REF!</v>
      </c>
    </row>
    <row r="733" spans="1:22" x14ac:dyDescent="0.25">
      <c r="A733" s="2">
        <v>46055</v>
      </c>
      <c r="B733" s="2">
        <v>46030</v>
      </c>
      <c r="C733" t="s">
        <v>465</v>
      </c>
      <c r="D733">
        <v>6</v>
      </c>
      <c r="E733" t="s">
        <v>1649</v>
      </c>
      <c r="F733" t="s">
        <v>211</v>
      </c>
      <c r="G733" t="s">
        <v>467</v>
      </c>
      <c r="H733" t="s">
        <v>1650</v>
      </c>
      <c r="I733" t="s">
        <v>214</v>
      </c>
      <c r="J733" s="3" t="s">
        <v>1659</v>
      </c>
      <c r="K733" t="s">
        <v>1660</v>
      </c>
      <c r="L733" s="4">
        <v>3</v>
      </c>
      <c r="M733" s="4">
        <v>0</v>
      </c>
      <c r="N733">
        <v>3</v>
      </c>
      <c r="O733" t="s">
        <v>176</v>
      </c>
      <c r="P733">
        <v>27</v>
      </c>
      <c r="Q733">
        <f>QtyRemaining*EstMfgMin/60</f>
        <v>1.35</v>
      </c>
      <c r="U733" t="e">
        <f t="shared" si="24"/>
        <v>#REF!</v>
      </c>
      <c r="V733" s="5" t="e">
        <f t="shared" si="25"/>
        <v>#REF!</v>
      </c>
    </row>
    <row r="734" spans="1:22" x14ac:dyDescent="0.25">
      <c r="A734" s="2">
        <v>46055</v>
      </c>
      <c r="B734" s="2">
        <v>46030</v>
      </c>
      <c r="C734" t="s">
        <v>465</v>
      </c>
      <c r="D734">
        <v>6</v>
      </c>
      <c r="E734" t="s">
        <v>1649</v>
      </c>
      <c r="F734" t="s">
        <v>211</v>
      </c>
      <c r="G734" t="s">
        <v>467</v>
      </c>
      <c r="H734" t="s">
        <v>1650</v>
      </c>
      <c r="I734" t="s">
        <v>214</v>
      </c>
      <c r="J734" s="3" t="s">
        <v>1659</v>
      </c>
      <c r="K734" t="s">
        <v>1661</v>
      </c>
      <c r="L734" s="4">
        <v>3</v>
      </c>
      <c r="M734" s="4">
        <v>0</v>
      </c>
      <c r="N734">
        <v>3</v>
      </c>
      <c r="O734" t="s">
        <v>176</v>
      </c>
      <c r="P734">
        <v>32</v>
      </c>
      <c r="Q734">
        <f>QtyRemaining*EstMfgMin/60</f>
        <v>1.6</v>
      </c>
      <c r="U734" t="e">
        <f t="shared" si="24"/>
        <v>#REF!</v>
      </c>
      <c r="V734" s="5" t="e">
        <f t="shared" si="25"/>
        <v>#REF!</v>
      </c>
    </row>
    <row r="735" spans="1:22" x14ac:dyDescent="0.25">
      <c r="A735" s="2">
        <v>46055</v>
      </c>
      <c r="B735" s="2">
        <v>46030</v>
      </c>
      <c r="C735" t="s">
        <v>465</v>
      </c>
      <c r="D735">
        <v>6</v>
      </c>
      <c r="E735" t="s">
        <v>1649</v>
      </c>
      <c r="F735" t="s">
        <v>211</v>
      </c>
      <c r="G735" t="s">
        <v>467</v>
      </c>
      <c r="H735" t="s">
        <v>1650</v>
      </c>
      <c r="I735" t="s">
        <v>214</v>
      </c>
      <c r="J735" s="3" t="s">
        <v>1662</v>
      </c>
      <c r="K735" t="s">
        <v>1663</v>
      </c>
      <c r="L735" s="4">
        <v>3</v>
      </c>
      <c r="M735" s="4">
        <v>0</v>
      </c>
      <c r="N735">
        <v>3</v>
      </c>
      <c r="O735" t="s">
        <v>176</v>
      </c>
      <c r="P735">
        <v>11</v>
      </c>
      <c r="Q735">
        <f>QtyRemaining*EstMfgMin/60</f>
        <v>0.55000000000000004</v>
      </c>
      <c r="U735" t="e">
        <f t="shared" si="24"/>
        <v>#REF!</v>
      </c>
      <c r="V735" s="5" t="e">
        <f t="shared" si="25"/>
        <v>#REF!</v>
      </c>
    </row>
    <row r="736" spans="1:22" x14ac:dyDescent="0.25">
      <c r="A736" s="2">
        <v>46055</v>
      </c>
      <c r="B736" s="2">
        <v>46030</v>
      </c>
      <c r="C736" t="s">
        <v>465</v>
      </c>
      <c r="D736">
        <v>6</v>
      </c>
      <c r="E736" t="s">
        <v>1649</v>
      </c>
      <c r="F736" t="s">
        <v>211</v>
      </c>
      <c r="G736" t="s">
        <v>467</v>
      </c>
      <c r="H736" t="s">
        <v>1650</v>
      </c>
      <c r="I736" t="s">
        <v>214</v>
      </c>
      <c r="J736" s="3" t="s">
        <v>1664</v>
      </c>
      <c r="K736" t="s">
        <v>1665</v>
      </c>
      <c r="L736" s="4">
        <v>3</v>
      </c>
      <c r="M736" s="4">
        <v>0</v>
      </c>
      <c r="N736">
        <v>3</v>
      </c>
      <c r="O736" t="s">
        <v>176</v>
      </c>
      <c r="P736">
        <v>11</v>
      </c>
      <c r="Q736">
        <f>QtyRemaining*EstMfgMin/60</f>
        <v>0.55000000000000004</v>
      </c>
      <c r="U736" t="e">
        <f t="shared" si="24"/>
        <v>#REF!</v>
      </c>
      <c r="V736" s="5" t="e">
        <f t="shared" si="25"/>
        <v>#REF!</v>
      </c>
    </row>
    <row r="737" spans="1:22" x14ac:dyDescent="0.25">
      <c r="A737" s="2">
        <v>46055</v>
      </c>
      <c r="B737" s="2">
        <v>46030</v>
      </c>
      <c r="C737" t="s">
        <v>465</v>
      </c>
      <c r="D737">
        <v>6</v>
      </c>
      <c r="E737" t="s">
        <v>1649</v>
      </c>
      <c r="F737" t="s">
        <v>211</v>
      </c>
      <c r="G737" t="s">
        <v>467</v>
      </c>
      <c r="H737" t="s">
        <v>1650</v>
      </c>
      <c r="I737" t="s">
        <v>214</v>
      </c>
      <c r="J737" s="3" t="s">
        <v>1666</v>
      </c>
      <c r="K737" t="s">
        <v>1667</v>
      </c>
      <c r="L737" s="4">
        <v>3</v>
      </c>
      <c r="M737" s="4">
        <v>0</v>
      </c>
      <c r="N737">
        <v>3</v>
      </c>
      <c r="O737" t="s">
        <v>176</v>
      </c>
      <c r="P737">
        <v>11</v>
      </c>
      <c r="Q737">
        <f>QtyRemaining*EstMfgMin/60</f>
        <v>0.55000000000000004</v>
      </c>
      <c r="U737" t="e">
        <f t="shared" si="24"/>
        <v>#REF!</v>
      </c>
      <c r="V737" s="5" t="e">
        <f t="shared" si="25"/>
        <v>#REF!</v>
      </c>
    </row>
    <row r="738" spans="1:22" x14ac:dyDescent="0.25">
      <c r="A738" s="2">
        <v>46055</v>
      </c>
      <c r="B738" s="2">
        <v>46038</v>
      </c>
      <c r="C738" t="s">
        <v>1168</v>
      </c>
      <c r="D738">
        <v>6</v>
      </c>
      <c r="E738" t="s">
        <v>1668</v>
      </c>
      <c r="F738" t="s">
        <v>283</v>
      </c>
      <c r="G738" t="s">
        <v>1170</v>
      </c>
      <c r="H738" t="s">
        <v>1669</v>
      </c>
      <c r="I738" t="s">
        <v>1172</v>
      </c>
      <c r="J738" s="3" t="s">
        <v>1632</v>
      </c>
      <c r="K738" t="s">
        <v>1633</v>
      </c>
      <c r="L738" s="4">
        <v>100</v>
      </c>
      <c r="M738" s="4">
        <v>0</v>
      </c>
      <c r="N738">
        <v>100</v>
      </c>
      <c r="O738" t="s">
        <v>176</v>
      </c>
      <c r="P738">
        <v>5</v>
      </c>
      <c r="Q738">
        <f>QtyRemaining*EstMfgMin/60</f>
        <v>8.3333333333333339</v>
      </c>
      <c r="U738" t="e">
        <f t="shared" si="24"/>
        <v>#REF!</v>
      </c>
      <c r="V738" s="5" t="e">
        <f t="shared" si="25"/>
        <v>#REF!</v>
      </c>
    </row>
    <row r="739" spans="1:22" x14ac:dyDescent="0.25">
      <c r="A739" s="2">
        <v>46055</v>
      </c>
      <c r="B739" s="2">
        <v>46045</v>
      </c>
      <c r="C739" t="s">
        <v>465</v>
      </c>
      <c r="D739">
        <v>6</v>
      </c>
      <c r="E739" t="s">
        <v>1670</v>
      </c>
      <c r="F739" t="s">
        <v>211</v>
      </c>
      <c r="G739" t="s">
        <v>467</v>
      </c>
      <c r="H739" t="s">
        <v>1671</v>
      </c>
      <c r="I739" t="s">
        <v>214</v>
      </c>
      <c r="J739" s="3" t="s">
        <v>1672</v>
      </c>
      <c r="K739" t="s">
        <v>1673</v>
      </c>
      <c r="L739" s="4">
        <v>1</v>
      </c>
      <c r="M739" s="4">
        <v>0</v>
      </c>
      <c r="N739">
        <v>1</v>
      </c>
      <c r="O739" t="s">
        <v>176</v>
      </c>
      <c r="P739">
        <v>32</v>
      </c>
      <c r="Q739">
        <f>QtyRemaining*EstMfgMin/60</f>
        <v>0.53333333333333333</v>
      </c>
      <c r="U739" t="e">
        <f t="shared" si="24"/>
        <v>#REF!</v>
      </c>
      <c r="V739" s="5" t="e">
        <f t="shared" si="25"/>
        <v>#REF!</v>
      </c>
    </row>
    <row r="740" spans="1:22" x14ac:dyDescent="0.25">
      <c r="A740" s="2">
        <v>46056</v>
      </c>
      <c r="B740" s="2">
        <v>45784</v>
      </c>
      <c r="C740" t="s">
        <v>485</v>
      </c>
      <c r="D740">
        <v>6</v>
      </c>
      <c r="E740" t="s">
        <v>1674</v>
      </c>
      <c r="F740" t="s">
        <v>211</v>
      </c>
      <c r="G740" t="s">
        <v>535</v>
      </c>
      <c r="H740" t="s">
        <v>1675</v>
      </c>
      <c r="I740" t="s">
        <v>214</v>
      </c>
      <c r="J740" s="3" t="s">
        <v>1676</v>
      </c>
      <c r="K740" t="s">
        <v>1677</v>
      </c>
      <c r="L740" s="4">
        <v>30</v>
      </c>
      <c r="M740" s="4">
        <v>0</v>
      </c>
      <c r="N740">
        <v>30</v>
      </c>
      <c r="O740" t="s">
        <v>86</v>
      </c>
      <c r="P740">
        <v>6</v>
      </c>
      <c r="Q740">
        <f>QtyRemaining*EstMfgMin/60</f>
        <v>3</v>
      </c>
      <c r="U740" t="e">
        <f t="shared" si="24"/>
        <v>#REF!</v>
      </c>
      <c r="V740" s="5" t="e">
        <f t="shared" si="25"/>
        <v>#REF!</v>
      </c>
    </row>
    <row r="741" spans="1:22" x14ac:dyDescent="0.25">
      <c r="A741" s="2">
        <v>46056</v>
      </c>
      <c r="B741" s="2">
        <v>45792</v>
      </c>
      <c r="C741" t="s">
        <v>1191</v>
      </c>
      <c r="D741">
        <v>6</v>
      </c>
      <c r="E741" t="s">
        <v>1678</v>
      </c>
      <c r="F741" t="s">
        <v>211</v>
      </c>
      <c r="G741" t="s">
        <v>1679</v>
      </c>
      <c r="H741" t="s">
        <v>1680</v>
      </c>
      <c r="I741" t="s">
        <v>214</v>
      </c>
      <c r="J741" s="3" t="s">
        <v>1681</v>
      </c>
      <c r="K741" t="s">
        <v>1682</v>
      </c>
      <c r="L741" s="4">
        <v>100</v>
      </c>
      <c r="M741" s="4">
        <v>0</v>
      </c>
      <c r="N741">
        <v>100</v>
      </c>
      <c r="O741" t="s">
        <v>146</v>
      </c>
      <c r="P741">
        <v>5</v>
      </c>
      <c r="Q741">
        <f>QtyRemaining*EstMfgMin/60</f>
        <v>8.3333333333333339</v>
      </c>
      <c r="U741" t="e">
        <f t="shared" si="24"/>
        <v>#REF!</v>
      </c>
      <c r="V741" s="5" t="e">
        <f t="shared" si="25"/>
        <v>#REF!</v>
      </c>
    </row>
    <row r="742" spans="1:22" x14ac:dyDescent="0.25">
      <c r="A742" s="2">
        <v>46056</v>
      </c>
      <c r="B742" s="2">
        <v>45831</v>
      </c>
      <c r="C742" t="s">
        <v>920</v>
      </c>
      <c r="D742">
        <v>6</v>
      </c>
      <c r="E742" t="s">
        <v>1683</v>
      </c>
      <c r="F742" t="s">
        <v>261</v>
      </c>
      <c r="G742" t="s">
        <v>1684</v>
      </c>
      <c r="H742" t="s">
        <v>1685</v>
      </c>
      <c r="I742" t="s">
        <v>83</v>
      </c>
      <c r="J742" s="3" t="s">
        <v>1686</v>
      </c>
      <c r="K742" t="s">
        <v>1687</v>
      </c>
      <c r="L742" s="4">
        <v>25</v>
      </c>
      <c r="M742" s="4">
        <v>0</v>
      </c>
      <c r="N742">
        <v>25</v>
      </c>
      <c r="O742" t="s">
        <v>94</v>
      </c>
      <c r="P742">
        <v>14</v>
      </c>
      <c r="Q742">
        <f>QtyRemaining*EstMfgMin/60</f>
        <v>5.833333333333333</v>
      </c>
      <c r="U742" t="e">
        <f t="shared" si="24"/>
        <v>#REF!</v>
      </c>
      <c r="V742" s="5" t="e">
        <f t="shared" si="25"/>
        <v>#REF!</v>
      </c>
    </row>
    <row r="743" spans="1:22" x14ac:dyDescent="0.25">
      <c r="A743" s="2">
        <v>46056</v>
      </c>
      <c r="B743" s="2">
        <v>45831</v>
      </c>
      <c r="C743" t="s">
        <v>920</v>
      </c>
      <c r="D743">
        <v>6</v>
      </c>
      <c r="E743" t="s">
        <v>1683</v>
      </c>
      <c r="F743" t="s">
        <v>261</v>
      </c>
      <c r="G743" t="s">
        <v>1684</v>
      </c>
      <c r="H743" t="s">
        <v>1685</v>
      </c>
      <c r="I743" t="s">
        <v>83</v>
      </c>
      <c r="J743" s="3" t="s">
        <v>1688</v>
      </c>
      <c r="K743" t="s">
        <v>1689</v>
      </c>
      <c r="L743" s="4">
        <v>25</v>
      </c>
      <c r="M743" s="4">
        <v>0</v>
      </c>
      <c r="N743">
        <v>25</v>
      </c>
      <c r="O743" t="s">
        <v>86</v>
      </c>
      <c r="P743">
        <v>14</v>
      </c>
      <c r="Q743">
        <f>QtyRemaining*EstMfgMin/60</f>
        <v>5.833333333333333</v>
      </c>
      <c r="U743" t="e">
        <f t="shared" si="24"/>
        <v>#REF!</v>
      </c>
      <c r="V743" s="5" t="e">
        <f t="shared" si="25"/>
        <v>#REF!</v>
      </c>
    </row>
    <row r="744" spans="1:22" x14ac:dyDescent="0.25">
      <c r="A744" s="2">
        <v>46056</v>
      </c>
      <c r="B744" s="2">
        <v>45862</v>
      </c>
      <c r="C744" t="s">
        <v>633</v>
      </c>
      <c r="D744">
        <v>6</v>
      </c>
      <c r="E744" t="s">
        <v>1690</v>
      </c>
      <c r="F744" t="s">
        <v>261</v>
      </c>
      <c r="G744" t="s">
        <v>262</v>
      </c>
      <c r="H744" t="s">
        <v>1691</v>
      </c>
      <c r="I744" t="s">
        <v>155</v>
      </c>
      <c r="J744" s="3" t="s">
        <v>1486</v>
      </c>
      <c r="K744" t="s">
        <v>808</v>
      </c>
      <c r="L744" s="4">
        <v>3</v>
      </c>
      <c r="M744" s="4">
        <v>0</v>
      </c>
      <c r="N744">
        <v>3</v>
      </c>
      <c r="O744" t="s">
        <v>118</v>
      </c>
      <c r="P744">
        <v>120</v>
      </c>
      <c r="Q744">
        <f>QtyRemaining*EstMfgMin/60</f>
        <v>6</v>
      </c>
      <c r="R744" t="s">
        <v>1692</v>
      </c>
      <c r="U744" t="e">
        <f t="shared" si="24"/>
        <v>#REF!</v>
      </c>
      <c r="V744" s="5" t="e">
        <f t="shared" si="25"/>
        <v>#REF!</v>
      </c>
    </row>
    <row r="745" spans="1:22" x14ac:dyDescent="0.25">
      <c r="A745" s="2">
        <v>46056</v>
      </c>
      <c r="B745" s="2">
        <v>45882</v>
      </c>
      <c r="C745" t="s">
        <v>478</v>
      </c>
      <c r="D745">
        <v>6</v>
      </c>
      <c r="E745" t="s">
        <v>669</v>
      </c>
      <c r="F745" t="s">
        <v>261</v>
      </c>
      <c r="G745" t="s">
        <v>670</v>
      </c>
      <c r="H745" t="s">
        <v>671</v>
      </c>
      <c r="I745" t="s">
        <v>155</v>
      </c>
      <c r="J745" s="3" t="s">
        <v>1693</v>
      </c>
      <c r="K745" t="s">
        <v>1335</v>
      </c>
      <c r="L745" s="4">
        <v>52</v>
      </c>
      <c r="M745" s="4">
        <v>19</v>
      </c>
      <c r="N745">
        <v>33</v>
      </c>
      <c r="O745" t="s">
        <v>1694</v>
      </c>
      <c r="P745">
        <v>48</v>
      </c>
      <c r="Q745">
        <f>QtyRemaining*EstMfgMin/60</f>
        <v>26.4</v>
      </c>
      <c r="R745" t="s">
        <v>1695</v>
      </c>
      <c r="U745" t="e">
        <f t="shared" si="24"/>
        <v>#REF!</v>
      </c>
      <c r="V745" s="5" t="e">
        <f t="shared" si="25"/>
        <v>#REF!</v>
      </c>
    </row>
    <row r="746" spans="1:22" x14ac:dyDescent="0.25">
      <c r="A746" s="2">
        <v>46056</v>
      </c>
      <c r="B746" s="2">
        <v>45882</v>
      </c>
      <c r="C746" t="s">
        <v>478</v>
      </c>
      <c r="D746">
        <v>6</v>
      </c>
      <c r="E746" t="s">
        <v>669</v>
      </c>
      <c r="F746" t="s">
        <v>261</v>
      </c>
      <c r="G746" t="s">
        <v>670</v>
      </c>
      <c r="H746" t="s">
        <v>671</v>
      </c>
      <c r="I746" t="s">
        <v>155</v>
      </c>
      <c r="J746" s="3" t="s">
        <v>1693</v>
      </c>
      <c r="K746" t="s">
        <v>1335</v>
      </c>
      <c r="L746" s="4">
        <v>4</v>
      </c>
      <c r="M746" s="4">
        <v>0</v>
      </c>
      <c r="N746">
        <v>4</v>
      </c>
      <c r="O746" t="s">
        <v>1694</v>
      </c>
      <c r="P746">
        <v>48</v>
      </c>
      <c r="Q746">
        <f>QtyRemaining*EstMfgMin/60</f>
        <v>3.2</v>
      </c>
      <c r="R746" t="s">
        <v>1695</v>
      </c>
      <c r="U746" t="e">
        <f t="shared" si="24"/>
        <v>#REF!</v>
      </c>
      <c r="V746" s="5" t="e">
        <f t="shared" si="25"/>
        <v>#REF!</v>
      </c>
    </row>
    <row r="747" spans="1:22" x14ac:dyDescent="0.25">
      <c r="A747" s="2">
        <v>46056</v>
      </c>
      <c r="B747" s="2">
        <v>45904</v>
      </c>
      <c r="C747" t="s">
        <v>633</v>
      </c>
      <c r="D747">
        <v>6</v>
      </c>
      <c r="E747" t="s">
        <v>1696</v>
      </c>
      <c r="F747" t="s">
        <v>261</v>
      </c>
      <c r="G747" t="s">
        <v>262</v>
      </c>
      <c r="H747" t="s">
        <v>1697</v>
      </c>
      <c r="I747" t="s">
        <v>155</v>
      </c>
      <c r="J747" s="3" t="s">
        <v>1698</v>
      </c>
      <c r="K747" t="s">
        <v>117</v>
      </c>
      <c r="L747" s="4">
        <v>4</v>
      </c>
      <c r="M747" s="4">
        <v>0</v>
      </c>
      <c r="N747">
        <v>4</v>
      </c>
      <c r="O747" t="s">
        <v>690</v>
      </c>
      <c r="P747">
        <v>98</v>
      </c>
      <c r="Q747">
        <f>QtyRemaining*EstMfgMin/60</f>
        <v>6.5333333333333332</v>
      </c>
      <c r="R747" t="s">
        <v>967</v>
      </c>
      <c r="U747" t="e">
        <f t="shared" si="24"/>
        <v>#REF!</v>
      </c>
      <c r="V747" s="5" t="e">
        <f t="shared" si="25"/>
        <v>#REF!</v>
      </c>
    </row>
    <row r="748" spans="1:22" x14ac:dyDescent="0.25">
      <c r="A748" s="2">
        <v>46056</v>
      </c>
      <c r="B748" s="2">
        <v>45954</v>
      </c>
      <c r="C748" t="s">
        <v>478</v>
      </c>
      <c r="D748">
        <v>6</v>
      </c>
      <c r="E748" t="s">
        <v>1699</v>
      </c>
      <c r="F748" t="s">
        <v>261</v>
      </c>
      <c r="G748" t="s">
        <v>670</v>
      </c>
      <c r="H748" t="s">
        <v>1700</v>
      </c>
      <c r="I748" t="s">
        <v>83</v>
      </c>
      <c r="J748" s="3" t="s">
        <v>1701</v>
      </c>
      <c r="K748" t="s">
        <v>1108</v>
      </c>
      <c r="L748" s="4">
        <v>350</v>
      </c>
      <c r="M748" s="4">
        <v>0</v>
      </c>
      <c r="N748">
        <v>350</v>
      </c>
      <c r="O748" t="s">
        <v>118</v>
      </c>
      <c r="P748">
        <v>22</v>
      </c>
      <c r="Q748">
        <f>QtyRemaining*EstMfgMin/60</f>
        <v>128.33333333333334</v>
      </c>
      <c r="U748" t="e">
        <f t="shared" si="24"/>
        <v>#REF!</v>
      </c>
      <c r="V748" s="5" t="e">
        <f t="shared" si="25"/>
        <v>#REF!</v>
      </c>
    </row>
    <row r="749" spans="1:22" x14ac:dyDescent="0.25">
      <c r="A749" s="2">
        <v>46056</v>
      </c>
      <c r="B749" s="2">
        <v>45954</v>
      </c>
      <c r="C749" t="s">
        <v>478</v>
      </c>
      <c r="D749">
        <v>6</v>
      </c>
      <c r="E749" t="s">
        <v>1699</v>
      </c>
      <c r="F749" t="s">
        <v>261</v>
      </c>
      <c r="G749" t="s">
        <v>670</v>
      </c>
      <c r="H749" t="s">
        <v>1700</v>
      </c>
      <c r="I749" t="s">
        <v>83</v>
      </c>
      <c r="J749" s="3" t="s">
        <v>1702</v>
      </c>
      <c r="K749" t="s">
        <v>1108</v>
      </c>
      <c r="L749" s="4">
        <v>350</v>
      </c>
      <c r="M749" s="4">
        <v>0</v>
      </c>
      <c r="N749">
        <v>350</v>
      </c>
      <c r="O749" t="s">
        <v>118</v>
      </c>
      <c r="P749">
        <v>22</v>
      </c>
      <c r="Q749">
        <f>QtyRemaining*EstMfgMin/60</f>
        <v>128.33333333333334</v>
      </c>
      <c r="U749" t="e">
        <f t="shared" si="24"/>
        <v>#REF!</v>
      </c>
      <c r="V749" s="5" t="e">
        <f t="shared" si="25"/>
        <v>#REF!</v>
      </c>
    </row>
    <row r="750" spans="1:22" x14ac:dyDescent="0.25">
      <c r="A750" s="2">
        <v>46056</v>
      </c>
      <c r="B750" s="2">
        <v>46031</v>
      </c>
      <c r="C750" t="s">
        <v>1168</v>
      </c>
      <c r="D750">
        <v>6</v>
      </c>
      <c r="E750" t="s">
        <v>1703</v>
      </c>
      <c r="F750" t="s">
        <v>283</v>
      </c>
      <c r="G750" t="s">
        <v>1170</v>
      </c>
      <c r="H750" t="s">
        <v>1704</v>
      </c>
      <c r="I750" t="s">
        <v>224</v>
      </c>
      <c r="J750" s="3" t="s">
        <v>1705</v>
      </c>
      <c r="K750" t="s">
        <v>1706</v>
      </c>
      <c r="L750" s="4">
        <v>10</v>
      </c>
      <c r="M750" s="4">
        <v>0</v>
      </c>
      <c r="N750">
        <v>10</v>
      </c>
      <c r="O750" t="s">
        <v>86</v>
      </c>
      <c r="P750">
        <v>74</v>
      </c>
      <c r="Q750">
        <f>QtyRemaining*EstMfgMin/60</f>
        <v>12.333333333333334</v>
      </c>
      <c r="U750" t="e">
        <f t="shared" si="24"/>
        <v>#REF!</v>
      </c>
      <c r="V750" s="5" t="e">
        <f t="shared" si="25"/>
        <v>#REF!</v>
      </c>
    </row>
    <row r="751" spans="1:22" x14ac:dyDescent="0.25">
      <c r="A751" s="2">
        <v>46056</v>
      </c>
      <c r="B751" s="2">
        <v>46044</v>
      </c>
      <c r="C751" t="s">
        <v>1168</v>
      </c>
      <c r="D751">
        <v>6</v>
      </c>
      <c r="E751" t="s">
        <v>1707</v>
      </c>
      <c r="F751" t="s">
        <v>283</v>
      </c>
      <c r="G751" t="s">
        <v>1170</v>
      </c>
      <c r="H751" t="s">
        <v>1708</v>
      </c>
      <c r="I751" t="s">
        <v>1172</v>
      </c>
      <c r="J751" s="3" t="s">
        <v>1709</v>
      </c>
      <c r="K751" t="s">
        <v>1710</v>
      </c>
      <c r="L751" s="4">
        <v>200</v>
      </c>
      <c r="M751" s="4">
        <v>0</v>
      </c>
      <c r="N751">
        <v>200</v>
      </c>
      <c r="O751" t="s">
        <v>176</v>
      </c>
      <c r="P751">
        <v>4</v>
      </c>
      <c r="Q751">
        <f>QtyRemaining*EstMfgMin/60</f>
        <v>13.333333333333334</v>
      </c>
      <c r="U751" t="e">
        <f t="shared" si="24"/>
        <v>#REF!</v>
      </c>
      <c r="V751" s="5" t="e">
        <f t="shared" si="25"/>
        <v>#REF!</v>
      </c>
    </row>
    <row r="752" spans="1:22" x14ac:dyDescent="0.25">
      <c r="A752" s="2">
        <v>46057</v>
      </c>
      <c r="B752" s="2">
        <v>45915</v>
      </c>
      <c r="C752" t="s">
        <v>633</v>
      </c>
      <c r="D752">
        <v>6</v>
      </c>
      <c r="E752" t="s">
        <v>1711</v>
      </c>
      <c r="F752" t="s">
        <v>261</v>
      </c>
      <c r="G752" t="s">
        <v>262</v>
      </c>
      <c r="H752" t="s">
        <v>1712</v>
      </c>
      <c r="I752" t="s">
        <v>83</v>
      </c>
      <c r="J752" s="3" t="s">
        <v>1713</v>
      </c>
      <c r="K752" t="s">
        <v>1637</v>
      </c>
      <c r="L752" s="4">
        <v>69</v>
      </c>
      <c r="M752" s="4">
        <v>0</v>
      </c>
      <c r="N752">
        <v>69</v>
      </c>
      <c r="O752" t="s">
        <v>643</v>
      </c>
      <c r="P752">
        <v>40</v>
      </c>
      <c r="Q752">
        <f>QtyRemaining*EstMfgMin/60</f>
        <v>46</v>
      </c>
      <c r="U752" t="e">
        <f t="shared" si="24"/>
        <v>#REF!</v>
      </c>
      <c r="V752" s="5" t="e">
        <f t="shared" si="25"/>
        <v>#REF!</v>
      </c>
    </row>
    <row r="753" spans="1:22" x14ac:dyDescent="0.25">
      <c r="A753" s="2">
        <v>46057</v>
      </c>
      <c r="B753" s="2">
        <v>45958</v>
      </c>
      <c r="C753" t="s">
        <v>570</v>
      </c>
      <c r="D753">
        <v>6</v>
      </c>
      <c r="E753" t="s">
        <v>810</v>
      </c>
      <c r="F753" t="s">
        <v>261</v>
      </c>
      <c r="G753" t="s">
        <v>811</v>
      </c>
      <c r="H753" t="s">
        <v>812</v>
      </c>
      <c r="I753" t="s">
        <v>83</v>
      </c>
      <c r="J753" s="3" t="s">
        <v>1714</v>
      </c>
      <c r="K753" t="s">
        <v>1715</v>
      </c>
      <c r="L753" s="4">
        <v>11</v>
      </c>
      <c r="M753" s="4">
        <v>0</v>
      </c>
      <c r="N753">
        <v>11</v>
      </c>
      <c r="O753" t="s">
        <v>457</v>
      </c>
      <c r="P753">
        <v>10</v>
      </c>
      <c r="Q753">
        <f>QtyRemaining*EstMfgMin/60</f>
        <v>1.8333333333333333</v>
      </c>
      <c r="U753" t="e">
        <f t="shared" si="24"/>
        <v>#REF!</v>
      </c>
      <c r="V753" s="5" t="e">
        <f t="shared" si="25"/>
        <v>#REF!</v>
      </c>
    </row>
    <row r="754" spans="1:22" x14ac:dyDescent="0.25">
      <c r="A754" s="2">
        <v>46057</v>
      </c>
      <c r="B754" s="2">
        <v>45958</v>
      </c>
      <c r="C754" t="s">
        <v>570</v>
      </c>
      <c r="D754">
        <v>6</v>
      </c>
      <c r="E754" t="s">
        <v>810</v>
      </c>
      <c r="F754" t="s">
        <v>261</v>
      </c>
      <c r="G754" t="s">
        <v>811</v>
      </c>
      <c r="H754" t="s">
        <v>812</v>
      </c>
      <c r="I754" t="s">
        <v>83</v>
      </c>
      <c r="J754" s="3" t="s">
        <v>1716</v>
      </c>
      <c r="K754" t="s">
        <v>1717</v>
      </c>
      <c r="L754" s="4">
        <v>181</v>
      </c>
      <c r="M754" s="4">
        <v>0</v>
      </c>
      <c r="N754">
        <v>181</v>
      </c>
      <c r="O754" t="s">
        <v>176</v>
      </c>
      <c r="P754">
        <v>45</v>
      </c>
      <c r="Q754">
        <f>QtyRemaining*EstMfgMin/60</f>
        <v>135.75</v>
      </c>
      <c r="U754" t="e">
        <f t="shared" si="24"/>
        <v>#REF!</v>
      </c>
      <c r="V754" s="5" t="e">
        <f t="shared" si="25"/>
        <v>#REF!</v>
      </c>
    </row>
    <row r="755" spans="1:22" x14ac:dyDescent="0.25">
      <c r="A755" s="2">
        <v>46057</v>
      </c>
      <c r="B755" s="2">
        <v>45958</v>
      </c>
      <c r="C755" t="s">
        <v>570</v>
      </c>
      <c r="D755">
        <v>6</v>
      </c>
      <c r="E755" t="s">
        <v>810</v>
      </c>
      <c r="F755" t="s">
        <v>261</v>
      </c>
      <c r="G755" t="s">
        <v>811</v>
      </c>
      <c r="H755" t="s">
        <v>812</v>
      </c>
      <c r="I755" t="s">
        <v>83</v>
      </c>
      <c r="J755" s="3" t="s">
        <v>1718</v>
      </c>
      <c r="K755" t="s">
        <v>1719</v>
      </c>
      <c r="L755" s="4">
        <v>65</v>
      </c>
      <c r="M755" s="4">
        <v>0</v>
      </c>
      <c r="N755">
        <v>65</v>
      </c>
      <c r="O755" t="s">
        <v>176</v>
      </c>
      <c r="P755">
        <v>15</v>
      </c>
      <c r="Q755">
        <f>QtyRemaining*EstMfgMin/60</f>
        <v>16.25</v>
      </c>
      <c r="U755" t="e">
        <f t="shared" si="24"/>
        <v>#REF!</v>
      </c>
      <c r="V755" s="5" t="e">
        <f t="shared" si="25"/>
        <v>#REF!</v>
      </c>
    </row>
    <row r="756" spans="1:22" x14ac:dyDescent="0.25">
      <c r="A756" s="2">
        <v>46057</v>
      </c>
      <c r="B756" s="2">
        <v>45961</v>
      </c>
      <c r="C756" t="s">
        <v>485</v>
      </c>
      <c r="D756">
        <v>6</v>
      </c>
      <c r="E756" t="s">
        <v>1720</v>
      </c>
      <c r="F756" t="s">
        <v>211</v>
      </c>
      <c r="G756" t="s">
        <v>1217</v>
      </c>
      <c r="H756" t="s">
        <v>1721</v>
      </c>
      <c r="I756" t="s">
        <v>214</v>
      </c>
      <c r="J756" s="3" t="s">
        <v>1722</v>
      </c>
      <c r="K756" t="s">
        <v>1723</v>
      </c>
      <c r="L756" s="4">
        <v>600</v>
      </c>
      <c r="M756" s="4">
        <v>0</v>
      </c>
      <c r="N756">
        <v>600</v>
      </c>
      <c r="O756" t="s">
        <v>1236</v>
      </c>
      <c r="P756">
        <v>9</v>
      </c>
      <c r="Q756">
        <f>QtyRemaining*EstMfgMin/60</f>
        <v>90</v>
      </c>
      <c r="U756" t="e">
        <f t="shared" si="24"/>
        <v>#REF!</v>
      </c>
      <c r="V756" s="5" t="e">
        <f t="shared" si="25"/>
        <v>#REF!</v>
      </c>
    </row>
    <row r="757" spans="1:22" x14ac:dyDescent="0.25">
      <c r="A757" s="2">
        <v>46057</v>
      </c>
      <c r="B757" s="2">
        <v>46009</v>
      </c>
      <c r="C757" t="s">
        <v>465</v>
      </c>
      <c r="D757">
        <v>6</v>
      </c>
      <c r="E757" t="s">
        <v>1724</v>
      </c>
      <c r="F757" t="s">
        <v>211</v>
      </c>
      <c r="G757" t="s">
        <v>467</v>
      </c>
      <c r="H757" t="s">
        <v>1725</v>
      </c>
      <c r="I757" t="s">
        <v>214</v>
      </c>
      <c r="J757" s="3" t="s">
        <v>1726</v>
      </c>
      <c r="K757" t="s">
        <v>1727</v>
      </c>
      <c r="L757" s="4">
        <v>1</v>
      </c>
      <c r="M757" s="4">
        <v>0</v>
      </c>
      <c r="N757">
        <v>1</v>
      </c>
      <c r="O757" t="s">
        <v>176</v>
      </c>
      <c r="P757">
        <v>24</v>
      </c>
      <c r="Q757">
        <f>QtyRemaining*EstMfgMin/60</f>
        <v>0.4</v>
      </c>
      <c r="U757" t="e">
        <f t="shared" si="24"/>
        <v>#REF!</v>
      </c>
      <c r="V757" s="5" t="e">
        <f t="shared" si="25"/>
        <v>#REF!</v>
      </c>
    </row>
    <row r="758" spans="1:22" x14ac:dyDescent="0.25">
      <c r="A758" s="2">
        <v>46057</v>
      </c>
      <c r="B758" s="2">
        <v>46009</v>
      </c>
      <c r="C758" t="s">
        <v>465</v>
      </c>
      <c r="D758">
        <v>6</v>
      </c>
      <c r="E758" t="s">
        <v>1724</v>
      </c>
      <c r="F758" t="s">
        <v>211</v>
      </c>
      <c r="G758" t="s">
        <v>467</v>
      </c>
      <c r="H758" t="s">
        <v>1725</v>
      </c>
      <c r="I758" t="s">
        <v>214</v>
      </c>
      <c r="J758" s="3" t="s">
        <v>1728</v>
      </c>
      <c r="K758" t="s">
        <v>1729</v>
      </c>
      <c r="L758" s="4">
        <v>1</v>
      </c>
      <c r="M758" s="4">
        <v>0</v>
      </c>
      <c r="N758">
        <v>1</v>
      </c>
      <c r="O758" t="s">
        <v>86</v>
      </c>
      <c r="P758">
        <v>108</v>
      </c>
      <c r="Q758">
        <f>QtyRemaining*EstMfgMin/60</f>
        <v>1.8</v>
      </c>
      <c r="U758" t="e">
        <f t="shared" si="24"/>
        <v>#REF!</v>
      </c>
      <c r="V758" s="5" t="e">
        <f t="shared" si="25"/>
        <v>#REF!</v>
      </c>
    </row>
    <row r="759" spans="1:22" x14ac:dyDescent="0.25">
      <c r="A759" s="2">
        <v>46057</v>
      </c>
      <c r="B759" s="2">
        <v>46034</v>
      </c>
      <c r="C759" t="s">
        <v>221</v>
      </c>
      <c r="D759">
        <v>6</v>
      </c>
      <c r="E759" t="s">
        <v>1730</v>
      </c>
      <c r="F759" t="s">
        <v>211</v>
      </c>
      <c r="G759" t="s">
        <v>1731</v>
      </c>
      <c r="H759" t="s">
        <v>1732</v>
      </c>
      <c r="I759" t="s">
        <v>256</v>
      </c>
      <c r="J759" s="3" t="s">
        <v>1733</v>
      </c>
      <c r="K759" t="s">
        <v>1734</v>
      </c>
      <c r="L759" s="4">
        <v>150</v>
      </c>
      <c r="M759" s="4">
        <v>0</v>
      </c>
      <c r="N759">
        <v>150</v>
      </c>
      <c r="O759" t="s">
        <v>146</v>
      </c>
      <c r="P759">
        <v>4</v>
      </c>
      <c r="Q759">
        <f>QtyRemaining*EstMfgMin/60</f>
        <v>10</v>
      </c>
      <c r="U759" t="e">
        <f t="shared" si="24"/>
        <v>#REF!</v>
      </c>
      <c r="V759" s="5" t="e">
        <f t="shared" si="25"/>
        <v>#REF!</v>
      </c>
    </row>
    <row r="760" spans="1:22" x14ac:dyDescent="0.25">
      <c r="A760" s="2">
        <v>46057</v>
      </c>
      <c r="B760" s="2">
        <v>46036</v>
      </c>
      <c r="C760" t="s">
        <v>465</v>
      </c>
      <c r="D760">
        <v>6</v>
      </c>
      <c r="E760" t="s">
        <v>1506</v>
      </c>
      <c r="F760" t="s">
        <v>211</v>
      </c>
      <c r="G760" t="s">
        <v>467</v>
      </c>
      <c r="H760" t="s">
        <v>1507</v>
      </c>
      <c r="I760" t="s">
        <v>214</v>
      </c>
      <c r="J760" s="3" t="s">
        <v>1735</v>
      </c>
      <c r="K760" t="s">
        <v>1736</v>
      </c>
      <c r="L760" s="4">
        <v>3</v>
      </c>
      <c r="M760" s="4">
        <v>0</v>
      </c>
      <c r="N760">
        <v>3</v>
      </c>
      <c r="O760" t="s">
        <v>176</v>
      </c>
      <c r="P760">
        <v>32</v>
      </c>
      <c r="Q760">
        <f>QtyRemaining*EstMfgMin/60</f>
        <v>1.6</v>
      </c>
      <c r="U760" t="e">
        <f t="shared" si="24"/>
        <v>#REF!</v>
      </c>
      <c r="V760" s="5" t="e">
        <f t="shared" si="25"/>
        <v>#REF!</v>
      </c>
    </row>
    <row r="761" spans="1:22" x14ac:dyDescent="0.25">
      <c r="A761" s="2">
        <v>46057</v>
      </c>
      <c r="B761" s="2">
        <v>46036</v>
      </c>
      <c r="C761" t="s">
        <v>465</v>
      </c>
      <c r="D761">
        <v>6</v>
      </c>
      <c r="E761" t="s">
        <v>1506</v>
      </c>
      <c r="F761" t="s">
        <v>211</v>
      </c>
      <c r="G761" t="s">
        <v>467</v>
      </c>
      <c r="H761" t="s">
        <v>1507</v>
      </c>
      <c r="I761" t="s">
        <v>214</v>
      </c>
      <c r="J761" s="3" t="s">
        <v>1737</v>
      </c>
      <c r="K761" t="s">
        <v>1738</v>
      </c>
      <c r="L761" s="4">
        <v>3</v>
      </c>
      <c r="M761" s="4">
        <v>0</v>
      </c>
      <c r="N761">
        <v>3</v>
      </c>
      <c r="O761" t="s">
        <v>176</v>
      </c>
      <c r="P761">
        <v>32</v>
      </c>
      <c r="Q761">
        <f>QtyRemaining*EstMfgMin/60</f>
        <v>1.6</v>
      </c>
      <c r="U761" t="e">
        <f t="shared" si="24"/>
        <v>#REF!</v>
      </c>
      <c r="V761" s="5" t="e">
        <f t="shared" si="25"/>
        <v>#REF!</v>
      </c>
    </row>
    <row r="762" spans="1:22" x14ac:dyDescent="0.25">
      <c r="A762" s="2">
        <v>46057</v>
      </c>
      <c r="B762" s="2">
        <v>46044</v>
      </c>
      <c r="C762" t="s">
        <v>1168</v>
      </c>
      <c r="D762">
        <v>6</v>
      </c>
      <c r="E762" t="s">
        <v>1739</v>
      </c>
      <c r="F762" t="s">
        <v>283</v>
      </c>
      <c r="G762" t="s">
        <v>1170</v>
      </c>
      <c r="H762" t="s">
        <v>1740</v>
      </c>
      <c r="I762" t="s">
        <v>1172</v>
      </c>
      <c r="J762" s="3" t="s">
        <v>1741</v>
      </c>
      <c r="K762" t="s">
        <v>1633</v>
      </c>
      <c r="L762" s="4">
        <v>200</v>
      </c>
      <c r="M762" s="4">
        <v>0</v>
      </c>
      <c r="N762">
        <v>200</v>
      </c>
      <c r="O762" t="s">
        <v>176</v>
      </c>
      <c r="P762">
        <v>5</v>
      </c>
      <c r="Q762">
        <f>QtyRemaining*EstMfgMin/60</f>
        <v>16.666666666666668</v>
      </c>
      <c r="U762" t="e">
        <f t="shared" si="24"/>
        <v>#REF!</v>
      </c>
      <c r="V762" s="5" t="e">
        <f t="shared" si="25"/>
        <v>#REF!</v>
      </c>
    </row>
    <row r="763" spans="1:22" x14ac:dyDescent="0.25">
      <c r="A763" s="2">
        <v>46057</v>
      </c>
      <c r="B763" s="2">
        <v>46050</v>
      </c>
      <c r="C763" t="s">
        <v>485</v>
      </c>
      <c r="D763">
        <v>6</v>
      </c>
      <c r="E763" t="s">
        <v>1742</v>
      </c>
      <c r="F763" t="s">
        <v>211</v>
      </c>
      <c r="G763" t="s">
        <v>1743</v>
      </c>
      <c r="H763" t="s">
        <v>1744</v>
      </c>
      <c r="I763" t="s">
        <v>214</v>
      </c>
      <c r="J763" s="3" t="s">
        <v>1745</v>
      </c>
      <c r="K763" t="s">
        <v>1746</v>
      </c>
      <c r="L763" s="4">
        <v>12</v>
      </c>
      <c r="M763" s="4">
        <v>0</v>
      </c>
      <c r="N763">
        <v>12</v>
      </c>
      <c r="P763">
        <v>15</v>
      </c>
      <c r="Q763">
        <f>QtyRemaining*EstMfgMin/60</f>
        <v>3</v>
      </c>
      <c r="U763" t="e">
        <f t="shared" si="24"/>
        <v>#REF!</v>
      </c>
      <c r="V763" s="5" t="e">
        <f t="shared" si="25"/>
        <v>#REF!</v>
      </c>
    </row>
    <row r="764" spans="1:22" x14ac:dyDescent="0.25">
      <c r="A764" s="2">
        <v>46057</v>
      </c>
      <c r="B764" s="2">
        <v>46050</v>
      </c>
      <c r="C764" t="s">
        <v>485</v>
      </c>
      <c r="D764">
        <v>6</v>
      </c>
      <c r="E764" t="s">
        <v>1742</v>
      </c>
      <c r="F764" t="s">
        <v>211</v>
      </c>
      <c r="G764" t="s">
        <v>1743</v>
      </c>
      <c r="H764" t="s">
        <v>1744</v>
      </c>
      <c r="I764" t="s">
        <v>214</v>
      </c>
      <c r="J764" s="3" t="s">
        <v>1747</v>
      </c>
      <c r="K764" t="s">
        <v>1748</v>
      </c>
      <c r="L764" s="4">
        <v>12</v>
      </c>
      <c r="M764" s="4">
        <v>0</v>
      </c>
      <c r="N764">
        <v>12</v>
      </c>
      <c r="P764">
        <v>6</v>
      </c>
      <c r="Q764">
        <f>QtyRemaining*EstMfgMin/60</f>
        <v>1.2</v>
      </c>
      <c r="U764" t="e">
        <f t="shared" si="24"/>
        <v>#REF!</v>
      </c>
      <c r="V764" s="5" t="e">
        <f t="shared" si="25"/>
        <v>#REF!</v>
      </c>
    </row>
    <row r="765" spans="1:22" x14ac:dyDescent="0.25">
      <c r="A765" s="2">
        <v>46057</v>
      </c>
      <c r="B765" s="2">
        <v>46050</v>
      </c>
      <c r="C765" t="s">
        <v>485</v>
      </c>
      <c r="D765">
        <v>6</v>
      </c>
      <c r="E765" t="s">
        <v>1742</v>
      </c>
      <c r="F765" t="s">
        <v>211</v>
      </c>
      <c r="G765" t="s">
        <v>1743</v>
      </c>
      <c r="H765" t="s">
        <v>1744</v>
      </c>
      <c r="I765" t="s">
        <v>214</v>
      </c>
      <c r="J765" s="3" t="s">
        <v>1749</v>
      </c>
      <c r="K765" t="s">
        <v>1750</v>
      </c>
      <c r="L765" s="4">
        <v>12</v>
      </c>
      <c r="M765" s="4">
        <v>0</v>
      </c>
      <c r="N765">
        <v>12</v>
      </c>
      <c r="P765">
        <v>10</v>
      </c>
      <c r="Q765">
        <f>QtyRemaining*EstMfgMin/60</f>
        <v>2</v>
      </c>
      <c r="U765" t="e">
        <f t="shared" si="24"/>
        <v>#REF!</v>
      </c>
      <c r="V765" s="5" t="e">
        <f t="shared" si="25"/>
        <v>#REF!</v>
      </c>
    </row>
    <row r="766" spans="1:22" x14ac:dyDescent="0.25">
      <c r="A766" s="2">
        <v>46057</v>
      </c>
      <c r="B766" s="2">
        <v>46050</v>
      </c>
      <c r="C766" t="s">
        <v>485</v>
      </c>
      <c r="D766">
        <v>6</v>
      </c>
      <c r="E766" t="s">
        <v>1742</v>
      </c>
      <c r="F766" t="s">
        <v>211</v>
      </c>
      <c r="G766" t="s">
        <v>1743</v>
      </c>
      <c r="H766" t="s">
        <v>1744</v>
      </c>
      <c r="I766" t="s">
        <v>214</v>
      </c>
      <c r="J766" s="3" t="s">
        <v>1751</v>
      </c>
      <c r="K766" t="s">
        <v>1752</v>
      </c>
      <c r="L766" s="4">
        <v>12</v>
      </c>
      <c r="M766" s="4">
        <v>0</v>
      </c>
      <c r="N766">
        <v>12</v>
      </c>
      <c r="P766">
        <v>6</v>
      </c>
      <c r="Q766">
        <f>QtyRemaining*EstMfgMin/60</f>
        <v>1.2</v>
      </c>
      <c r="U766" t="e">
        <f t="shared" si="24"/>
        <v>#REF!</v>
      </c>
      <c r="V766" s="5" t="e">
        <f t="shared" si="25"/>
        <v>#REF!</v>
      </c>
    </row>
    <row r="767" spans="1:22" x14ac:dyDescent="0.25">
      <c r="A767" s="2">
        <v>46057</v>
      </c>
      <c r="B767" s="2">
        <v>46050</v>
      </c>
      <c r="C767" t="s">
        <v>485</v>
      </c>
      <c r="D767">
        <v>6</v>
      </c>
      <c r="E767" t="s">
        <v>1742</v>
      </c>
      <c r="F767" t="s">
        <v>211</v>
      </c>
      <c r="G767" t="s">
        <v>1743</v>
      </c>
      <c r="H767" t="s">
        <v>1744</v>
      </c>
      <c r="I767" t="s">
        <v>214</v>
      </c>
      <c r="J767" s="3" t="s">
        <v>1753</v>
      </c>
      <c r="K767" t="s">
        <v>1754</v>
      </c>
      <c r="L767" s="4">
        <v>24</v>
      </c>
      <c r="M767" s="4">
        <v>0</v>
      </c>
      <c r="N767">
        <v>24</v>
      </c>
      <c r="P767">
        <v>15</v>
      </c>
      <c r="Q767">
        <f>QtyRemaining*EstMfgMin/60</f>
        <v>6</v>
      </c>
      <c r="U767" t="e">
        <f t="shared" si="24"/>
        <v>#REF!</v>
      </c>
      <c r="V767" s="5" t="e">
        <f t="shared" si="25"/>
        <v>#REF!</v>
      </c>
    </row>
    <row r="768" spans="1:22" x14ac:dyDescent="0.25">
      <c r="A768" s="2">
        <v>46057</v>
      </c>
      <c r="B768" s="2">
        <v>46050</v>
      </c>
      <c r="C768" t="s">
        <v>485</v>
      </c>
      <c r="D768">
        <v>6</v>
      </c>
      <c r="E768" t="s">
        <v>1742</v>
      </c>
      <c r="F768" t="s">
        <v>211</v>
      </c>
      <c r="G768" t="s">
        <v>1743</v>
      </c>
      <c r="H768" t="s">
        <v>1744</v>
      </c>
      <c r="I768" t="s">
        <v>214</v>
      </c>
      <c r="J768" s="3" t="s">
        <v>1755</v>
      </c>
      <c r="K768" t="s">
        <v>1754</v>
      </c>
      <c r="L768" s="4">
        <v>48</v>
      </c>
      <c r="M768" s="4">
        <v>0</v>
      </c>
      <c r="N768">
        <v>48</v>
      </c>
      <c r="P768">
        <v>22</v>
      </c>
      <c r="Q768">
        <f>QtyRemaining*EstMfgMin/60</f>
        <v>17.600000000000001</v>
      </c>
      <c r="U768" t="e">
        <f t="shared" si="24"/>
        <v>#REF!</v>
      </c>
      <c r="V768" s="5" t="e">
        <f t="shared" si="25"/>
        <v>#REF!</v>
      </c>
    </row>
    <row r="769" spans="1:22" x14ac:dyDescent="0.25">
      <c r="A769" s="2">
        <v>46057</v>
      </c>
      <c r="B769" s="2">
        <v>46050</v>
      </c>
      <c r="C769" t="s">
        <v>485</v>
      </c>
      <c r="D769">
        <v>6</v>
      </c>
      <c r="E769" t="s">
        <v>1742</v>
      </c>
      <c r="F769" t="s">
        <v>211</v>
      </c>
      <c r="G769" t="s">
        <v>1743</v>
      </c>
      <c r="H769" t="s">
        <v>1744</v>
      </c>
      <c r="I769" t="s">
        <v>214</v>
      </c>
      <c r="J769" s="3" t="s">
        <v>1756</v>
      </c>
      <c r="K769" t="s">
        <v>1757</v>
      </c>
      <c r="L769" s="4">
        <v>12</v>
      </c>
      <c r="M769" s="4">
        <v>0</v>
      </c>
      <c r="N769">
        <v>12</v>
      </c>
      <c r="P769">
        <v>16</v>
      </c>
      <c r="Q769">
        <f>QtyRemaining*EstMfgMin/60</f>
        <v>3.2</v>
      </c>
      <c r="U769" t="e">
        <f t="shared" si="24"/>
        <v>#REF!</v>
      </c>
      <c r="V769" s="5" t="e">
        <f t="shared" si="25"/>
        <v>#REF!</v>
      </c>
    </row>
    <row r="770" spans="1:22" x14ac:dyDescent="0.25">
      <c r="A770" s="2">
        <v>46057</v>
      </c>
      <c r="B770" s="2">
        <v>46050</v>
      </c>
      <c r="C770" t="s">
        <v>485</v>
      </c>
      <c r="D770">
        <v>6</v>
      </c>
      <c r="E770" t="s">
        <v>1742</v>
      </c>
      <c r="F770" t="s">
        <v>211</v>
      </c>
      <c r="G770" t="s">
        <v>1743</v>
      </c>
      <c r="H770" t="s">
        <v>1744</v>
      </c>
      <c r="I770" t="s">
        <v>214</v>
      </c>
      <c r="J770" s="3" t="s">
        <v>1758</v>
      </c>
      <c r="K770" t="s">
        <v>1759</v>
      </c>
      <c r="L770" s="4">
        <v>12</v>
      </c>
      <c r="M770" s="4">
        <v>0</v>
      </c>
      <c r="N770">
        <v>12</v>
      </c>
      <c r="P770">
        <v>28</v>
      </c>
      <c r="Q770">
        <f>QtyRemaining*EstMfgMin/60</f>
        <v>5.6</v>
      </c>
      <c r="U770" t="e">
        <f t="shared" si="24"/>
        <v>#REF!</v>
      </c>
      <c r="V770" s="5" t="e">
        <f t="shared" si="25"/>
        <v>#REF!</v>
      </c>
    </row>
    <row r="771" spans="1:22" x14ac:dyDescent="0.25">
      <c r="A771" s="2">
        <v>46057</v>
      </c>
      <c r="B771" s="2">
        <v>46050</v>
      </c>
      <c r="C771" t="s">
        <v>485</v>
      </c>
      <c r="D771">
        <v>6</v>
      </c>
      <c r="E771" t="s">
        <v>1742</v>
      </c>
      <c r="F771" t="s">
        <v>211</v>
      </c>
      <c r="G771" t="s">
        <v>1743</v>
      </c>
      <c r="H771" t="s">
        <v>1744</v>
      </c>
      <c r="I771" t="s">
        <v>214</v>
      </c>
      <c r="J771" s="3" t="s">
        <v>1760</v>
      </c>
      <c r="K771" t="s">
        <v>1761</v>
      </c>
      <c r="L771" s="4">
        <v>12</v>
      </c>
      <c r="M771" s="4">
        <v>0</v>
      </c>
      <c r="N771">
        <v>12</v>
      </c>
      <c r="P771">
        <v>13</v>
      </c>
      <c r="Q771">
        <f>QtyRemaining*EstMfgMin/60</f>
        <v>2.6</v>
      </c>
      <c r="U771" t="e">
        <f t="shared" ref="U771:U834" si="26">VLOOKUP(A771,Calendar,13,FALSE)</f>
        <v>#REF!</v>
      </c>
      <c r="V771" s="5" t="e">
        <f t="shared" ref="V771:V834" si="27">VLOOKUP(A771,Calendar,14,FALSE)</f>
        <v>#REF!</v>
      </c>
    </row>
    <row r="772" spans="1:22" x14ac:dyDescent="0.25">
      <c r="A772" s="2">
        <v>46057</v>
      </c>
      <c r="B772" s="2">
        <v>46050</v>
      </c>
      <c r="C772" t="s">
        <v>485</v>
      </c>
      <c r="D772">
        <v>6</v>
      </c>
      <c r="E772" t="s">
        <v>1742</v>
      </c>
      <c r="F772" t="s">
        <v>211</v>
      </c>
      <c r="G772" t="s">
        <v>1743</v>
      </c>
      <c r="H772" t="s">
        <v>1744</v>
      </c>
      <c r="I772" t="s">
        <v>214</v>
      </c>
      <c r="J772" s="3" t="s">
        <v>1762</v>
      </c>
      <c r="K772" t="s">
        <v>1763</v>
      </c>
      <c r="L772" s="4">
        <v>12</v>
      </c>
      <c r="M772" s="4">
        <v>0</v>
      </c>
      <c r="N772">
        <v>12</v>
      </c>
      <c r="P772">
        <v>49</v>
      </c>
      <c r="Q772">
        <f>QtyRemaining*EstMfgMin/60</f>
        <v>9.8000000000000007</v>
      </c>
      <c r="U772" t="e">
        <f t="shared" si="26"/>
        <v>#REF!</v>
      </c>
      <c r="V772" s="5" t="e">
        <f t="shared" si="27"/>
        <v>#REF!</v>
      </c>
    </row>
    <row r="773" spans="1:22" x14ac:dyDescent="0.25">
      <c r="A773" s="2">
        <v>46057</v>
      </c>
      <c r="B773" s="2">
        <v>46050</v>
      </c>
      <c r="C773" t="s">
        <v>485</v>
      </c>
      <c r="D773">
        <v>6</v>
      </c>
      <c r="E773" t="s">
        <v>1742</v>
      </c>
      <c r="F773" t="s">
        <v>211</v>
      </c>
      <c r="G773" t="s">
        <v>1743</v>
      </c>
      <c r="H773" t="s">
        <v>1744</v>
      </c>
      <c r="I773" t="s">
        <v>214</v>
      </c>
      <c r="J773" s="3" t="s">
        <v>1764</v>
      </c>
      <c r="K773" t="s">
        <v>1765</v>
      </c>
      <c r="L773" s="4">
        <v>12</v>
      </c>
      <c r="M773" s="4">
        <v>0</v>
      </c>
      <c r="N773">
        <v>12</v>
      </c>
      <c r="P773">
        <v>9</v>
      </c>
      <c r="Q773">
        <f>QtyRemaining*EstMfgMin/60</f>
        <v>1.8</v>
      </c>
      <c r="U773" t="e">
        <f t="shared" si="26"/>
        <v>#REF!</v>
      </c>
      <c r="V773" s="5" t="e">
        <f t="shared" si="27"/>
        <v>#REF!</v>
      </c>
    </row>
    <row r="774" spans="1:22" x14ac:dyDescent="0.25">
      <c r="A774" s="2">
        <v>46057</v>
      </c>
      <c r="B774" s="2">
        <v>46050</v>
      </c>
      <c r="C774" t="s">
        <v>485</v>
      </c>
      <c r="D774">
        <v>6</v>
      </c>
      <c r="E774" t="s">
        <v>1742</v>
      </c>
      <c r="F774" t="s">
        <v>211</v>
      </c>
      <c r="G774" t="s">
        <v>1743</v>
      </c>
      <c r="H774" t="s">
        <v>1744</v>
      </c>
      <c r="I774" t="s">
        <v>214</v>
      </c>
      <c r="J774" s="3" t="s">
        <v>1766</v>
      </c>
      <c r="K774" t="s">
        <v>1767</v>
      </c>
      <c r="L774" s="4">
        <v>12</v>
      </c>
      <c r="M774" s="4">
        <v>0</v>
      </c>
      <c r="N774">
        <v>12</v>
      </c>
      <c r="P774">
        <v>6</v>
      </c>
      <c r="Q774">
        <f>QtyRemaining*EstMfgMin/60</f>
        <v>1.2</v>
      </c>
      <c r="U774" t="e">
        <f t="shared" si="26"/>
        <v>#REF!</v>
      </c>
      <c r="V774" s="5" t="e">
        <f t="shared" si="27"/>
        <v>#REF!</v>
      </c>
    </row>
    <row r="775" spans="1:22" x14ac:dyDescent="0.25">
      <c r="A775" s="2">
        <v>46057</v>
      </c>
      <c r="B775" s="2">
        <v>46050</v>
      </c>
      <c r="C775" t="s">
        <v>485</v>
      </c>
      <c r="D775">
        <v>6</v>
      </c>
      <c r="E775" t="s">
        <v>1742</v>
      </c>
      <c r="F775" t="s">
        <v>211</v>
      </c>
      <c r="G775" t="s">
        <v>1743</v>
      </c>
      <c r="H775" t="s">
        <v>1744</v>
      </c>
      <c r="I775" t="s">
        <v>214</v>
      </c>
      <c r="J775" s="3" t="s">
        <v>1768</v>
      </c>
      <c r="K775" t="s">
        <v>1767</v>
      </c>
      <c r="L775" s="4">
        <v>12</v>
      </c>
      <c r="M775" s="4">
        <v>0</v>
      </c>
      <c r="N775">
        <v>12</v>
      </c>
      <c r="P775">
        <v>6</v>
      </c>
      <c r="Q775">
        <f>QtyRemaining*EstMfgMin/60</f>
        <v>1.2</v>
      </c>
      <c r="U775" t="e">
        <f t="shared" si="26"/>
        <v>#REF!</v>
      </c>
      <c r="V775" s="5" t="e">
        <f t="shared" si="27"/>
        <v>#REF!</v>
      </c>
    </row>
    <row r="776" spans="1:22" x14ac:dyDescent="0.25">
      <c r="A776" s="2">
        <v>46057</v>
      </c>
      <c r="B776" s="2">
        <v>46050</v>
      </c>
      <c r="C776" t="s">
        <v>485</v>
      </c>
      <c r="D776">
        <v>6</v>
      </c>
      <c r="E776" t="s">
        <v>1742</v>
      </c>
      <c r="F776" t="s">
        <v>211</v>
      </c>
      <c r="G776" t="s">
        <v>1743</v>
      </c>
      <c r="H776" t="s">
        <v>1744</v>
      </c>
      <c r="I776" t="s">
        <v>214</v>
      </c>
      <c r="J776" s="3" t="s">
        <v>884</v>
      </c>
      <c r="K776" t="s">
        <v>885</v>
      </c>
      <c r="L776" s="4">
        <v>1</v>
      </c>
      <c r="M776" s="4">
        <v>0</v>
      </c>
      <c r="N776">
        <v>1</v>
      </c>
      <c r="P776">
        <v>0</v>
      </c>
      <c r="Q776">
        <f>QtyRemaining*EstMfgMin/60</f>
        <v>0</v>
      </c>
      <c r="U776" t="e">
        <f t="shared" si="26"/>
        <v>#REF!</v>
      </c>
      <c r="V776" s="5" t="e">
        <f t="shared" si="27"/>
        <v>#REF!</v>
      </c>
    </row>
    <row r="777" spans="1:22" x14ac:dyDescent="0.25">
      <c r="A777" s="2">
        <v>46058</v>
      </c>
      <c r="B777" s="2">
        <v>45793</v>
      </c>
      <c r="C777" t="s">
        <v>485</v>
      </c>
      <c r="D777">
        <v>6</v>
      </c>
      <c r="E777" t="s">
        <v>1769</v>
      </c>
      <c r="F777" t="s">
        <v>211</v>
      </c>
      <c r="G777" t="s">
        <v>864</v>
      </c>
      <c r="H777" t="s">
        <v>1770</v>
      </c>
      <c r="I777" t="s">
        <v>214</v>
      </c>
      <c r="J777" s="3" t="s">
        <v>1771</v>
      </c>
      <c r="K777" t="s">
        <v>1772</v>
      </c>
      <c r="L777" s="4">
        <v>50</v>
      </c>
      <c r="M777" s="4">
        <v>0</v>
      </c>
      <c r="N777">
        <v>50</v>
      </c>
      <c r="O777" t="s">
        <v>211</v>
      </c>
      <c r="P777">
        <v>32</v>
      </c>
      <c r="Q777">
        <f>QtyRemaining*EstMfgMin/60</f>
        <v>26.666666666666668</v>
      </c>
      <c r="U777" t="e">
        <f t="shared" si="26"/>
        <v>#REF!</v>
      </c>
      <c r="V777" s="5" t="e">
        <f t="shared" si="27"/>
        <v>#REF!</v>
      </c>
    </row>
    <row r="778" spans="1:22" x14ac:dyDescent="0.25">
      <c r="A778" s="2">
        <v>46058</v>
      </c>
      <c r="B778" s="2">
        <v>45793</v>
      </c>
      <c r="C778" t="s">
        <v>485</v>
      </c>
      <c r="D778">
        <v>6</v>
      </c>
      <c r="E778" t="s">
        <v>1769</v>
      </c>
      <c r="F778" t="s">
        <v>211</v>
      </c>
      <c r="G778" t="s">
        <v>864</v>
      </c>
      <c r="H778" t="s">
        <v>1770</v>
      </c>
      <c r="I778" t="s">
        <v>214</v>
      </c>
      <c r="J778" s="3" t="s">
        <v>1773</v>
      </c>
      <c r="K778" t="s">
        <v>1774</v>
      </c>
      <c r="L778" s="4">
        <v>100</v>
      </c>
      <c r="M778" s="4">
        <v>0</v>
      </c>
      <c r="N778">
        <v>100</v>
      </c>
      <c r="O778" t="s">
        <v>176</v>
      </c>
      <c r="P778">
        <v>7</v>
      </c>
      <c r="Q778">
        <f>QtyRemaining*EstMfgMin/60</f>
        <v>11.666666666666666</v>
      </c>
      <c r="U778" t="e">
        <f t="shared" si="26"/>
        <v>#REF!</v>
      </c>
      <c r="V778" s="5" t="e">
        <f t="shared" si="27"/>
        <v>#REF!</v>
      </c>
    </row>
    <row r="779" spans="1:22" x14ac:dyDescent="0.25">
      <c r="A779" s="2">
        <v>46058</v>
      </c>
      <c r="B779" s="2">
        <v>45793</v>
      </c>
      <c r="C779" t="s">
        <v>485</v>
      </c>
      <c r="D779">
        <v>6</v>
      </c>
      <c r="E779" t="s">
        <v>1769</v>
      </c>
      <c r="F779" t="s">
        <v>211</v>
      </c>
      <c r="G779" t="s">
        <v>864</v>
      </c>
      <c r="H779" t="s">
        <v>1770</v>
      </c>
      <c r="I779" t="s">
        <v>214</v>
      </c>
      <c r="J779" s="3" t="s">
        <v>1775</v>
      </c>
      <c r="K779" t="s">
        <v>1776</v>
      </c>
      <c r="L779" s="4">
        <v>87</v>
      </c>
      <c r="M779" s="4">
        <v>0</v>
      </c>
      <c r="N779">
        <v>87</v>
      </c>
      <c r="O779" t="s">
        <v>176</v>
      </c>
      <c r="P779">
        <v>10</v>
      </c>
      <c r="Q779">
        <f>QtyRemaining*EstMfgMin/60</f>
        <v>14.5</v>
      </c>
      <c r="U779" t="e">
        <f t="shared" si="26"/>
        <v>#REF!</v>
      </c>
      <c r="V779" s="5" t="e">
        <f t="shared" si="27"/>
        <v>#REF!</v>
      </c>
    </row>
    <row r="780" spans="1:22" x14ac:dyDescent="0.25">
      <c r="A780" s="2">
        <v>46058</v>
      </c>
      <c r="B780" s="2">
        <v>45929</v>
      </c>
      <c r="C780" t="s">
        <v>1191</v>
      </c>
      <c r="D780">
        <v>6</v>
      </c>
      <c r="E780" t="s">
        <v>1777</v>
      </c>
      <c r="F780" t="s">
        <v>211</v>
      </c>
      <c r="G780" t="s">
        <v>1193</v>
      </c>
      <c r="H780" t="s">
        <v>1778</v>
      </c>
      <c r="I780" t="s">
        <v>83</v>
      </c>
      <c r="J780" s="3" t="s">
        <v>1779</v>
      </c>
      <c r="K780" t="s">
        <v>1780</v>
      </c>
      <c r="L780" s="4">
        <v>3</v>
      </c>
      <c r="M780" s="4">
        <v>0</v>
      </c>
      <c r="N780">
        <v>3</v>
      </c>
      <c r="O780" t="s">
        <v>266</v>
      </c>
      <c r="P780">
        <v>135</v>
      </c>
      <c r="Q780">
        <f>QtyRemaining*EstMfgMin/60</f>
        <v>6.75</v>
      </c>
      <c r="U780" t="e">
        <f t="shared" si="26"/>
        <v>#REF!</v>
      </c>
      <c r="V780" s="5" t="e">
        <f t="shared" si="27"/>
        <v>#REF!</v>
      </c>
    </row>
    <row r="781" spans="1:22" x14ac:dyDescent="0.25">
      <c r="A781" s="2">
        <v>46058</v>
      </c>
      <c r="B781" s="2">
        <v>45929</v>
      </c>
      <c r="C781" t="s">
        <v>1191</v>
      </c>
      <c r="D781">
        <v>6</v>
      </c>
      <c r="E781" t="s">
        <v>1777</v>
      </c>
      <c r="F781" t="s">
        <v>211</v>
      </c>
      <c r="G781" t="s">
        <v>1193</v>
      </c>
      <c r="H781" t="s">
        <v>1778</v>
      </c>
      <c r="I781" t="s">
        <v>83</v>
      </c>
      <c r="J781" s="3" t="s">
        <v>875</v>
      </c>
      <c r="K781" t="s">
        <v>1781</v>
      </c>
      <c r="L781" s="4">
        <v>1</v>
      </c>
      <c r="M781" s="4">
        <v>0</v>
      </c>
      <c r="N781">
        <v>1</v>
      </c>
      <c r="P781">
        <v>0</v>
      </c>
      <c r="Q781">
        <f>QtyRemaining*EstMfgMin/60</f>
        <v>0</v>
      </c>
      <c r="U781" t="e">
        <f t="shared" si="26"/>
        <v>#REF!</v>
      </c>
      <c r="V781" s="5" t="e">
        <f t="shared" si="27"/>
        <v>#REF!</v>
      </c>
    </row>
    <row r="782" spans="1:22" x14ac:dyDescent="0.25">
      <c r="A782" s="2">
        <v>46058</v>
      </c>
      <c r="B782" s="2">
        <v>45967</v>
      </c>
      <c r="C782" t="s">
        <v>485</v>
      </c>
      <c r="D782">
        <v>6</v>
      </c>
      <c r="E782" t="s">
        <v>1782</v>
      </c>
      <c r="F782" t="s">
        <v>211</v>
      </c>
      <c r="G782" t="s">
        <v>864</v>
      </c>
      <c r="H782" t="s">
        <v>1783</v>
      </c>
      <c r="I782" t="s">
        <v>214</v>
      </c>
      <c r="J782" s="3" t="s">
        <v>1784</v>
      </c>
      <c r="K782" t="s">
        <v>1785</v>
      </c>
      <c r="L782" s="4">
        <v>25</v>
      </c>
      <c r="M782" s="4">
        <v>0</v>
      </c>
      <c r="N782">
        <v>25</v>
      </c>
      <c r="O782" t="s">
        <v>514</v>
      </c>
      <c r="P782">
        <v>14</v>
      </c>
      <c r="Q782">
        <f>QtyRemaining*EstMfgMin/60</f>
        <v>5.833333333333333</v>
      </c>
      <c r="U782" t="e">
        <f t="shared" si="26"/>
        <v>#REF!</v>
      </c>
      <c r="V782" s="5" t="e">
        <f t="shared" si="27"/>
        <v>#REF!</v>
      </c>
    </row>
    <row r="783" spans="1:22" x14ac:dyDescent="0.25">
      <c r="A783" s="2">
        <v>46058</v>
      </c>
      <c r="B783" s="2">
        <v>45972</v>
      </c>
      <c r="C783" t="s">
        <v>485</v>
      </c>
      <c r="D783">
        <v>6</v>
      </c>
      <c r="E783" t="s">
        <v>1078</v>
      </c>
      <c r="F783" t="s">
        <v>211</v>
      </c>
      <c r="G783" t="s">
        <v>761</v>
      </c>
      <c r="H783" t="s">
        <v>1079</v>
      </c>
      <c r="I783" t="s">
        <v>214</v>
      </c>
      <c r="J783" s="3" t="s">
        <v>1786</v>
      </c>
      <c r="K783" t="s">
        <v>1787</v>
      </c>
      <c r="L783" s="4">
        <v>10</v>
      </c>
      <c r="M783" s="4">
        <v>0</v>
      </c>
      <c r="N783">
        <v>10</v>
      </c>
      <c r="O783" t="s">
        <v>765</v>
      </c>
      <c r="P783">
        <v>13</v>
      </c>
      <c r="Q783">
        <f>QtyRemaining*EstMfgMin/60</f>
        <v>2.1666666666666665</v>
      </c>
      <c r="U783" t="e">
        <f t="shared" si="26"/>
        <v>#REF!</v>
      </c>
      <c r="V783" s="5" t="e">
        <f t="shared" si="27"/>
        <v>#REF!</v>
      </c>
    </row>
    <row r="784" spans="1:22" x14ac:dyDescent="0.25">
      <c r="A784" s="2">
        <v>46058</v>
      </c>
      <c r="B784" s="2">
        <v>45972</v>
      </c>
      <c r="C784" t="s">
        <v>485</v>
      </c>
      <c r="D784">
        <v>6</v>
      </c>
      <c r="E784" t="s">
        <v>1078</v>
      </c>
      <c r="F784" t="s">
        <v>211</v>
      </c>
      <c r="G784" t="s">
        <v>761</v>
      </c>
      <c r="H784" t="s">
        <v>1079</v>
      </c>
      <c r="I784" t="s">
        <v>214</v>
      </c>
      <c r="J784" s="3" t="s">
        <v>1788</v>
      </c>
      <c r="K784" t="s">
        <v>1789</v>
      </c>
      <c r="L784" s="4">
        <v>30</v>
      </c>
      <c r="M784" s="4">
        <v>0</v>
      </c>
      <c r="N784">
        <v>30</v>
      </c>
      <c r="O784" t="s">
        <v>765</v>
      </c>
      <c r="P784">
        <v>16</v>
      </c>
      <c r="Q784">
        <f>QtyRemaining*EstMfgMin/60</f>
        <v>8</v>
      </c>
      <c r="U784" t="e">
        <f t="shared" si="26"/>
        <v>#REF!</v>
      </c>
      <c r="V784" s="5" t="e">
        <f t="shared" si="27"/>
        <v>#REF!</v>
      </c>
    </row>
    <row r="785" spans="1:22" x14ac:dyDescent="0.25">
      <c r="A785" s="2">
        <v>46058</v>
      </c>
      <c r="B785" s="2">
        <v>46024</v>
      </c>
      <c r="C785" t="s">
        <v>485</v>
      </c>
      <c r="D785">
        <v>6</v>
      </c>
      <c r="E785" t="s">
        <v>1216</v>
      </c>
      <c r="F785" t="s">
        <v>211</v>
      </c>
      <c r="G785" t="s">
        <v>1217</v>
      </c>
      <c r="H785" t="s">
        <v>1218</v>
      </c>
      <c r="I785" t="s">
        <v>214</v>
      </c>
      <c r="J785" s="3" t="s">
        <v>1790</v>
      </c>
      <c r="K785" t="s">
        <v>1791</v>
      </c>
      <c r="L785" s="4">
        <v>25</v>
      </c>
      <c r="M785" s="4">
        <v>0</v>
      </c>
      <c r="N785">
        <v>25</v>
      </c>
      <c r="O785" t="s">
        <v>151</v>
      </c>
      <c r="P785">
        <v>15</v>
      </c>
      <c r="Q785">
        <f>QtyRemaining*EstMfgMin/60</f>
        <v>6.25</v>
      </c>
      <c r="U785" t="e">
        <f t="shared" si="26"/>
        <v>#REF!</v>
      </c>
      <c r="V785" s="5" t="e">
        <f t="shared" si="27"/>
        <v>#REF!</v>
      </c>
    </row>
    <row r="786" spans="1:22" x14ac:dyDescent="0.25">
      <c r="A786" s="2">
        <v>46058</v>
      </c>
      <c r="B786" s="2">
        <v>46031</v>
      </c>
      <c r="C786" t="s">
        <v>1168</v>
      </c>
      <c r="D786">
        <v>6</v>
      </c>
      <c r="E786" t="s">
        <v>1792</v>
      </c>
      <c r="F786" t="s">
        <v>283</v>
      </c>
      <c r="G786" t="s">
        <v>1170</v>
      </c>
      <c r="H786" t="s">
        <v>1793</v>
      </c>
      <c r="I786" t="s">
        <v>224</v>
      </c>
      <c r="J786" s="3" t="s">
        <v>1794</v>
      </c>
      <c r="K786" t="s">
        <v>1795</v>
      </c>
      <c r="L786" s="4">
        <v>20</v>
      </c>
      <c r="M786" s="4">
        <v>0</v>
      </c>
      <c r="N786">
        <v>20</v>
      </c>
      <c r="O786" t="s">
        <v>94</v>
      </c>
      <c r="P786">
        <v>74</v>
      </c>
      <c r="Q786">
        <f>QtyRemaining*EstMfgMin/60</f>
        <v>24.666666666666668</v>
      </c>
      <c r="U786" t="e">
        <f t="shared" si="26"/>
        <v>#REF!</v>
      </c>
      <c r="V786" s="5" t="e">
        <f t="shared" si="27"/>
        <v>#REF!</v>
      </c>
    </row>
    <row r="787" spans="1:22" x14ac:dyDescent="0.25">
      <c r="A787" s="2">
        <v>46058</v>
      </c>
      <c r="B787" s="2">
        <v>46031</v>
      </c>
      <c r="C787" t="s">
        <v>485</v>
      </c>
      <c r="D787">
        <v>6</v>
      </c>
      <c r="E787" t="s">
        <v>1796</v>
      </c>
      <c r="F787" t="s">
        <v>211</v>
      </c>
      <c r="G787" t="s">
        <v>1159</v>
      </c>
      <c r="H787" t="s">
        <v>1797</v>
      </c>
      <c r="I787" t="s">
        <v>214</v>
      </c>
      <c r="J787" s="3" t="s">
        <v>1798</v>
      </c>
      <c r="K787" t="s">
        <v>1799</v>
      </c>
      <c r="L787" s="4">
        <v>50</v>
      </c>
      <c r="M787" s="4">
        <v>0</v>
      </c>
      <c r="N787">
        <v>50</v>
      </c>
      <c r="P787">
        <v>14</v>
      </c>
      <c r="Q787">
        <f>QtyRemaining*EstMfgMin/60</f>
        <v>11.666666666666666</v>
      </c>
      <c r="U787" t="e">
        <f t="shared" si="26"/>
        <v>#REF!</v>
      </c>
      <c r="V787" s="5" t="e">
        <f t="shared" si="27"/>
        <v>#REF!</v>
      </c>
    </row>
    <row r="788" spans="1:22" x14ac:dyDescent="0.25">
      <c r="A788" s="2">
        <v>46059</v>
      </c>
      <c r="B788" s="2">
        <v>45926</v>
      </c>
      <c r="C788" t="s">
        <v>485</v>
      </c>
      <c r="D788">
        <v>6</v>
      </c>
      <c r="E788" t="s">
        <v>1800</v>
      </c>
      <c r="F788" t="s">
        <v>211</v>
      </c>
      <c r="G788" t="s">
        <v>864</v>
      </c>
      <c r="H788" t="s">
        <v>1801</v>
      </c>
      <c r="I788" t="s">
        <v>214</v>
      </c>
      <c r="J788" s="3" t="s">
        <v>1802</v>
      </c>
      <c r="K788" t="s">
        <v>1803</v>
      </c>
      <c r="L788" s="4">
        <v>100</v>
      </c>
      <c r="M788" s="4">
        <v>0</v>
      </c>
      <c r="N788">
        <v>100</v>
      </c>
      <c r="O788" t="s">
        <v>176</v>
      </c>
      <c r="P788">
        <v>19</v>
      </c>
      <c r="Q788">
        <f>QtyRemaining*EstMfgMin/60</f>
        <v>31.666666666666668</v>
      </c>
      <c r="U788" t="e">
        <f t="shared" si="26"/>
        <v>#REF!</v>
      </c>
      <c r="V788" s="5" t="e">
        <f t="shared" si="27"/>
        <v>#REF!</v>
      </c>
    </row>
    <row r="789" spans="1:22" x14ac:dyDescent="0.25">
      <c r="A789" s="2">
        <v>46059</v>
      </c>
      <c r="B789" s="2">
        <v>45926</v>
      </c>
      <c r="C789" t="s">
        <v>485</v>
      </c>
      <c r="D789">
        <v>6</v>
      </c>
      <c r="E789" t="s">
        <v>1800</v>
      </c>
      <c r="F789" t="s">
        <v>211</v>
      </c>
      <c r="G789" t="s">
        <v>864</v>
      </c>
      <c r="H789" t="s">
        <v>1801</v>
      </c>
      <c r="I789" t="s">
        <v>214</v>
      </c>
      <c r="J789" s="3" t="s">
        <v>1804</v>
      </c>
      <c r="K789" t="s">
        <v>1805</v>
      </c>
      <c r="L789" s="4">
        <v>100</v>
      </c>
      <c r="M789" s="4">
        <v>0</v>
      </c>
      <c r="N789">
        <v>100</v>
      </c>
      <c r="O789" t="s">
        <v>176</v>
      </c>
      <c r="P789">
        <v>8</v>
      </c>
      <c r="Q789">
        <f>QtyRemaining*EstMfgMin/60</f>
        <v>13.333333333333334</v>
      </c>
      <c r="U789" t="e">
        <f t="shared" si="26"/>
        <v>#REF!</v>
      </c>
      <c r="V789" s="5" t="e">
        <f t="shared" si="27"/>
        <v>#REF!</v>
      </c>
    </row>
    <row r="790" spans="1:22" x14ac:dyDescent="0.25">
      <c r="A790" s="2">
        <v>46059</v>
      </c>
      <c r="B790" s="2">
        <v>45953</v>
      </c>
      <c r="C790" t="s">
        <v>633</v>
      </c>
      <c r="D790">
        <v>6</v>
      </c>
      <c r="E790" t="s">
        <v>1806</v>
      </c>
      <c r="F790" t="s">
        <v>261</v>
      </c>
      <c r="G790" t="s">
        <v>1807</v>
      </c>
      <c r="H790" t="s">
        <v>1808</v>
      </c>
      <c r="I790" t="s">
        <v>45</v>
      </c>
      <c r="J790" s="3" t="s">
        <v>1809</v>
      </c>
      <c r="K790" t="s">
        <v>1810</v>
      </c>
      <c r="L790" s="4">
        <v>3</v>
      </c>
      <c r="M790" s="4">
        <v>0</v>
      </c>
      <c r="N790">
        <v>3</v>
      </c>
      <c r="O790" t="s">
        <v>118</v>
      </c>
      <c r="P790">
        <v>0</v>
      </c>
      <c r="Q790">
        <f>QtyRemaining*EstMfgMin/60</f>
        <v>0</v>
      </c>
      <c r="U790" t="e">
        <f t="shared" si="26"/>
        <v>#REF!</v>
      </c>
      <c r="V790" s="5" t="e">
        <f t="shared" si="27"/>
        <v>#REF!</v>
      </c>
    </row>
    <row r="791" spans="1:22" x14ac:dyDescent="0.25">
      <c r="A791" s="2">
        <v>46059</v>
      </c>
      <c r="B791" s="2">
        <v>45953</v>
      </c>
      <c r="C791" t="s">
        <v>633</v>
      </c>
      <c r="D791">
        <v>6</v>
      </c>
      <c r="E791" t="s">
        <v>1806</v>
      </c>
      <c r="F791" t="s">
        <v>261</v>
      </c>
      <c r="G791" t="s">
        <v>1807</v>
      </c>
      <c r="H791" t="s">
        <v>1808</v>
      </c>
      <c r="I791" t="s">
        <v>45</v>
      </c>
      <c r="J791" s="3" t="s">
        <v>884</v>
      </c>
      <c r="K791" t="s">
        <v>885</v>
      </c>
      <c r="L791" s="4">
        <v>1</v>
      </c>
      <c r="M791" s="4">
        <v>0</v>
      </c>
      <c r="N791">
        <v>1</v>
      </c>
      <c r="P791">
        <v>0</v>
      </c>
      <c r="Q791">
        <f>QtyRemaining*EstMfgMin/60</f>
        <v>0</v>
      </c>
      <c r="U791" t="e">
        <f t="shared" si="26"/>
        <v>#REF!</v>
      </c>
      <c r="V791" s="5" t="e">
        <f t="shared" si="27"/>
        <v>#REF!</v>
      </c>
    </row>
    <row r="792" spans="1:22" x14ac:dyDescent="0.25">
      <c r="A792" s="2">
        <v>46059</v>
      </c>
      <c r="B792" s="2">
        <v>46008</v>
      </c>
      <c r="C792" t="s">
        <v>465</v>
      </c>
      <c r="D792">
        <v>6</v>
      </c>
      <c r="E792" t="s">
        <v>1811</v>
      </c>
      <c r="F792" t="s">
        <v>211</v>
      </c>
      <c r="G792" t="s">
        <v>467</v>
      </c>
      <c r="H792" t="s">
        <v>1812</v>
      </c>
      <c r="I792" t="s">
        <v>214</v>
      </c>
      <c r="J792" s="3" t="s">
        <v>1813</v>
      </c>
      <c r="K792" t="s">
        <v>1814</v>
      </c>
      <c r="L792" s="4">
        <v>2</v>
      </c>
      <c r="M792" s="4">
        <v>0</v>
      </c>
      <c r="N792">
        <v>2</v>
      </c>
      <c r="O792" t="s">
        <v>86</v>
      </c>
      <c r="P792">
        <v>54</v>
      </c>
      <c r="Q792">
        <f>QtyRemaining*EstMfgMin/60</f>
        <v>1.8</v>
      </c>
      <c r="U792" t="e">
        <f t="shared" si="26"/>
        <v>#REF!</v>
      </c>
      <c r="V792" s="5" t="e">
        <f t="shared" si="27"/>
        <v>#REF!</v>
      </c>
    </row>
    <row r="793" spans="1:22" x14ac:dyDescent="0.25">
      <c r="A793" s="2">
        <v>46059</v>
      </c>
      <c r="B793" s="2">
        <v>46036</v>
      </c>
      <c r="C793" t="s">
        <v>465</v>
      </c>
      <c r="D793">
        <v>6</v>
      </c>
      <c r="E793" t="s">
        <v>1815</v>
      </c>
      <c r="F793" t="s">
        <v>211</v>
      </c>
      <c r="G793" t="s">
        <v>467</v>
      </c>
      <c r="H793" t="s">
        <v>1816</v>
      </c>
      <c r="I793" t="s">
        <v>214</v>
      </c>
      <c r="J793" s="3" t="s">
        <v>1817</v>
      </c>
      <c r="K793" t="s">
        <v>1818</v>
      </c>
      <c r="L793" s="4">
        <v>1</v>
      </c>
      <c r="M793" s="4">
        <v>0</v>
      </c>
      <c r="N793">
        <v>1</v>
      </c>
      <c r="O793" t="s">
        <v>86</v>
      </c>
      <c r="P793">
        <v>37</v>
      </c>
      <c r="Q793">
        <f>QtyRemaining*EstMfgMin/60</f>
        <v>0.6166666666666667</v>
      </c>
      <c r="U793" t="e">
        <f t="shared" si="26"/>
        <v>#REF!</v>
      </c>
      <c r="V793" s="5" t="e">
        <f t="shared" si="27"/>
        <v>#REF!</v>
      </c>
    </row>
    <row r="794" spans="1:22" x14ac:dyDescent="0.25">
      <c r="A794" s="2">
        <v>46059</v>
      </c>
      <c r="B794" s="2">
        <v>46036</v>
      </c>
      <c r="C794" t="s">
        <v>465</v>
      </c>
      <c r="D794">
        <v>6</v>
      </c>
      <c r="E794" t="s">
        <v>1815</v>
      </c>
      <c r="F794" t="s">
        <v>211</v>
      </c>
      <c r="G794" t="s">
        <v>467</v>
      </c>
      <c r="H794" t="s">
        <v>1816</v>
      </c>
      <c r="I794" t="s">
        <v>214</v>
      </c>
      <c r="J794" s="3" t="s">
        <v>1819</v>
      </c>
      <c r="K794" t="s">
        <v>1820</v>
      </c>
      <c r="L794" s="4">
        <v>3</v>
      </c>
      <c r="M794" s="4">
        <v>0</v>
      </c>
      <c r="N794">
        <v>3</v>
      </c>
      <c r="O794" t="s">
        <v>94</v>
      </c>
      <c r="P794">
        <v>21</v>
      </c>
      <c r="Q794">
        <f>QtyRemaining*EstMfgMin/60</f>
        <v>1.05</v>
      </c>
      <c r="U794" t="e">
        <f t="shared" si="26"/>
        <v>#REF!</v>
      </c>
      <c r="V794" s="5" t="e">
        <f t="shared" si="27"/>
        <v>#REF!</v>
      </c>
    </row>
    <row r="795" spans="1:22" x14ac:dyDescent="0.25">
      <c r="A795" s="2">
        <v>46059</v>
      </c>
      <c r="B795" s="2">
        <v>46041</v>
      </c>
      <c r="C795" t="s">
        <v>1821</v>
      </c>
      <c r="D795">
        <v>6</v>
      </c>
      <c r="E795" t="s">
        <v>1822</v>
      </c>
      <c r="F795" t="s">
        <v>261</v>
      </c>
      <c r="G795" t="s">
        <v>1823</v>
      </c>
      <c r="H795" t="s">
        <v>1824</v>
      </c>
      <c r="I795" t="s">
        <v>45</v>
      </c>
      <c r="J795" s="3" t="s">
        <v>1825</v>
      </c>
      <c r="K795" t="s">
        <v>150</v>
      </c>
      <c r="L795" s="4">
        <v>2</v>
      </c>
      <c r="M795" s="4">
        <v>0</v>
      </c>
      <c r="N795">
        <v>2</v>
      </c>
      <c r="O795" t="s">
        <v>690</v>
      </c>
      <c r="P795">
        <v>0</v>
      </c>
      <c r="Q795">
        <f>QtyRemaining*EstMfgMin/60</f>
        <v>0</v>
      </c>
      <c r="U795" t="e">
        <f t="shared" si="26"/>
        <v>#REF!</v>
      </c>
      <c r="V795" s="5" t="e">
        <f t="shared" si="27"/>
        <v>#REF!</v>
      </c>
    </row>
    <row r="796" spans="1:22" x14ac:dyDescent="0.25">
      <c r="A796" s="2">
        <v>46059</v>
      </c>
      <c r="B796" s="2">
        <v>46045</v>
      </c>
      <c r="C796" t="s">
        <v>465</v>
      </c>
      <c r="D796">
        <v>6</v>
      </c>
      <c r="E796" t="s">
        <v>1670</v>
      </c>
      <c r="F796" t="s">
        <v>211</v>
      </c>
      <c r="G796" t="s">
        <v>467</v>
      </c>
      <c r="H796" t="s">
        <v>1671</v>
      </c>
      <c r="I796" t="s">
        <v>214</v>
      </c>
      <c r="J796" s="3" t="s">
        <v>1826</v>
      </c>
      <c r="K796" t="s">
        <v>1827</v>
      </c>
      <c r="L796" s="4">
        <v>3</v>
      </c>
      <c r="M796" s="4">
        <v>0</v>
      </c>
      <c r="N796">
        <v>3</v>
      </c>
      <c r="O796" t="s">
        <v>176</v>
      </c>
      <c r="P796">
        <v>10</v>
      </c>
      <c r="Q796">
        <f>QtyRemaining*EstMfgMin/60</f>
        <v>0.5</v>
      </c>
      <c r="U796" t="e">
        <f t="shared" si="26"/>
        <v>#REF!</v>
      </c>
      <c r="V796" s="5" t="e">
        <f t="shared" si="27"/>
        <v>#REF!</v>
      </c>
    </row>
    <row r="797" spans="1:22" x14ac:dyDescent="0.25">
      <c r="A797" s="2">
        <v>46059</v>
      </c>
      <c r="B797" s="2">
        <v>46045</v>
      </c>
      <c r="C797" t="s">
        <v>465</v>
      </c>
      <c r="D797">
        <v>6</v>
      </c>
      <c r="E797" t="s">
        <v>1670</v>
      </c>
      <c r="F797" t="s">
        <v>211</v>
      </c>
      <c r="G797" t="s">
        <v>467</v>
      </c>
      <c r="H797" t="s">
        <v>1671</v>
      </c>
      <c r="I797" t="s">
        <v>214</v>
      </c>
      <c r="J797" s="3" t="s">
        <v>1828</v>
      </c>
      <c r="K797" t="s">
        <v>1827</v>
      </c>
      <c r="L797" s="4">
        <v>2</v>
      </c>
      <c r="M797" s="4">
        <v>0</v>
      </c>
      <c r="N797">
        <v>2</v>
      </c>
      <c r="O797" t="s">
        <v>176</v>
      </c>
      <c r="P797">
        <v>10</v>
      </c>
      <c r="Q797">
        <f>QtyRemaining*EstMfgMin/60</f>
        <v>0.33333333333333331</v>
      </c>
      <c r="U797" t="e">
        <f t="shared" si="26"/>
        <v>#REF!</v>
      </c>
      <c r="V797" s="5" t="e">
        <f t="shared" si="27"/>
        <v>#REF!</v>
      </c>
    </row>
    <row r="798" spans="1:22" x14ac:dyDescent="0.25">
      <c r="A798" s="2">
        <v>46059</v>
      </c>
      <c r="B798" s="2">
        <v>46045</v>
      </c>
      <c r="C798" t="s">
        <v>465</v>
      </c>
      <c r="D798">
        <v>6</v>
      </c>
      <c r="E798" t="s">
        <v>1670</v>
      </c>
      <c r="F798" t="s">
        <v>211</v>
      </c>
      <c r="G798" t="s">
        <v>467</v>
      </c>
      <c r="H798" t="s">
        <v>1671</v>
      </c>
      <c r="I798" t="s">
        <v>214</v>
      </c>
      <c r="J798" s="3" t="s">
        <v>1829</v>
      </c>
      <c r="K798" t="s">
        <v>1830</v>
      </c>
      <c r="L798" s="4">
        <v>3</v>
      </c>
      <c r="M798" s="4">
        <v>0</v>
      </c>
      <c r="N798">
        <v>3</v>
      </c>
      <c r="O798" t="s">
        <v>176</v>
      </c>
      <c r="P798">
        <v>10</v>
      </c>
      <c r="Q798">
        <f>QtyRemaining*EstMfgMin/60</f>
        <v>0.5</v>
      </c>
      <c r="U798" t="e">
        <f t="shared" si="26"/>
        <v>#REF!</v>
      </c>
      <c r="V798" s="5" t="e">
        <f t="shared" si="27"/>
        <v>#REF!</v>
      </c>
    </row>
    <row r="799" spans="1:22" x14ac:dyDescent="0.25">
      <c r="A799" s="2">
        <v>46059</v>
      </c>
      <c r="B799" s="2">
        <v>46045</v>
      </c>
      <c r="C799" t="s">
        <v>465</v>
      </c>
      <c r="D799">
        <v>6</v>
      </c>
      <c r="E799" t="s">
        <v>1670</v>
      </c>
      <c r="F799" t="s">
        <v>211</v>
      </c>
      <c r="G799" t="s">
        <v>467</v>
      </c>
      <c r="H799" t="s">
        <v>1671</v>
      </c>
      <c r="I799" t="s">
        <v>214</v>
      </c>
      <c r="J799" s="3" t="s">
        <v>1831</v>
      </c>
      <c r="K799" t="s">
        <v>1830</v>
      </c>
      <c r="L799" s="4">
        <v>2</v>
      </c>
      <c r="M799" s="4">
        <v>0</v>
      </c>
      <c r="N799">
        <v>2</v>
      </c>
      <c r="O799" t="s">
        <v>176</v>
      </c>
      <c r="P799">
        <v>10</v>
      </c>
      <c r="Q799">
        <f>QtyRemaining*EstMfgMin/60</f>
        <v>0.33333333333333331</v>
      </c>
      <c r="U799" t="e">
        <f t="shared" si="26"/>
        <v>#REF!</v>
      </c>
      <c r="V799" s="5" t="e">
        <f t="shared" si="27"/>
        <v>#REF!</v>
      </c>
    </row>
    <row r="800" spans="1:22" x14ac:dyDescent="0.25">
      <c r="A800" s="2">
        <v>46059</v>
      </c>
      <c r="B800" s="2">
        <v>46045</v>
      </c>
      <c r="C800" t="s">
        <v>465</v>
      </c>
      <c r="D800">
        <v>6</v>
      </c>
      <c r="E800" t="s">
        <v>1670</v>
      </c>
      <c r="F800" t="s">
        <v>211</v>
      </c>
      <c r="G800" t="s">
        <v>467</v>
      </c>
      <c r="H800" t="s">
        <v>1671</v>
      </c>
      <c r="I800" t="s">
        <v>214</v>
      </c>
      <c r="J800" s="3" t="s">
        <v>1832</v>
      </c>
      <c r="K800" t="s">
        <v>1833</v>
      </c>
      <c r="L800" s="4">
        <v>3</v>
      </c>
      <c r="M800" s="4">
        <v>0</v>
      </c>
      <c r="N800">
        <v>3</v>
      </c>
      <c r="O800" t="s">
        <v>176</v>
      </c>
      <c r="P800">
        <v>10</v>
      </c>
      <c r="Q800">
        <f>QtyRemaining*EstMfgMin/60</f>
        <v>0.5</v>
      </c>
      <c r="U800" t="e">
        <f t="shared" si="26"/>
        <v>#REF!</v>
      </c>
      <c r="V800" s="5" t="e">
        <f t="shared" si="27"/>
        <v>#REF!</v>
      </c>
    </row>
    <row r="801" spans="1:22" x14ac:dyDescent="0.25">
      <c r="A801" s="2">
        <v>46059</v>
      </c>
      <c r="B801" s="2">
        <v>46045</v>
      </c>
      <c r="C801" t="s">
        <v>465</v>
      </c>
      <c r="D801">
        <v>6</v>
      </c>
      <c r="E801" t="s">
        <v>1670</v>
      </c>
      <c r="F801" t="s">
        <v>211</v>
      </c>
      <c r="G801" t="s">
        <v>467</v>
      </c>
      <c r="H801" t="s">
        <v>1671</v>
      </c>
      <c r="I801" t="s">
        <v>214</v>
      </c>
      <c r="J801" s="3" t="s">
        <v>1834</v>
      </c>
      <c r="K801" t="s">
        <v>1833</v>
      </c>
      <c r="L801" s="4">
        <v>2</v>
      </c>
      <c r="M801" s="4">
        <v>0</v>
      </c>
      <c r="N801">
        <v>2</v>
      </c>
      <c r="O801" t="s">
        <v>176</v>
      </c>
      <c r="P801">
        <v>10</v>
      </c>
      <c r="Q801">
        <f>QtyRemaining*EstMfgMin/60</f>
        <v>0.33333333333333331</v>
      </c>
      <c r="U801" t="e">
        <f t="shared" si="26"/>
        <v>#REF!</v>
      </c>
      <c r="V801" s="5" t="e">
        <f t="shared" si="27"/>
        <v>#REF!</v>
      </c>
    </row>
    <row r="802" spans="1:22" x14ac:dyDescent="0.25">
      <c r="A802" s="2">
        <v>46059</v>
      </c>
      <c r="B802" s="2">
        <v>46049</v>
      </c>
      <c r="C802" t="s">
        <v>485</v>
      </c>
      <c r="D802">
        <v>6</v>
      </c>
      <c r="E802" t="s">
        <v>1835</v>
      </c>
      <c r="F802" t="s">
        <v>211</v>
      </c>
      <c r="G802" t="s">
        <v>487</v>
      </c>
      <c r="H802" t="s">
        <v>1836</v>
      </c>
      <c r="I802" t="s">
        <v>214</v>
      </c>
      <c r="J802" s="3" t="s">
        <v>1837</v>
      </c>
      <c r="K802" t="s">
        <v>1838</v>
      </c>
      <c r="L802" s="4">
        <v>2</v>
      </c>
      <c r="M802" s="4">
        <v>0</v>
      </c>
      <c r="N802">
        <v>2</v>
      </c>
      <c r="O802" t="s">
        <v>457</v>
      </c>
      <c r="P802">
        <v>36</v>
      </c>
      <c r="Q802">
        <f>QtyRemaining*EstMfgMin/60</f>
        <v>1.2</v>
      </c>
      <c r="U802" t="e">
        <f t="shared" si="26"/>
        <v>#REF!</v>
      </c>
      <c r="V802" s="5" t="e">
        <f t="shared" si="27"/>
        <v>#REF!</v>
      </c>
    </row>
    <row r="803" spans="1:22" x14ac:dyDescent="0.25">
      <c r="A803" s="2">
        <v>46059</v>
      </c>
      <c r="B803" s="2">
        <v>46049</v>
      </c>
      <c r="C803" t="s">
        <v>485</v>
      </c>
      <c r="D803">
        <v>6</v>
      </c>
      <c r="E803" t="s">
        <v>1839</v>
      </c>
      <c r="F803" t="s">
        <v>211</v>
      </c>
      <c r="G803" t="s">
        <v>487</v>
      </c>
      <c r="H803" t="s">
        <v>1840</v>
      </c>
      <c r="I803" t="s">
        <v>214</v>
      </c>
      <c r="J803" s="3" t="s">
        <v>1841</v>
      </c>
      <c r="K803" t="s">
        <v>1842</v>
      </c>
      <c r="L803" s="4">
        <v>1</v>
      </c>
      <c r="M803" s="4">
        <v>0</v>
      </c>
      <c r="N803">
        <v>1</v>
      </c>
      <c r="O803" t="s">
        <v>457</v>
      </c>
      <c r="P803">
        <v>60</v>
      </c>
      <c r="Q803">
        <f>QtyRemaining*EstMfgMin/60</f>
        <v>1</v>
      </c>
      <c r="U803" t="e">
        <f t="shared" si="26"/>
        <v>#REF!</v>
      </c>
      <c r="V803" s="5" t="e">
        <f t="shared" si="27"/>
        <v>#REF!</v>
      </c>
    </row>
    <row r="804" spans="1:22" x14ac:dyDescent="0.25">
      <c r="A804" s="2">
        <v>46062</v>
      </c>
      <c r="B804" s="2">
        <v>45510</v>
      </c>
      <c r="C804" t="s">
        <v>633</v>
      </c>
      <c r="D804">
        <v>7</v>
      </c>
      <c r="E804" t="s">
        <v>1843</v>
      </c>
      <c r="F804" t="s">
        <v>211</v>
      </c>
      <c r="G804" t="s">
        <v>262</v>
      </c>
      <c r="H804" t="s">
        <v>1844</v>
      </c>
      <c r="I804" t="s">
        <v>83</v>
      </c>
      <c r="J804" s="3" t="s">
        <v>1845</v>
      </c>
      <c r="K804" t="s">
        <v>1846</v>
      </c>
      <c r="L804" s="4">
        <v>37</v>
      </c>
      <c r="M804" s="4">
        <v>0</v>
      </c>
      <c r="N804">
        <v>37</v>
      </c>
      <c r="O804" t="s">
        <v>176</v>
      </c>
      <c r="P804">
        <v>66</v>
      </c>
      <c r="Q804">
        <f>QtyRemaining*EstMfgMin/60</f>
        <v>40.700000000000003</v>
      </c>
      <c r="R804" t="s">
        <v>1847</v>
      </c>
      <c r="S804" t="s">
        <v>1026</v>
      </c>
      <c r="U804" t="e">
        <f t="shared" si="26"/>
        <v>#REF!</v>
      </c>
      <c r="V804" s="5" t="e">
        <f t="shared" si="27"/>
        <v>#REF!</v>
      </c>
    </row>
    <row r="805" spans="1:22" x14ac:dyDescent="0.25">
      <c r="A805" s="2">
        <v>46062</v>
      </c>
      <c r="B805" s="2">
        <v>45674</v>
      </c>
      <c r="C805" t="s">
        <v>570</v>
      </c>
      <c r="D805">
        <v>7</v>
      </c>
      <c r="E805" t="s">
        <v>571</v>
      </c>
      <c r="F805" t="s">
        <v>261</v>
      </c>
      <c r="G805" t="s">
        <v>262</v>
      </c>
      <c r="H805" t="s">
        <v>572</v>
      </c>
      <c r="I805" t="s">
        <v>83</v>
      </c>
      <c r="J805" s="3" t="s">
        <v>1848</v>
      </c>
      <c r="K805" t="s">
        <v>1849</v>
      </c>
      <c r="L805" s="4">
        <v>7</v>
      </c>
      <c r="M805" s="4">
        <v>0</v>
      </c>
      <c r="N805">
        <v>7</v>
      </c>
      <c r="O805" t="s">
        <v>702</v>
      </c>
      <c r="P805">
        <v>0</v>
      </c>
      <c r="Q805">
        <f>QtyRemaining*EstMfgMin/60</f>
        <v>0</v>
      </c>
      <c r="U805" t="e">
        <f t="shared" si="26"/>
        <v>#REF!</v>
      </c>
      <c r="V805" s="5" t="e">
        <f t="shared" si="27"/>
        <v>#REF!</v>
      </c>
    </row>
    <row r="806" spans="1:22" x14ac:dyDescent="0.25">
      <c r="A806" s="2">
        <v>46062</v>
      </c>
      <c r="B806" s="2">
        <v>45700</v>
      </c>
      <c r="C806" t="s">
        <v>523</v>
      </c>
      <c r="D806">
        <v>7</v>
      </c>
      <c r="E806" t="s">
        <v>524</v>
      </c>
      <c r="F806" t="s">
        <v>261</v>
      </c>
      <c r="G806" t="s">
        <v>525</v>
      </c>
      <c r="H806" t="s">
        <v>526</v>
      </c>
      <c r="I806" t="s">
        <v>83</v>
      </c>
      <c r="J806" s="3" t="s">
        <v>1142</v>
      </c>
      <c r="K806" t="s">
        <v>1141</v>
      </c>
      <c r="L806" s="4">
        <v>10</v>
      </c>
      <c r="M806" s="4">
        <v>0</v>
      </c>
      <c r="N806">
        <v>10</v>
      </c>
      <c r="O806" t="s">
        <v>118</v>
      </c>
      <c r="P806">
        <v>105</v>
      </c>
      <c r="Q806">
        <f>QtyRemaining*EstMfgMin/60</f>
        <v>17.5</v>
      </c>
      <c r="U806" t="e">
        <f t="shared" si="26"/>
        <v>#REF!</v>
      </c>
      <c r="V806" s="5" t="e">
        <f t="shared" si="27"/>
        <v>#REF!</v>
      </c>
    </row>
    <row r="807" spans="1:22" x14ac:dyDescent="0.25">
      <c r="A807" s="2">
        <v>46062</v>
      </c>
      <c r="B807" s="2">
        <v>45700</v>
      </c>
      <c r="C807" t="s">
        <v>523</v>
      </c>
      <c r="D807">
        <v>7</v>
      </c>
      <c r="E807" t="s">
        <v>524</v>
      </c>
      <c r="F807" t="s">
        <v>261</v>
      </c>
      <c r="G807" t="s">
        <v>525</v>
      </c>
      <c r="H807" t="s">
        <v>526</v>
      </c>
      <c r="I807" t="s">
        <v>83</v>
      </c>
      <c r="J807" s="3" t="s">
        <v>1143</v>
      </c>
      <c r="K807" t="s">
        <v>1141</v>
      </c>
      <c r="L807" s="4">
        <v>10</v>
      </c>
      <c r="M807" s="4">
        <v>0</v>
      </c>
      <c r="N807">
        <v>10</v>
      </c>
      <c r="O807" t="s">
        <v>118</v>
      </c>
      <c r="P807">
        <v>105</v>
      </c>
      <c r="Q807">
        <f>QtyRemaining*EstMfgMin/60</f>
        <v>17.5</v>
      </c>
      <c r="U807" t="e">
        <f t="shared" si="26"/>
        <v>#REF!</v>
      </c>
      <c r="V807" s="5" t="e">
        <f t="shared" si="27"/>
        <v>#REF!</v>
      </c>
    </row>
    <row r="808" spans="1:22" x14ac:dyDescent="0.25">
      <c r="A808" s="2">
        <v>46062</v>
      </c>
      <c r="B808" s="2">
        <v>45700</v>
      </c>
      <c r="C808" t="s">
        <v>523</v>
      </c>
      <c r="D808">
        <v>7</v>
      </c>
      <c r="E808" t="s">
        <v>524</v>
      </c>
      <c r="F808" t="s">
        <v>261</v>
      </c>
      <c r="G808" t="s">
        <v>525</v>
      </c>
      <c r="H808" t="s">
        <v>526</v>
      </c>
      <c r="I808" t="s">
        <v>83</v>
      </c>
      <c r="J808" s="3" t="s">
        <v>1144</v>
      </c>
      <c r="K808" t="s">
        <v>1141</v>
      </c>
      <c r="L808" s="4">
        <v>10</v>
      </c>
      <c r="M808" s="4">
        <v>0</v>
      </c>
      <c r="N808">
        <v>10</v>
      </c>
      <c r="O808" t="s">
        <v>118</v>
      </c>
      <c r="P808">
        <v>105</v>
      </c>
      <c r="Q808">
        <f>QtyRemaining*EstMfgMin/60</f>
        <v>17.5</v>
      </c>
      <c r="U808" t="e">
        <f t="shared" si="26"/>
        <v>#REF!</v>
      </c>
      <c r="V808" s="5" t="e">
        <f t="shared" si="27"/>
        <v>#REF!</v>
      </c>
    </row>
    <row r="809" spans="1:22" x14ac:dyDescent="0.25">
      <c r="A809" s="2">
        <v>46062</v>
      </c>
      <c r="B809" s="2">
        <v>45700</v>
      </c>
      <c r="C809" t="s">
        <v>523</v>
      </c>
      <c r="D809">
        <v>7</v>
      </c>
      <c r="E809" t="s">
        <v>524</v>
      </c>
      <c r="F809" t="s">
        <v>261</v>
      </c>
      <c r="G809" t="s">
        <v>525</v>
      </c>
      <c r="H809" t="s">
        <v>526</v>
      </c>
      <c r="I809" t="s">
        <v>83</v>
      </c>
      <c r="J809" s="3" t="s">
        <v>1145</v>
      </c>
      <c r="K809" t="s">
        <v>1141</v>
      </c>
      <c r="L809" s="4">
        <v>10</v>
      </c>
      <c r="M809" s="4">
        <v>0</v>
      </c>
      <c r="N809">
        <v>10</v>
      </c>
      <c r="O809" t="s">
        <v>118</v>
      </c>
      <c r="P809">
        <v>105</v>
      </c>
      <c r="Q809">
        <f>QtyRemaining*EstMfgMin/60</f>
        <v>17.5</v>
      </c>
      <c r="U809" t="e">
        <f t="shared" si="26"/>
        <v>#REF!</v>
      </c>
      <c r="V809" s="5" t="e">
        <f t="shared" si="27"/>
        <v>#REF!</v>
      </c>
    </row>
    <row r="810" spans="1:22" x14ac:dyDescent="0.25">
      <c r="A810" s="2">
        <v>46062</v>
      </c>
      <c r="B810" s="2">
        <v>45754</v>
      </c>
      <c r="C810" t="s">
        <v>221</v>
      </c>
      <c r="D810">
        <v>7</v>
      </c>
      <c r="E810" t="s">
        <v>736</v>
      </c>
      <c r="F810" t="s">
        <v>211</v>
      </c>
      <c r="G810" t="s">
        <v>519</v>
      </c>
      <c r="H810" t="s">
        <v>737</v>
      </c>
      <c r="I810" t="s">
        <v>83</v>
      </c>
      <c r="J810" s="3" t="s">
        <v>1850</v>
      </c>
      <c r="K810" t="s">
        <v>1851</v>
      </c>
      <c r="L810" s="4">
        <v>7</v>
      </c>
      <c r="M810" s="4">
        <v>0</v>
      </c>
      <c r="N810">
        <v>7</v>
      </c>
      <c r="O810" t="s">
        <v>702</v>
      </c>
      <c r="P810">
        <v>0</v>
      </c>
      <c r="Q810">
        <f>QtyRemaining*EstMfgMin/60</f>
        <v>0</v>
      </c>
      <c r="U810" t="e">
        <f t="shared" si="26"/>
        <v>#REF!</v>
      </c>
      <c r="V810" s="5" t="e">
        <f t="shared" si="27"/>
        <v>#REF!</v>
      </c>
    </row>
    <row r="811" spans="1:22" x14ac:dyDescent="0.25">
      <c r="A811" s="2">
        <v>46062</v>
      </c>
      <c r="B811" s="2">
        <v>45853</v>
      </c>
      <c r="C811" t="s">
        <v>1168</v>
      </c>
      <c r="D811">
        <v>7</v>
      </c>
      <c r="E811" t="s">
        <v>1852</v>
      </c>
      <c r="F811" t="s">
        <v>211</v>
      </c>
      <c r="G811" t="s">
        <v>1553</v>
      </c>
      <c r="H811" t="s">
        <v>1853</v>
      </c>
      <c r="I811" t="s">
        <v>83</v>
      </c>
      <c r="J811" s="3" t="s">
        <v>1854</v>
      </c>
      <c r="K811" t="s">
        <v>1855</v>
      </c>
      <c r="L811" s="4">
        <v>1</v>
      </c>
      <c r="M811" s="4">
        <v>0</v>
      </c>
      <c r="N811">
        <v>1</v>
      </c>
      <c r="O811" t="s">
        <v>1856</v>
      </c>
      <c r="P811">
        <v>1500</v>
      </c>
      <c r="Q811">
        <f>QtyRemaining*EstMfgMin/60</f>
        <v>25</v>
      </c>
      <c r="U811" t="e">
        <f t="shared" si="26"/>
        <v>#REF!</v>
      </c>
      <c r="V811" s="5" t="e">
        <f t="shared" si="27"/>
        <v>#REF!</v>
      </c>
    </row>
    <row r="812" spans="1:22" x14ac:dyDescent="0.25">
      <c r="A812" s="2">
        <v>46062</v>
      </c>
      <c r="B812" s="2">
        <v>45853</v>
      </c>
      <c r="C812" t="s">
        <v>1168</v>
      </c>
      <c r="D812">
        <v>7</v>
      </c>
      <c r="E812" t="s">
        <v>1852</v>
      </c>
      <c r="F812" t="s">
        <v>211</v>
      </c>
      <c r="G812" t="s">
        <v>1553</v>
      </c>
      <c r="H812" t="s">
        <v>1853</v>
      </c>
      <c r="I812" t="s">
        <v>83</v>
      </c>
      <c r="J812" s="3" t="s">
        <v>1857</v>
      </c>
      <c r="K812" t="s">
        <v>1858</v>
      </c>
      <c r="L812" s="4">
        <v>1</v>
      </c>
      <c r="M812" s="4">
        <v>0</v>
      </c>
      <c r="N812">
        <v>1</v>
      </c>
      <c r="O812" t="s">
        <v>1856</v>
      </c>
      <c r="P812">
        <v>960</v>
      </c>
      <c r="Q812">
        <f>QtyRemaining*EstMfgMin/60</f>
        <v>16</v>
      </c>
      <c r="U812" t="e">
        <f t="shared" si="26"/>
        <v>#REF!</v>
      </c>
      <c r="V812" s="5" t="e">
        <f t="shared" si="27"/>
        <v>#REF!</v>
      </c>
    </row>
    <row r="813" spans="1:22" x14ac:dyDescent="0.25">
      <c r="A813" s="2">
        <v>46062</v>
      </c>
      <c r="B813" s="2">
        <v>45875</v>
      </c>
      <c r="C813" t="s">
        <v>633</v>
      </c>
      <c r="D813">
        <v>7</v>
      </c>
      <c r="E813" t="s">
        <v>1859</v>
      </c>
      <c r="F813" t="s">
        <v>261</v>
      </c>
      <c r="G813" t="s">
        <v>262</v>
      </c>
      <c r="H813" t="s">
        <v>1860</v>
      </c>
      <c r="I813" t="s">
        <v>155</v>
      </c>
      <c r="J813" s="3" t="s">
        <v>1861</v>
      </c>
      <c r="K813" t="s">
        <v>1862</v>
      </c>
      <c r="L813" s="4">
        <v>40</v>
      </c>
      <c r="M813" s="4">
        <v>0</v>
      </c>
      <c r="N813">
        <v>40</v>
      </c>
      <c r="O813" t="s">
        <v>643</v>
      </c>
      <c r="P813">
        <v>0</v>
      </c>
      <c r="Q813">
        <f>QtyRemaining*EstMfgMin/60</f>
        <v>0</v>
      </c>
      <c r="R813" t="s">
        <v>1863</v>
      </c>
      <c r="U813" t="e">
        <f t="shared" si="26"/>
        <v>#REF!</v>
      </c>
      <c r="V813" s="5" t="e">
        <f t="shared" si="27"/>
        <v>#REF!</v>
      </c>
    </row>
    <row r="814" spans="1:22" x14ac:dyDescent="0.25">
      <c r="A814" s="2">
        <v>46062</v>
      </c>
      <c r="B814" s="2">
        <v>45950</v>
      </c>
      <c r="C814" t="s">
        <v>1168</v>
      </c>
      <c r="D814">
        <v>7</v>
      </c>
      <c r="E814" t="s">
        <v>1864</v>
      </c>
      <c r="F814" t="s">
        <v>211</v>
      </c>
      <c r="G814" t="s">
        <v>1553</v>
      </c>
      <c r="H814" t="s">
        <v>1865</v>
      </c>
      <c r="I814" t="s">
        <v>83</v>
      </c>
      <c r="J814" s="3" t="s">
        <v>1866</v>
      </c>
      <c r="K814" t="s">
        <v>1867</v>
      </c>
      <c r="L814" s="4">
        <v>1</v>
      </c>
      <c r="M814" s="4">
        <v>0</v>
      </c>
      <c r="N814">
        <v>1</v>
      </c>
      <c r="O814" t="s">
        <v>1868</v>
      </c>
      <c r="P814">
        <v>180</v>
      </c>
      <c r="Q814">
        <f>QtyRemaining*EstMfgMin/60</f>
        <v>3</v>
      </c>
      <c r="U814" t="e">
        <f t="shared" si="26"/>
        <v>#REF!</v>
      </c>
      <c r="V814" s="5" t="e">
        <f t="shared" si="27"/>
        <v>#REF!</v>
      </c>
    </row>
    <row r="815" spans="1:22" x14ac:dyDescent="0.25">
      <c r="A815" s="2">
        <v>46062</v>
      </c>
      <c r="B815" s="2">
        <v>45950</v>
      </c>
      <c r="C815" t="s">
        <v>1168</v>
      </c>
      <c r="D815">
        <v>7</v>
      </c>
      <c r="E815" t="s">
        <v>1864</v>
      </c>
      <c r="F815" t="s">
        <v>211</v>
      </c>
      <c r="G815" t="s">
        <v>1553</v>
      </c>
      <c r="H815" t="s">
        <v>1865</v>
      </c>
      <c r="I815" t="s">
        <v>83</v>
      </c>
      <c r="J815" s="3" t="s">
        <v>1869</v>
      </c>
      <c r="K815" t="s">
        <v>1867</v>
      </c>
      <c r="L815" s="4">
        <v>1</v>
      </c>
      <c r="M815" s="4">
        <v>0</v>
      </c>
      <c r="N815">
        <v>1</v>
      </c>
      <c r="O815" t="s">
        <v>1868</v>
      </c>
      <c r="P815">
        <v>180</v>
      </c>
      <c r="Q815">
        <f>QtyRemaining*EstMfgMin/60</f>
        <v>3</v>
      </c>
      <c r="U815" t="e">
        <f t="shared" si="26"/>
        <v>#REF!</v>
      </c>
      <c r="V815" s="5" t="e">
        <f t="shared" si="27"/>
        <v>#REF!</v>
      </c>
    </row>
    <row r="816" spans="1:22" x14ac:dyDescent="0.25">
      <c r="A816" s="2">
        <v>46062</v>
      </c>
      <c r="B816" s="2">
        <v>45950</v>
      </c>
      <c r="C816" t="s">
        <v>1168</v>
      </c>
      <c r="D816">
        <v>7</v>
      </c>
      <c r="E816" t="s">
        <v>1864</v>
      </c>
      <c r="F816" t="s">
        <v>211</v>
      </c>
      <c r="G816" t="s">
        <v>1553</v>
      </c>
      <c r="H816" t="s">
        <v>1865</v>
      </c>
      <c r="I816" t="s">
        <v>83</v>
      </c>
      <c r="J816" s="3" t="s">
        <v>1870</v>
      </c>
      <c r="K816" t="s">
        <v>1867</v>
      </c>
      <c r="L816" s="4">
        <v>1</v>
      </c>
      <c r="M816" s="4">
        <v>0</v>
      </c>
      <c r="N816">
        <v>1</v>
      </c>
      <c r="O816" t="s">
        <v>1868</v>
      </c>
      <c r="P816">
        <v>180</v>
      </c>
      <c r="Q816">
        <f>QtyRemaining*EstMfgMin/60</f>
        <v>3</v>
      </c>
      <c r="U816" t="e">
        <f t="shared" si="26"/>
        <v>#REF!</v>
      </c>
      <c r="V816" s="5" t="e">
        <f t="shared" si="27"/>
        <v>#REF!</v>
      </c>
    </row>
    <row r="817" spans="1:22" x14ac:dyDescent="0.25">
      <c r="A817" s="2">
        <v>46062</v>
      </c>
      <c r="B817" s="2">
        <v>45950</v>
      </c>
      <c r="C817" t="s">
        <v>1168</v>
      </c>
      <c r="D817">
        <v>7</v>
      </c>
      <c r="E817" t="s">
        <v>1864</v>
      </c>
      <c r="F817" t="s">
        <v>211</v>
      </c>
      <c r="G817" t="s">
        <v>1553</v>
      </c>
      <c r="H817" t="s">
        <v>1865</v>
      </c>
      <c r="I817" t="s">
        <v>83</v>
      </c>
      <c r="J817" s="3" t="s">
        <v>1871</v>
      </c>
      <c r="K817" t="s">
        <v>1872</v>
      </c>
      <c r="L817" s="4">
        <v>1</v>
      </c>
      <c r="M817" s="4">
        <v>0</v>
      </c>
      <c r="N817">
        <v>1</v>
      </c>
      <c r="O817" t="s">
        <v>1868</v>
      </c>
      <c r="P817">
        <v>10</v>
      </c>
      <c r="Q817">
        <f>QtyRemaining*EstMfgMin/60</f>
        <v>0.16666666666666666</v>
      </c>
      <c r="U817" t="e">
        <f t="shared" si="26"/>
        <v>#REF!</v>
      </c>
      <c r="V817" s="5" t="e">
        <f t="shared" si="27"/>
        <v>#REF!</v>
      </c>
    </row>
    <row r="818" spans="1:22" x14ac:dyDescent="0.25">
      <c r="A818" s="2">
        <v>46062</v>
      </c>
      <c r="B818" s="2">
        <v>45980</v>
      </c>
      <c r="C818" t="s">
        <v>232</v>
      </c>
      <c r="D818">
        <v>7</v>
      </c>
      <c r="E818" t="s">
        <v>1873</v>
      </c>
      <c r="F818" t="s">
        <v>211</v>
      </c>
      <c r="G818" t="s">
        <v>1184</v>
      </c>
      <c r="H818" t="s">
        <v>1874</v>
      </c>
      <c r="I818" t="s">
        <v>83</v>
      </c>
      <c r="J818" s="3" t="s">
        <v>1564</v>
      </c>
      <c r="K818" t="s">
        <v>1565</v>
      </c>
      <c r="L818" s="4">
        <v>9</v>
      </c>
      <c r="M818" s="4">
        <v>0</v>
      </c>
      <c r="N818">
        <v>9</v>
      </c>
      <c r="O818" t="s">
        <v>1566</v>
      </c>
      <c r="P818">
        <v>125</v>
      </c>
      <c r="Q818">
        <f>QtyRemaining*EstMfgMin/60</f>
        <v>18.75</v>
      </c>
      <c r="U818" t="e">
        <f t="shared" si="26"/>
        <v>#REF!</v>
      </c>
      <c r="V818" s="5" t="e">
        <f t="shared" si="27"/>
        <v>#REF!</v>
      </c>
    </row>
    <row r="819" spans="1:22" x14ac:dyDescent="0.25">
      <c r="A819" s="2">
        <v>46062</v>
      </c>
      <c r="B819" s="2">
        <v>45993</v>
      </c>
      <c r="C819" t="s">
        <v>287</v>
      </c>
      <c r="D819">
        <v>7</v>
      </c>
      <c r="E819" t="s">
        <v>1875</v>
      </c>
      <c r="F819" t="s">
        <v>211</v>
      </c>
      <c r="G819" t="s">
        <v>289</v>
      </c>
      <c r="H819" t="s">
        <v>1876</v>
      </c>
      <c r="I819" t="s">
        <v>214</v>
      </c>
      <c r="J819" s="3" t="s">
        <v>1877</v>
      </c>
      <c r="K819" t="s">
        <v>1878</v>
      </c>
      <c r="L819" s="4">
        <v>100</v>
      </c>
      <c r="M819" s="4">
        <v>0</v>
      </c>
      <c r="N819">
        <v>100</v>
      </c>
      <c r="O819" t="s">
        <v>457</v>
      </c>
      <c r="P819">
        <v>9</v>
      </c>
      <c r="Q819">
        <f>QtyRemaining*EstMfgMin/60</f>
        <v>15</v>
      </c>
      <c r="U819" t="e">
        <f t="shared" si="26"/>
        <v>#REF!</v>
      </c>
      <c r="V819" s="5" t="e">
        <f t="shared" si="27"/>
        <v>#REF!</v>
      </c>
    </row>
    <row r="820" spans="1:22" x14ac:dyDescent="0.25">
      <c r="A820" s="2">
        <v>46062</v>
      </c>
      <c r="B820" s="2">
        <v>46037</v>
      </c>
      <c r="C820" t="s">
        <v>232</v>
      </c>
      <c r="D820">
        <v>7</v>
      </c>
      <c r="E820" t="s">
        <v>1879</v>
      </c>
      <c r="F820" t="s">
        <v>211</v>
      </c>
      <c r="G820" t="s">
        <v>270</v>
      </c>
      <c r="H820" t="s">
        <v>1880</v>
      </c>
      <c r="I820" t="s">
        <v>214</v>
      </c>
      <c r="J820" s="3" t="s">
        <v>1881</v>
      </c>
      <c r="K820" t="s">
        <v>1882</v>
      </c>
      <c r="L820" s="4">
        <v>30</v>
      </c>
      <c r="M820" s="4">
        <v>0</v>
      </c>
      <c r="N820">
        <v>30</v>
      </c>
      <c r="O820" t="s">
        <v>176</v>
      </c>
      <c r="P820">
        <v>11</v>
      </c>
      <c r="Q820">
        <f>QtyRemaining*EstMfgMin/60</f>
        <v>5.5</v>
      </c>
      <c r="U820" t="e">
        <f t="shared" si="26"/>
        <v>#REF!</v>
      </c>
      <c r="V820" s="5" t="e">
        <f t="shared" si="27"/>
        <v>#REF!</v>
      </c>
    </row>
    <row r="821" spans="1:22" x14ac:dyDescent="0.25">
      <c r="A821" s="2">
        <v>46063</v>
      </c>
      <c r="B821" s="2">
        <v>45632</v>
      </c>
      <c r="C821" t="s">
        <v>478</v>
      </c>
      <c r="D821">
        <v>7</v>
      </c>
      <c r="E821" t="s">
        <v>1137</v>
      </c>
      <c r="F821" t="s">
        <v>261</v>
      </c>
      <c r="G821" t="s">
        <v>510</v>
      </c>
      <c r="H821" t="s">
        <v>1138</v>
      </c>
      <c r="I821" t="s">
        <v>83</v>
      </c>
      <c r="J821" s="3" t="s">
        <v>512</v>
      </c>
      <c r="K821" t="s">
        <v>513</v>
      </c>
      <c r="L821" s="4">
        <v>5</v>
      </c>
      <c r="M821" s="4">
        <v>0</v>
      </c>
      <c r="N821">
        <v>5</v>
      </c>
      <c r="O821" t="s">
        <v>1139</v>
      </c>
      <c r="P821">
        <v>1394</v>
      </c>
      <c r="Q821">
        <f>QtyRemaining*EstMfgMin/60</f>
        <v>116.16666666666667</v>
      </c>
      <c r="U821" t="e">
        <f t="shared" si="26"/>
        <v>#REF!</v>
      </c>
      <c r="V821" s="5" t="e">
        <f t="shared" si="27"/>
        <v>#REF!</v>
      </c>
    </row>
    <row r="822" spans="1:22" x14ac:dyDescent="0.25">
      <c r="A822" s="2">
        <v>46063</v>
      </c>
      <c r="B822" s="2">
        <v>45798</v>
      </c>
      <c r="C822" t="s">
        <v>232</v>
      </c>
      <c r="D822">
        <v>7</v>
      </c>
      <c r="E822" t="s">
        <v>1883</v>
      </c>
      <c r="F822" t="s">
        <v>211</v>
      </c>
      <c r="G822" t="s">
        <v>1184</v>
      </c>
      <c r="H822" t="s">
        <v>1884</v>
      </c>
      <c r="I822" t="s">
        <v>83</v>
      </c>
      <c r="J822" s="3" t="s">
        <v>1885</v>
      </c>
      <c r="K822" t="s">
        <v>1886</v>
      </c>
      <c r="L822" s="4">
        <v>63</v>
      </c>
      <c r="M822" s="4">
        <v>0</v>
      </c>
      <c r="N822">
        <v>63</v>
      </c>
      <c r="O822" t="s">
        <v>643</v>
      </c>
      <c r="P822">
        <v>65</v>
      </c>
      <c r="Q822">
        <f>QtyRemaining*EstMfgMin/60</f>
        <v>68.25</v>
      </c>
      <c r="U822" t="e">
        <f t="shared" si="26"/>
        <v>#REF!</v>
      </c>
      <c r="V822" s="5" t="e">
        <f t="shared" si="27"/>
        <v>#REF!</v>
      </c>
    </row>
    <row r="823" spans="1:22" x14ac:dyDescent="0.25">
      <c r="A823" s="2">
        <v>46063</v>
      </c>
      <c r="B823" s="2">
        <v>45875</v>
      </c>
      <c r="C823" t="s">
        <v>485</v>
      </c>
      <c r="D823">
        <v>7</v>
      </c>
      <c r="E823" t="s">
        <v>1887</v>
      </c>
      <c r="F823" t="s">
        <v>211</v>
      </c>
      <c r="G823" t="s">
        <v>864</v>
      </c>
      <c r="H823" t="s">
        <v>1888</v>
      </c>
      <c r="I823" t="s">
        <v>214</v>
      </c>
      <c r="J823" s="3" t="s">
        <v>1889</v>
      </c>
      <c r="K823" t="s">
        <v>1890</v>
      </c>
      <c r="L823" s="4">
        <v>100</v>
      </c>
      <c r="M823" s="4">
        <v>0</v>
      </c>
      <c r="N823">
        <v>100</v>
      </c>
      <c r="O823" t="s">
        <v>211</v>
      </c>
      <c r="P823">
        <v>5</v>
      </c>
      <c r="Q823">
        <f>QtyRemaining*EstMfgMin/60</f>
        <v>8.3333333333333339</v>
      </c>
      <c r="U823" t="e">
        <f t="shared" si="26"/>
        <v>#REF!</v>
      </c>
      <c r="V823" s="5" t="e">
        <f t="shared" si="27"/>
        <v>#REF!</v>
      </c>
    </row>
    <row r="824" spans="1:22" x14ac:dyDescent="0.25">
      <c r="A824" s="2">
        <v>46063</v>
      </c>
      <c r="B824" s="2">
        <v>45939</v>
      </c>
      <c r="C824" t="s">
        <v>485</v>
      </c>
      <c r="D824">
        <v>7</v>
      </c>
      <c r="E824" t="s">
        <v>1891</v>
      </c>
      <c r="F824" t="s">
        <v>211</v>
      </c>
      <c r="G824" t="s">
        <v>864</v>
      </c>
      <c r="H824" t="s">
        <v>1892</v>
      </c>
      <c r="I824" t="s">
        <v>214</v>
      </c>
      <c r="J824" s="3" t="s">
        <v>1893</v>
      </c>
      <c r="K824" t="s">
        <v>1894</v>
      </c>
      <c r="L824" s="4">
        <v>40</v>
      </c>
      <c r="M824" s="4">
        <v>0</v>
      </c>
      <c r="N824">
        <v>40</v>
      </c>
      <c r="O824" t="s">
        <v>211</v>
      </c>
      <c r="P824">
        <v>10</v>
      </c>
      <c r="Q824">
        <f>QtyRemaining*EstMfgMin/60</f>
        <v>6.666666666666667</v>
      </c>
      <c r="U824" t="e">
        <f t="shared" si="26"/>
        <v>#REF!</v>
      </c>
      <c r="V824" s="5" t="e">
        <f t="shared" si="27"/>
        <v>#REF!</v>
      </c>
    </row>
    <row r="825" spans="1:22" x14ac:dyDescent="0.25">
      <c r="A825" s="2">
        <v>46063</v>
      </c>
      <c r="B825" s="2">
        <v>46045</v>
      </c>
      <c r="C825" t="s">
        <v>485</v>
      </c>
      <c r="D825">
        <v>7</v>
      </c>
      <c r="E825" t="s">
        <v>1895</v>
      </c>
      <c r="F825" t="s">
        <v>211</v>
      </c>
      <c r="G825" t="s">
        <v>1217</v>
      </c>
      <c r="H825" t="s">
        <v>1896</v>
      </c>
      <c r="I825" t="s">
        <v>214</v>
      </c>
      <c r="J825" s="3" t="s">
        <v>1897</v>
      </c>
      <c r="K825" t="s">
        <v>1898</v>
      </c>
      <c r="L825" s="4">
        <v>100</v>
      </c>
      <c r="M825" s="4">
        <v>0</v>
      </c>
      <c r="N825">
        <v>100</v>
      </c>
      <c r="O825" t="s">
        <v>283</v>
      </c>
      <c r="P825">
        <v>1</v>
      </c>
      <c r="Q825">
        <f>QtyRemaining*EstMfgMin/60</f>
        <v>1.6666666666666667</v>
      </c>
      <c r="U825" t="e">
        <f t="shared" si="26"/>
        <v>#REF!</v>
      </c>
      <c r="V825" s="5" t="e">
        <f t="shared" si="27"/>
        <v>#REF!</v>
      </c>
    </row>
    <row r="826" spans="1:22" x14ac:dyDescent="0.25">
      <c r="A826" s="2">
        <v>46063</v>
      </c>
      <c r="B826" s="2">
        <v>46051</v>
      </c>
      <c r="C826" t="s">
        <v>1168</v>
      </c>
      <c r="D826">
        <v>7</v>
      </c>
      <c r="E826" t="s">
        <v>1899</v>
      </c>
      <c r="F826" t="s">
        <v>283</v>
      </c>
      <c r="G826" t="s">
        <v>1170</v>
      </c>
      <c r="H826" t="s">
        <v>1900</v>
      </c>
      <c r="I826" t="s">
        <v>1172</v>
      </c>
      <c r="J826" s="3" t="s">
        <v>1709</v>
      </c>
      <c r="K826" t="s">
        <v>1901</v>
      </c>
      <c r="L826" s="4">
        <v>200</v>
      </c>
      <c r="M826" s="4">
        <v>0</v>
      </c>
      <c r="N826">
        <v>200</v>
      </c>
      <c r="O826" t="s">
        <v>176</v>
      </c>
      <c r="P826">
        <v>4</v>
      </c>
      <c r="Q826">
        <f>QtyRemaining*EstMfgMin/60</f>
        <v>13.333333333333334</v>
      </c>
      <c r="U826" t="e">
        <f t="shared" si="26"/>
        <v>#REF!</v>
      </c>
      <c r="V826" s="5" t="e">
        <f t="shared" si="27"/>
        <v>#REF!</v>
      </c>
    </row>
    <row r="827" spans="1:22" x14ac:dyDescent="0.25">
      <c r="A827" s="2">
        <v>46064</v>
      </c>
      <c r="B827" s="2">
        <v>45950</v>
      </c>
      <c r="C827" t="s">
        <v>485</v>
      </c>
      <c r="D827">
        <v>7</v>
      </c>
      <c r="E827" t="s">
        <v>1902</v>
      </c>
      <c r="F827" t="s">
        <v>211</v>
      </c>
      <c r="G827" t="s">
        <v>864</v>
      </c>
      <c r="H827" t="s">
        <v>1903</v>
      </c>
      <c r="I827" t="s">
        <v>214</v>
      </c>
      <c r="J827" s="3" t="s">
        <v>1904</v>
      </c>
      <c r="K827" t="s">
        <v>1905</v>
      </c>
      <c r="L827" s="4">
        <v>5</v>
      </c>
      <c r="M827" s="4">
        <v>0</v>
      </c>
      <c r="N827">
        <v>5</v>
      </c>
      <c r="O827" t="s">
        <v>514</v>
      </c>
      <c r="P827">
        <v>73</v>
      </c>
      <c r="Q827">
        <f>QtyRemaining*EstMfgMin/60</f>
        <v>6.083333333333333</v>
      </c>
      <c r="U827" t="e">
        <f t="shared" si="26"/>
        <v>#REF!</v>
      </c>
      <c r="V827" s="5" t="e">
        <f t="shared" si="27"/>
        <v>#REF!</v>
      </c>
    </row>
    <row r="828" spans="1:22" x14ac:dyDescent="0.25">
      <c r="A828" s="2">
        <v>46064</v>
      </c>
      <c r="B828" s="2">
        <v>45950</v>
      </c>
      <c r="C828" t="s">
        <v>485</v>
      </c>
      <c r="D828">
        <v>7</v>
      </c>
      <c r="E828" t="s">
        <v>1902</v>
      </c>
      <c r="F828" t="s">
        <v>211</v>
      </c>
      <c r="G828" t="s">
        <v>864</v>
      </c>
      <c r="H828" t="s">
        <v>1903</v>
      </c>
      <c r="I828" t="s">
        <v>214</v>
      </c>
      <c r="J828" s="3" t="s">
        <v>1906</v>
      </c>
      <c r="K828" t="s">
        <v>1907</v>
      </c>
      <c r="L828" s="4">
        <v>40</v>
      </c>
      <c r="M828" s="4">
        <v>0</v>
      </c>
      <c r="N828">
        <v>40</v>
      </c>
      <c r="O828" t="s">
        <v>211</v>
      </c>
      <c r="P828">
        <v>8</v>
      </c>
      <c r="Q828">
        <f>QtyRemaining*EstMfgMin/60</f>
        <v>5.333333333333333</v>
      </c>
      <c r="U828" t="e">
        <f t="shared" si="26"/>
        <v>#REF!</v>
      </c>
      <c r="V828" s="5" t="e">
        <f t="shared" si="27"/>
        <v>#REF!</v>
      </c>
    </row>
    <row r="829" spans="1:22" x14ac:dyDescent="0.25">
      <c r="A829" s="2">
        <v>46064</v>
      </c>
      <c r="B829" s="2">
        <v>45958</v>
      </c>
      <c r="C829" t="s">
        <v>570</v>
      </c>
      <c r="D829">
        <v>7</v>
      </c>
      <c r="E829" t="s">
        <v>810</v>
      </c>
      <c r="F829" t="s">
        <v>261</v>
      </c>
      <c r="G829" t="s">
        <v>811</v>
      </c>
      <c r="H829" t="s">
        <v>812</v>
      </c>
      <c r="I829" t="s">
        <v>83</v>
      </c>
      <c r="J829" s="3" t="s">
        <v>1175</v>
      </c>
      <c r="K829" t="s">
        <v>950</v>
      </c>
      <c r="L829" s="4">
        <v>9</v>
      </c>
      <c r="M829" s="4">
        <v>0</v>
      </c>
      <c r="N829">
        <v>9</v>
      </c>
      <c r="O829" t="s">
        <v>457</v>
      </c>
      <c r="P829">
        <v>460</v>
      </c>
      <c r="Q829">
        <f>QtyRemaining*EstMfgMin/60</f>
        <v>69</v>
      </c>
      <c r="U829" t="e">
        <f t="shared" si="26"/>
        <v>#REF!</v>
      </c>
      <c r="V829" s="5" t="e">
        <f t="shared" si="27"/>
        <v>#REF!</v>
      </c>
    </row>
    <row r="830" spans="1:22" x14ac:dyDescent="0.25">
      <c r="A830" s="2">
        <v>46064</v>
      </c>
      <c r="B830" s="2">
        <v>45958</v>
      </c>
      <c r="C830" t="s">
        <v>570</v>
      </c>
      <c r="D830">
        <v>7</v>
      </c>
      <c r="E830" t="s">
        <v>810</v>
      </c>
      <c r="F830" t="s">
        <v>261</v>
      </c>
      <c r="G830" t="s">
        <v>811</v>
      </c>
      <c r="H830" t="s">
        <v>812</v>
      </c>
      <c r="I830" t="s">
        <v>83</v>
      </c>
      <c r="J830" s="3" t="s">
        <v>1908</v>
      </c>
      <c r="K830" t="s">
        <v>950</v>
      </c>
      <c r="L830" s="4">
        <v>7</v>
      </c>
      <c r="M830" s="4">
        <v>0</v>
      </c>
      <c r="N830">
        <v>7</v>
      </c>
      <c r="O830" t="s">
        <v>94</v>
      </c>
      <c r="P830">
        <v>475</v>
      </c>
      <c r="Q830">
        <f>QtyRemaining*EstMfgMin/60</f>
        <v>55.416666666666664</v>
      </c>
      <c r="U830" t="e">
        <f t="shared" si="26"/>
        <v>#REF!</v>
      </c>
      <c r="V830" s="5" t="e">
        <f t="shared" si="27"/>
        <v>#REF!</v>
      </c>
    </row>
    <row r="831" spans="1:22" x14ac:dyDescent="0.25">
      <c r="A831" s="2">
        <v>46064</v>
      </c>
      <c r="B831" s="2">
        <v>45981</v>
      </c>
      <c r="C831" t="s">
        <v>478</v>
      </c>
      <c r="D831">
        <v>7</v>
      </c>
      <c r="E831" t="s">
        <v>1909</v>
      </c>
      <c r="F831" t="s">
        <v>261</v>
      </c>
      <c r="G831" t="s">
        <v>670</v>
      </c>
      <c r="H831" t="s">
        <v>1910</v>
      </c>
      <c r="I831" t="s">
        <v>83</v>
      </c>
      <c r="J831" s="3" t="s">
        <v>1911</v>
      </c>
      <c r="K831" t="s">
        <v>1912</v>
      </c>
      <c r="L831" s="4">
        <v>210</v>
      </c>
      <c r="M831" s="4">
        <v>0</v>
      </c>
      <c r="N831">
        <v>210</v>
      </c>
      <c r="O831" t="s">
        <v>176</v>
      </c>
      <c r="P831">
        <v>15</v>
      </c>
      <c r="Q831">
        <f>QtyRemaining*EstMfgMin/60</f>
        <v>52.5</v>
      </c>
      <c r="U831" t="e">
        <f t="shared" si="26"/>
        <v>#REF!</v>
      </c>
      <c r="V831" s="5" t="e">
        <f t="shared" si="27"/>
        <v>#REF!</v>
      </c>
    </row>
    <row r="832" spans="1:22" x14ac:dyDescent="0.25">
      <c r="A832" s="2">
        <v>46064</v>
      </c>
      <c r="B832" s="2">
        <v>45981</v>
      </c>
      <c r="C832" t="s">
        <v>478</v>
      </c>
      <c r="D832">
        <v>7</v>
      </c>
      <c r="E832" t="s">
        <v>1909</v>
      </c>
      <c r="F832" t="s">
        <v>261</v>
      </c>
      <c r="G832" t="s">
        <v>670</v>
      </c>
      <c r="H832" t="s">
        <v>1910</v>
      </c>
      <c r="I832" t="s">
        <v>83</v>
      </c>
      <c r="J832" s="3" t="s">
        <v>1913</v>
      </c>
      <c r="K832" t="s">
        <v>1912</v>
      </c>
      <c r="L832" s="4">
        <v>69</v>
      </c>
      <c r="M832" s="4">
        <v>0</v>
      </c>
      <c r="N832">
        <v>69</v>
      </c>
      <c r="O832" t="s">
        <v>176</v>
      </c>
      <c r="P832">
        <v>15</v>
      </c>
      <c r="Q832">
        <f>QtyRemaining*EstMfgMin/60</f>
        <v>17.25</v>
      </c>
      <c r="U832" t="e">
        <f t="shared" si="26"/>
        <v>#REF!</v>
      </c>
      <c r="V832" s="5" t="e">
        <f t="shared" si="27"/>
        <v>#REF!</v>
      </c>
    </row>
    <row r="833" spans="1:22" x14ac:dyDescent="0.25">
      <c r="A833" s="2">
        <v>46064</v>
      </c>
      <c r="B833" s="2">
        <v>45981</v>
      </c>
      <c r="C833" t="s">
        <v>478</v>
      </c>
      <c r="D833">
        <v>7</v>
      </c>
      <c r="E833" t="s">
        <v>1909</v>
      </c>
      <c r="F833" t="s">
        <v>261</v>
      </c>
      <c r="G833" t="s">
        <v>670</v>
      </c>
      <c r="H833" t="s">
        <v>1910</v>
      </c>
      <c r="I833" t="s">
        <v>83</v>
      </c>
      <c r="J833" s="3" t="s">
        <v>1914</v>
      </c>
      <c r="K833" t="s">
        <v>1915</v>
      </c>
      <c r="L833" s="4">
        <v>210</v>
      </c>
      <c r="M833" s="4">
        <v>0</v>
      </c>
      <c r="N833">
        <v>210</v>
      </c>
      <c r="O833" t="s">
        <v>176</v>
      </c>
      <c r="P833">
        <v>15</v>
      </c>
      <c r="Q833">
        <f>QtyRemaining*EstMfgMin/60</f>
        <v>52.5</v>
      </c>
      <c r="U833" t="e">
        <f t="shared" si="26"/>
        <v>#REF!</v>
      </c>
      <c r="V833" s="5" t="e">
        <f t="shared" si="27"/>
        <v>#REF!</v>
      </c>
    </row>
    <row r="834" spans="1:22" x14ac:dyDescent="0.25">
      <c r="A834" s="2">
        <v>46064</v>
      </c>
      <c r="B834" s="2">
        <v>45981</v>
      </c>
      <c r="C834" t="s">
        <v>478</v>
      </c>
      <c r="D834">
        <v>7</v>
      </c>
      <c r="E834" t="s">
        <v>1909</v>
      </c>
      <c r="F834" t="s">
        <v>261</v>
      </c>
      <c r="G834" t="s">
        <v>670</v>
      </c>
      <c r="H834" t="s">
        <v>1910</v>
      </c>
      <c r="I834" t="s">
        <v>83</v>
      </c>
      <c r="J834" s="3" t="s">
        <v>1916</v>
      </c>
      <c r="K834" t="s">
        <v>1915</v>
      </c>
      <c r="L834" s="4">
        <v>69</v>
      </c>
      <c r="M834" s="4">
        <v>0</v>
      </c>
      <c r="N834">
        <v>69</v>
      </c>
      <c r="O834" t="s">
        <v>176</v>
      </c>
      <c r="P834">
        <v>15</v>
      </c>
      <c r="Q834">
        <f>QtyRemaining*EstMfgMin/60</f>
        <v>17.25</v>
      </c>
      <c r="U834" t="e">
        <f t="shared" si="26"/>
        <v>#REF!</v>
      </c>
      <c r="V834" s="5" t="e">
        <f t="shared" si="27"/>
        <v>#REF!</v>
      </c>
    </row>
    <row r="835" spans="1:22" x14ac:dyDescent="0.25">
      <c r="A835" s="2">
        <v>46064</v>
      </c>
      <c r="B835" s="2">
        <v>45981</v>
      </c>
      <c r="C835" t="s">
        <v>478</v>
      </c>
      <c r="D835">
        <v>7</v>
      </c>
      <c r="E835" t="s">
        <v>1909</v>
      </c>
      <c r="F835" t="s">
        <v>261</v>
      </c>
      <c r="G835" t="s">
        <v>670</v>
      </c>
      <c r="H835" t="s">
        <v>1910</v>
      </c>
      <c r="I835" t="s">
        <v>83</v>
      </c>
      <c r="J835" s="3" t="s">
        <v>1917</v>
      </c>
      <c r="K835" t="s">
        <v>1918</v>
      </c>
      <c r="L835" s="4">
        <v>210</v>
      </c>
      <c r="M835" s="4">
        <v>0</v>
      </c>
      <c r="N835">
        <v>210</v>
      </c>
      <c r="O835" t="s">
        <v>176</v>
      </c>
      <c r="P835">
        <v>15</v>
      </c>
      <c r="Q835">
        <f>QtyRemaining*EstMfgMin/60</f>
        <v>52.5</v>
      </c>
      <c r="U835" t="e">
        <f t="shared" ref="U835:U898" si="28">VLOOKUP(A835,Calendar,13,FALSE)</f>
        <v>#REF!</v>
      </c>
      <c r="V835" s="5" t="e">
        <f t="shared" ref="V835:V898" si="29">VLOOKUP(A835,Calendar,14,FALSE)</f>
        <v>#REF!</v>
      </c>
    </row>
    <row r="836" spans="1:22" x14ac:dyDescent="0.25">
      <c r="A836" s="2">
        <v>46064</v>
      </c>
      <c r="B836" s="2">
        <v>45981</v>
      </c>
      <c r="C836" t="s">
        <v>478</v>
      </c>
      <c r="D836">
        <v>7</v>
      </c>
      <c r="E836" t="s">
        <v>1909</v>
      </c>
      <c r="F836" t="s">
        <v>261</v>
      </c>
      <c r="G836" t="s">
        <v>670</v>
      </c>
      <c r="H836" t="s">
        <v>1910</v>
      </c>
      <c r="I836" t="s">
        <v>83</v>
      </c>
      <c r="J836" s="3" t="s">
        <v>1919</v>
      </c>
      <c r="K836" t="s">
        <v>1918</v>
      </c>
      <c r="L836" s="4">
        <v>69</v>
      </c>
      <c r="M836" s="4">
        <v>0</v>
      </c>
      <c r="N836">
        <v>69</v>
      </c>
      <c r="O836" t="s">
        <v>176</v>
      </c>
      <c r="P836">
        <v>15</v>
      </c>
      <c r="Q836">
        <f>QtyRemaining*EstMfgMin/60</f>
        <v>17.25</v>
      </c>
      <c r="U836" t="e">
        <f t="shared" si="28"/>
        <v>#REF!</v>
      </c>
      <c r="V836" s="5" t="e">
        <f t="shared" si="29"/>
        <v>#REF!</v>
      </c>
    </row>
    <row r="837" spans="1:22" x14ac:dyDescent="0.25">
      <c r="A837" s="2">
        <v>46064</v>
      </c>
      <c r="B837" s="2">
        <v>45981</v>
      </c>
      <c r="C837" t="s">
        <v>478</v>
      </c>
      <c r="D837">
        <v>7</v>
      </c>
      <c r="E837" t="s">
        <v>1909</v>
      </c>
      <c r="F837" t="s">
        <v>261</v>
      </c>
      <c r="G837" t="s">
        <v>670</v>
      </c>
      <c r="H837" t="s">
        <v>1910</v>
      </c>
      <c r="I837" t="s">
        <v>83</v>
      </c>
      <c r="J837" s="3" t="s">
        <v>1920</v>
      </c>
      <c r="K837" t="s">
        <v>1921</v>
      </c>
      <c r="L837" s="4">
        <v>22</v>
      </c>
      <c r="M837" s="4">
        <v>0</v>
      </c>
      <c r="N837">
        <v>22</v>
      </c>
      <c r="O837" t="s">
        <v>176</v>
      </c>
      <c r="P837">
        <v>15</v>
      </c>
      <c r="Q837">
        <f>QtyRemaining*EstMfgMin/60</f>
        <v>5.5</v>
      </c>
      <c r="U837" t="e">
        <f t="shared" si="28"/>
        <v>#REF!</v>
      </c>
      <c r="V837" s="5" t="e">
        <f t="shared" si="29"/>
        <v>#REF!</v>
      </c>
    </row>
    <row r="838" spans="1:22" x14ac:dyDescent="0.25">
      <c r="A838" s="2">
        <v>46064</v>
      </c>
      <c r="B838" s="2">
        <v>45981</v>
      </c>
      <c r="C838" t="s">
        <v>478</v>
      </c>
      <c r="D838">
        <v>7</v>
      </c>
      <c r="E838" t="s">
        <v>1909</v>
      </c>
      <c r="F838" t="s">
        <v>261</v>
      </c>
      <c r="G838" t="s">
        <v>670</v>
      </c>
      <c r="H838" t="s">
        <v>1910</v>
      </c>
      <c r="I838" t="s">
        <v>83</v>
      </c>
      <c r="J838" s="3" t="s">
        <v>1922</v>
      </c>
      <c r="K838" t="s">
        <v>1923</v>
      </c>
      <c r="L838" s="4">
        <v>22</v>
      </c>
      <c r="M838" s="4">
        <v>0</v>
      </c>
      <c r="N838">
        <v>22</v>
      </c>
      <c r="O838" t="s">
        <v>176</v>
      </c>
      <c r="P838">
        <v>15</v>
      </c>
      <c r="Q838">
        <f>QtyRemaining*EstMfgMin/60</f>
        <v>5.5</v>
      </c>
      <c r="U838" t="e">
        <f t="shared" si="28"/>
        <v>#REF!</v>
      </c>
      <c r="V838" s="5" t="e">
        <f t="shared" si="29"/>
        <v>#REF!</v>
      </c>
    </row>
    <row r="839" spans="1:22" x14ac:dyDescent="0.25">
      <c r="A839" s="2">
        <v>46064</v>
      </c>
      <c r="B839" s="2">
        <v>45981</v>
      </c>
      <c r="C839" t="s">
        <v>478</v>
      </c>
      <c r="D839">
        <v>7</v>
      </c>
      <c r="E839" t="s">
        <v>1909</v>
      </c>
      <c r="F839" t="s">
        <v>261</v>
      </c>
      <c r="G839" t="s">
        <v>670</v>
      </c>
      <c r="H839" t="s">
        <v>1910</v>
      </c>
      <c r="I839" t="s">
        <v>83</v>
      </c>
      <c r="J839" s="3" t="s">
        <v>1924</v>
      </c>
      <c r="K839" t="s">
        <v>1925</v>
      </c>
      <c r="L839" s="4">
        <v>22</v>
      </c>
      <c r="M839" s="4">
        <v>0</v>
      </c>
      <c r="N839">
        <v>22</v>
      </c>
      <c r="O839" t="s">
        <v>176</v>
      </c>
      <c r="P839">
        <v>15</v>
      </c>
      <c r="Q839">
        <f>QtyRemaining*EstMfgMin/60</f>
        <v>5.5</v>
      </c>
      <c r="U839" t="e">
        <f t="shared" si="28"/>
        <v>#REF!</v>
      </c>
      <c r="V839" s="5" t="e">
        <f t="shared" si="29"/>
        <v>#REF!</v>
      </c>
    </row>
    <row r="840" spans="1:22" x14ac:dyDescent="0.25">
      <c r="A840" s="2">
        <v>46064</v>
      </c>
      <c r="B840" s="2">
        <v>46030</v>
      </c>
      <c r="C840" t="s">
        <v>1168</v>
      </c>
      <c r="D840">
        <v>7</v>
      </c>
      <c r="E840" t="s">
        <v>1926</v>
      </c>
      <c r="F840" t="s">
        <v>283</v>
      </c>
      <c r="G840" t="s">
        <v>1170</v>
      </c>
      <c r="H840" t="s">
        <v>1927</v>
      </c>
      <c r="I840" t="s">
        <v>1172</v>
      </c>
      <c r="J840" s="3" t="s">
        <v>1928</v>
      </c>
      <c r="K840" t="s">
        <v>1929</v>
      </c>
      <c r="L840" s="4">
        <v>50</v>
      </c>
      <c r="M840" s="4">
        <v>0</v>
      </c>
      <c r="N840">
        <v>50</v>
      </c>
      <c r="O840" t="s">
        <v>86</v>
      </c>
      <c r="P840">
        <v>0.2</v>
      </c>
      <c r="Q840">
        <f>QtyRemaining*EstMfgMin/60</f>
        <v>0.16666666666666666</v>
      </c>
      <c r="U840" t="e">
        <f t="shared" si="28"/>
        <v>#REF!</v>
      </c>
      <c r="V840" s="5" t="e">
        <f t="shared" si="29"/>
        <v>#REF!</v>
      </c>
    </row>
    <row r="841" spans="1:22" x14ac:dyDescent="0.25">
      <c r="A841" s="2">
        <v>46064</v>
      </c>
      <c r="B841" s="2">
        <v>46034</v>
      </c>
      <c r="C841" t="s">
        <v>221</v>
      </c>
      <c r="D841">
        <v>7</v>
      </c>
      <c r="E841" t="s">
        <v>1730</v>
      </c>
      <c r="F841" t="s">
        <v>211</v>
      </c>
      <c r="G841" t="s">
        <v>1731</v>
      </c>
      <c r="H841" t="s">
        <v>1732</v>
      </c>
      <c r="I841" t="s">
        <v>256</v>
      </c>
      <c r="J841" s="3" t="s">
        <v>1930</v>
      </c>
      <c r="K841" t="s">
        <v>1931</v>
      </c>
      <c r="L841" s="4">
        <v>200</v>
      </c>
      <c r="M841" s="4">
        <v>0</v>
      </c>
      <c r="N841">
        <v>200</v>
      </c>
      <c r="O841" t="s">
        <v>86</v>
      </c>
      <c r="P841">
        <v>2</v>
      </c>
      <c r="Q841">
        <f>QtyRemaining*EstMfgMin/60</f>
        <v>6.666666666666667</v>
      </c>
      <c r="U841" t="e">
        <f t="shared" si="28"/>
        <v>#REF!</v>
      </c>
      <c r="V841" s="5" t="e">
        <f t="shared" si="29"/>
        <v>#REF!</v>
      </c>
    </row>
    <row r="842" spans="1:22" x14ac:dyDescent="0.25">
      <c r="A842" s="2">
        <v>46064</v>
      </c>
      <c r="B842" s="2">
        <v>46050</v>
      </c>
      <c r="C842" t="s">
        <v>465</v>
      </c>
      <c r="D842">
        <v>7</v>
      </c>
      <c r="E842" t="s">
        <v>1932</v>
      </c>
      <c r="F842" t="s">
        <v>211</v>
      </c>
      <c r="G842" t="s">
        <v>1338</v>
      </c>
      <c r="H842" t="s">
        <v>1933</v>
      </c>
      <c r="I842" t="s">
        <v>214</v>
      </c>
      <c r="J842" s="3" t="s">
        <v>1934</v>
      </c>
      <c r="K842" t="s">
        <v>1935</v>
      </c>
      <c r="L842" s="4">
        <v>3</v>
      </c>
      <c r="M842" s="4">
        <v>0</v>
      </c>
      <c r="N842">
        <v>3</v>
      </c>
      <c r="O842" t="s">
        <v>1936</v>
      </c>
      <c r="P842">
        <v>33</v>
      </c>
      <c r="Q842">
        <f>QtyRemaining*EstMfgMin/60</f>
        <v>1.65</v>
      </c>
      <c r="U842" t="e">
        <f t="shared" si="28"/>
        <v>#REF!</v>
      </c>
      <c r="V842" s="5" t="e">
        <f t="shared" si="29"/>
        <v>#REF!</v>
      </c>
    </row>
    <row r="843" spans="1:22" x14ac:dyDescent="0.25">
      <c r="A843" s="2">
        <v>46065</v>
      </c>
      <c r="B843" s="2">
        <v>45975</v>
      </c>
      <c r="C843" t="s">
        <v>1168</v>
      </c>
      <c r="D843">
        <v>7</v>
      </c>
      <c r="E843" t="s">
        <v>1937</v>
      </c>
      <c r="F843" t="s">
        <v>283</v>
      </c>
      <c r="G843" t="s">
        <v>1170</v>
      </c>
      <c r="H843" t="s">
        <v>1938</v>
      </c>
      <c r="I843" t="s">
        <v>1172</v>
      </c>
      <c r="J843" s="3" t="s">
        <v>1939</v>
      </c>
      <c r="K843" t="s">
        <v>1940</v>
      </c>
      <c r="L843" s="4">
        <v>100</v>
      </c>
      <c r="M843" s="4">
        <v>0</v>
      </c>
      <c r="N843">
        <v>100</v>
      </c>
      <c r="O843" t="s">
        <v>176</v>
      </c>
      <c r="P843">
        <v>6</v>
      </c>
      <c r="Q843">
        <f>QtyRemaining*EstMfgMin/60</f>
        <v>10</v>
      </c>
      <c r="U843" t="e">
        <f t="shared" si="28"/>
        <v>#REF!</v>
      </c>
      <c r="V843" s="5" t="e">
        <f t="shared" si="29"/>
        <v>#REF!</v>
      </c>
    </row>
    <row r="844" spans="1:22" x14ac:dyDescent="0.25">
      <c r="A844" s="2">
        <v>46065</v>
      </c>
      <c r="B844" s="2">
        <v>46014</v>
      </c>
      <c r="C844" t="s">
        <v>465</v>
      </c>
      <c r="D844">
        <v>7</v>
      </c>
      <c r="E844" t="s">
        <v>1941</v>
      </c>
      <c r="F844" t="s">
        <v>211</v>
      </c>
      <c r="G844" t="s">
        <v>467</v>
      </c>
      <c r="H844" t="s">
        <v>1942</v>
      </c>
      <c r="I844" t="s">
        <v>214</v>
      </c>
      <c r="J844" s="3" t="s">
        <v>1508</v>
      </c>
      <c r="K844" t="s">
        <v>1509</v>
      </c>
      <c r="L844" s="4">
        <v>2</v>
      </c>
      <c r="M844" s="4">
        <v>0</v>
      </c>
      <c r="N844">
        <v>2</v>
      </c>
      <c r="O844" t="s">
        <v>266</v>
      </c>
      <c r="P844">
        <v>60</v>
      </c>
      <c r="Q844">
        <f>QtyRemaining*EstMfgMin/60</f>
        <v>2</v>
      </c>
      <c r="U844" t="e">
        <f t="shared" si="28"/>
        <v>#REF!</v>
      </c>
      <c r="V844" s="5" t="e">
        <f t="shared" si="29"/>
        <v>#REF!</v>
      </c>
    </row>
    <row r="845" spans="1:22" x14ac:dyDescent="0.25">
      <c r="A845" s="2">
        <v>46065</v>
      </c>
      <c r="B845" s="2">
        <v>46031</v>
      </c>
      <c r="C845" t="s">
        <v>1168</v>
      </c>
      <c r="D845">
        <v>7</v>
      </c>
      <c r="E845" t="s">
        <v>1943</v>
      </c>
      <c r="F845" t="s">
        <v>283</v>
      </c>
      <c r="G845" t="s">
        <v>1170</v>
      </c>
      <c r="H845" t="s">
        <v>1944</v>
      </c>
      <c r="I845" t="s">
        <v>224</v>
      </c>
      <c r="J845" s="3" t="s">
        <v>1945</v>
      </c>
      <c r="K845" t="s">
        <v>1946</v>
      </c>
      <c r="L845" s="4">
        <v>20</v>
      </c>
      <c r="M845" s="4">
        <v>0</v>
      </c>
      <c r="N845">
        <v>20</v>
      </c>
      <c r="O845" t="s">
        <v>1947</v>
      </c>
      <c r="P845">
        <v>74</v>
      </c>
      <c r="Q845">
        <f>QtyRemaining*EstMfgMin/60</f>
        <v>24.666666666666668</v>
      </c>
      <c r="U845" t="e">
        <f t="shared" si="28"/>
        <v>#REF!</v>
      </c>
      <c r="V845" s="5" t="e">
        <f t="shared" si="29"/>
        <v>#REF!</v>
      </c>
    </row>
    <row r="846" spans="1:22" x14ac:dyDescent="0.25">
      <c r="A846" s="2">
        <v>46065</v>
      </c>
      <c r="B846" s="2">
        <v>46050</v>
      </c>
      <c r="C846" t="s">
        <v>485</v>
      </c>
      <c r="D846">
        <v>7</v>
      </c>
      <c r="E846" t="s">
        <v>1948</v>
      </c>
      <c r="F846" t="s">
        <v>211</v>
      </c>
      <c r="G846" t="s">
        <v>1147</v>
      </c>
      <c r="H846" t="s">
        <v>1949</v>
      </c>
      <c r="I846" t="s">
        <v>214</v>
      </c>
      <c r="J846" s="3" t="s">
        <v>1950</v>
      </c>
      <c r="K846" t="s">
        <v>1951</v>
      </c>
      <c r="L846" s="4">
        <v>6</v>
      </c>
      <c r="M846" s="4">
        <v>0</v>
      </c>
      <c r="N846">
        <v>6</v>
      </c>
      <c r="O846" t="s">
        <v>146</v>
      </c>
      <c r="P846">
        <v>20</v>
      </c>
      <c r="Q846">
        <f>QtyRemaining*EstMfgMin/60</f>
        <v>2</v>
      </c>
      <c r="U846" t="e">
        <f t="shared" si="28"/>
        <v>#REF!</v>
      </c>
      <c r="V846" s="5" t="e">
        <f t="shared" si="29"/>
        <v>#REF!</v>
      </c>
    </row>
    <row r="847" spans="1:22" x14ac:dyDescent="0.25">
      <c r="A847" s="2">
        <v>46065</v>
      </c>
      <c r="B847" s="2">
        <v>46050</v>
      </c>
      <c r="C847" t="s">
        <v>485</v>
      </c>
      <c r="D847">
        <v>7</v>
      </c>
      <c r="E847" t="s">
        <v>1952</v>
      </c>
      <c r="F847" t="s">
        <v>211</v>
      </c>
      <c r="G847" t="s">
        <v>1147</v>
      </c>
      <c r="H847" t="s">
        <v>1953</v>
      </c>
      <c r="I847" t="s">
        <v>214</v>
      </c>
      <c r="J847" s="3" t="s">
        <v>1954</v>
      </c>
      <c r="K847" t="s">
        <v>1955</v>
      </c>
      <c r="L847" s="4">
        <v>25</v>
      </c>
      <c r="M847" s="4">
        <v>0</v>
      </c>
      <c r="N847">
        <v>25</v>
      </c>
      <c r="O847" t="s">
        <v>146</v>
      </c>
      <c r="P847">
        <v>17</v>
      </c>
      <c r="Q847">
        <f>QtyRemaining*EstMfgMin/60</f>
        <v>7.083333333333333</v>
      </c>
      <c r="U847" t="e">
        <f t="shared" si="28"/>
        <v>#REF!</v>
      </c>
      <c r="V847" s="5" t="e">
        <f t="shared" si="29"/>
        <v>#REF!</v>
      </c>
    </row>
    <row r="848" spans="1:22" x14ac:dyDescent="0.25">
      <c r="A848" s="2">
        <v>46066</v>
      </c>
      <c r="B848" s="2">
        <v>45925</v>
      </c>
      <c r="C848" t="s">
        <v>465</v>
      </c>
      <c r="D848">
        <v>7</v>
      </c>
      <c r="E848" t="s">
        <v>1956</v>
      </c>
      <c r="F848" t="s">
        <v>211</v>
      </c>
      <c r="G848" t="s">
        <v>467</v>
      </c>
      <c r="H848" t="s">
        <v>1957</v>
      </c>
      <c r="I848" t="s">
        <v>214</v>
      </c>
      <c r="J848" s="3" t="s">
        <v>1958</v>
      </c>
      <c r="K848" t="s">
        <v>1959</v>
      </c>
      <c r="L848" s="4">
        <v>1</v>
      </c>
      <c r="M848" s="4">
        <v>0</v>
      </c>
      <c r="N848">
        <v>1</v>
      </c>
      <c r="O848" t="s">
        <v>94</v>
      </c>
      <c r="P848">
        <v>36</v>
      </c>
      <c r="Q848">
        <f>QtyRemaining*EstMfgMin/60</f>
        <v>0.6</v>
      </c>
      <c r="U848" t="e">
        <f t="shared" si="28"/>
        <v>#REF!</v>
      </c>
      <c r="V848" s="5" t="e">
        <f t="shared" si="29"/>
        <v>#REF!</v>
      </c>
    </row>
    <row r="849" spans="1:22" x14ac:dyDescent="0.25">
      <c r="A849" s="2">
        <v>46066</v>
      </c>
      <c r="B849" s="2">
        <v>45993</v>
      </c>
      <c r="C849" t="s">
        <v>650</v>
      </c>
      <c r="D849">
        <v>7</v>
      </c>
      <c r="E849" t="s">
        <v>1960</v>
      </c>
      <c r="F849" t="s">
        <v>283</v>
      </c>
      <c r="G849" t="s">
        <v>652</v>
      </c>
      <c r="H849" t="s">
        <v>1961</v>
      </c>
      <c r="I849" t="s">
        <v>1087</v>
      </c>
      <c r="J849" s="3" t="s">
        <v>1962</v>
      </c>
      <c r="K849" t="s">
        <v>1963</v>
      </c>
      <c r="L849" s="4">
        <v>4</v>
      </c>
      <c r="M849" s="4">
        <v>0</v>
      </c>
      <c r="N849">
        <v>4</v>
      </c>
      <c r="O849" t="s">
        <v>656</v>
      </c>
      <c r="P849">
        <v>60</v>
      </c>
      <c r="Q849">
        <f>QtyRemaining*EstMfgMin/60</f>
        <v>4</v>
      </c>
      <c r="R849" t="s">
        <v>1062</v>
      </c>
      <c r="U849" t="e">
        <f t="shared" si="28"/>
        <v>#REF!</v>
      </c>
      <c r="V849" s="5" t="e">
        <f t="shared" si="29"/>
        <v>#REF!</v>
      </c>
    </row>
    <row r="850" spans="1:22" x14ac:dyDescent="0.25">
      <c r="A850" s="2">
        <v>46066</v>
      </c>
      <c r="B850" s="2">
        <v>46030</v>
      </c>
      <c r="C850" t="s">
        <v>650</v>
      </c>
      <c r="D850">
        <v>7</v>
      </c>
      <c r="E850" t="s">
        <v>1964</v>
      </c>
      <c r="F850" t="s">
        <v>283</v>
      </c>
      <c r="G850" t="s">
        <v>652</v>
      </c>
      <c r="H850" t="s">
        <v>1965</v>
      </c>
      <c r="I850" t="s">
        <v>224</v>
      </c>
      <c r="J850" s="3" t="s">
        <v>1966</v>
      </c>
      <c r="K850" t="s">
        <v>1967</v>
      </c>
      <c r="L850" s="4">
        <v>14</v>
      </c>
      <c r="M850" s="4">
        <v>0</v>
      </c>
      <c r="N850">
        <v>14</v>
      </c>
      <c r="P850">
        <v>240</v>
      </c>
      <c r="Q850">
        <f>QtyRemaining*EstMfgMin/60</f>
        <v>56</v>
      </c>
      <c r="U850" t="e">
        <f t="shared" si="28"/>
        <v>#REF!</v>
      </c>
      <c r="V850" s="5" t="e">
        <f t="shared" si="29"/>
        <v>#REF!</v>
      </c>
    </row>
    <row r="851" spans="1:22" x14ac:dyDescent="0.25">
      <c r="A851" s="2">
        <v>46066</v>
      </c>
      <c r="B851" s="2">
        <v>46036</v>
      </c>
      <c r="C851" t="s">
        <v>465</v>
      </c>
      <c r="D851">
        <v>7</v>
      </c>
      <c r="E851" t="s">
        <v>1506</v>
      </c>
      <c r="F851" t="s">
        <v>211</v>
      </c>
      <c r="G851" t="s">
        <v>467</v>
      </c>
      <c r="H851" t="s">
        <v>1507</v>
      </c>
      <c r="I851" t="s">
        <v>214</v>
      </c>
      <c r="J851" s="3" t="s">
        <v>1726</v>
      </c>
      <c r="K851" t="s">
        <v>1968</v>
      </c>
      <c r="L851" s="4">
        <v>1</v>
      </c>
      <c r="M851" s="4">
        <v>0</v>
      </c>
      <c r="N851">
        <v>1</v>
      </c>
      <c r="O851" t="s">
        <v>176</v>
      </c>
      <c r="P851">
        <v>16</v>
      </c>
      <c r="Q851">
        <f>QtyRemaining*EstMfgMin/60</f>
        <v>0.26666666666666666</v>
      </c>
      <c r="U851" t="e">
        <f t="shared" si="28"/>
        <v>#REF!</v>
      </c>
      <c r="V851" s="5" t="e">
        <f t="shared" si="29"/>
        <v>#REF!</v>
      </c>
    </row>
    <row r="852" spans="1:22" x14ac:dyDescent="0.25">
      <c r="A852" s="2">
        <v>46066</v>
      </c>
      <c r="B852" s="2">
        <v>46036</v>
      </c>
      <c r="C852" t="s">
        <v>465</v>
      </c>
      <c r="D852">
        <v>7</v>
      </c>
      <c r="E852" t="s">
        <v>1506</v>
      </c>
      <c r="F852" t="s">
        <v>211</v>
      </c>
      <c r="G852" t="s">
        <v>467</v>
      </c>
      <c r="H852" t="s">
        <v>1507</v>
      </c>
      <c r="I852" t="s">
        <v>214</v>
      </c>
      <c r="J852" s="3" t="s">
        <v>1813</v>
      </c>
      <c r="K852" t="s">
        <v>1969</v>
      </c>
      <c r="L852" s="4">
        <v>2</v>
      </c>
      <c r="M852" s="4">
        <v>0</v>
      </c>
      <c r="N852">
        <v>2</v>
      </c>
      <c r="O852" t="s">
        <v>86</v>
      </c>
      <c r="P852">
        <v>48</v>
      </c>
      <c r="Q852">
        <f>QtyRemaining*EstMfgMin/60</f>
        <v>1.6</v>
      </c>
      <c r="U852" t="e">
        <f t="shared" si="28"/>
        <v>#REF!</v>
      </c>
      <c r="V852" s="5" t="e">
        <f t="shared" si="29"/>
        <v>#REF!</v>
      </c>
    </row>
    <row r="853" spans="1:22" x14ac:dyDescent="0.25">
      <c r="A853" s="2">
        <v>46066</v>
      </c>
      <c r="B853" s="2">
        <v>46044</v>
      </c>
      <c r="C853" t="s">
        <v>650</v>
      </c>
      <c r="D853">
        <v>7</v>
      </c>
      <c r="E853" t="s">
        <v>1970</v>
      </c>
      <c r="F853" t="s">
        <v>283</v>
      </c>
      <c r="G853" t="s">
        <v>1971</v>
      </c>
      <c r="H853" t="s">
        <v>1972</v>
      </c>
      <c r="I853" t="s">
        <v>1087</v>
      </c>
      <c r="J853" s="3" t="s">
        <v>1973</v>
      </c>
      <c r="K853" t="s">
        <v>1974</v>
      </c>
      <c r="L853" s="4">
        <v>2</v>
      </c>
      <c r="M853" s="4">
        <v>0</v>
      </c>
      <c r="N853">
        <v>2</v>
      </c>
      <c r="P853">
        <v>90</v>
      </c>
      <c r="Q853">
        <f>QtyRemaining*EstMfgMin/60</f>
        <v>3</v>
      </c>
      <c r="U853" t="e">
        <f t="shared" si="28"/>
        <v>#REF!</v>
      </c>
      <c r="V853" s="5" t="e">
        <f t="shared" si="29"/>
        <v>#REF!</v>
      </c>
    </row>
    <row r="854" spans="1:22" x14ac:dyDescent="0.25">
      <c r="A854" s="2">
        <v>46066</v>
      </c>
      <c r="B854" s="2">
        <v>46048</v>
      </c>
      <c r="C854" t="s">
        <v>650</v>
      </c>
      <c r="D854">
        <v>7</v>
      </c>
      <c r="E854" t="s">
        <v>1975</v>
      </c>
      <c r="F854" t="s">
        <v>283</v>
      </c>
      <c r="G854" t="s">
        <v>1976</v>
      </c>
      <c r="H854" t="s">
        <v>1977</v>
      </c>
      <c r="I854" t="s">
        <v>1087</v>
      </c>
      <c r="J854" s="3" t="s">
        <v>1978</v>
      </c>
      <c r="K854" t="s">
        <v>1979</v>
      </c>
      <c r="L854" s="4">
        <v>1</v>
      </c>
      <c r="M854" s="4">
        <v>0</v>
      </c>
      <c r="N854">
        <v>1</v>
      </c>
      <c r="P854">
        <v>45</v>
      </c>
      <c r="Q854">
        <f>QtyRemaining*EstMfgMin/60</f>
        <v>0.75</v>
      </c>
      <c r="U854" t="e">
        <f t="shared" si="28"/>
        <v>#REF!</v>
      </c>
      <c r="V854" s="5" t="e">
        <f t="shared" si="29"/>
        <v>#REF!</v>
      </c>
    </row>
    <row r="855" spans="1:22" x14ac:dyDescent="0.25">
      <c r="A855" s="2">
        <v>46066</v>
      </c>
      <c r="B855" s="2">
        <v>46049</v>
      </c>
      <c r="C855" t="s">
        <v>685</v>
      </c>
      <c r="D855">
        <v>7</v>
      </c>
      <c r="E855" t="s">
        <v>1980</v>
      </c>
      <c r="F855" t="s">
        <v>261</v>
      </c>
      <c r="G855" t="s">
        <v>262</v>
      </c>
      <c r="H855" t="s">
        <v>572</v>
      </c>
      <c r="I855" t="s">
        <v>83</v>
      </c>
      <c r="J855" s="3" t="s">
        <v>1981</v>
      </c>
      <c r="K855" t="s">
        <v>1982</v>
      </c>
      <c r="L855" s="4">
        <v>10</v>
      </c>
      <c r="M855" s="4">
        <v>0</v>
      </c>
      <c r="N855">
        <v>10</v>
      </c>
      <c r="P855">
        <v>0</v>
      </c>
      <c r="Q855">
        <f>QtyRemaining*EstMfgMin/60</f>
        <v>0</v>
      </c>
      <c r="U855" t="e">
        <f t="shared" si="28"/>
        <v>#REF!</v>
      </c>
      <c r="V855" s="5" t="e">
        <f t="shared" si="29"/>
        <v>#REF!</v>
      </c>
    </row>
    <row r="856" spans="1:22" x14ac:dyDescent="0.25">
      <c r="A856" s="2">
        <v>46066</v>
      </c>
      <c r="B856" s="2">
        <v>46049</v>
      </c>
      <c r="C856" t="s">
        <v>650</v>
      </c>
      <c r="D856">
        <v>7</v>
      </c>
      <c r="E856" t="s">
        <v>1983</v>
      </c>
      <c r="F856" t="s">
        <v>283</v>
      </c>
      <c r="G856" t="s">
        <v>652</v>
      </c>
      <c r="H856" t="s">
        <v>1984</v>
      </c>
      <c r="I856" t="s">
        <v>1087</v>
      </c>
      <c r="J856" s="3" t="s">
        <v>1985</v>
      </c>
      <c r="K856" t="s">
        <v>1986</v>
      </c>
      <c r="L856" s="4">
        <v>18</v>
      </c>
      <c r="M856" s="4">
        <v>0</v>
      </c>
      <c r="N856">
        <v>18</v>
      </c>
      <c r="O856" t="s">
        <v>656</v>
      </c>
      <c r="P856">
        <v>40</v>
      </c>
      <c r="Q856">
        <f>QtyRemaining*EstMfgMin/60</f>
        <v>12</v>
      </c>
      <c r="U856" t="e">
        <f t="shared" si="28"/>
        <v>#REF!</v>
      </c>
      <c r="V856" s="5" t="e">
        <f t="shared" si="29"/>
        <v>#REF!</v>
      </c>
    </row>
    <row r="857" spans="1:22" x14ac:dyDescent="0.25">
      <c r="A857" s="2">
        <v>46066</v>
      </c>
      <c r="B857" s="2">
        <v>46049</v>
      </c>
      <c r="C857" t="s">
        <v>650</v>
      </c>
      <c r="D857">
        <v>7</v>
      </c>
      <c r="E857" t="s">
        <v>1987</v>
      </c>
      <c r="F857" t="s">
        <v>283</v>
      </c>
      <c r="G857" t="s">
        <v>1976</v>
      </c>
      <c r="H857" t="s">
        <v>1988</v>
      </c>
      <c r="I857" t="s">
        <v>1087</v>
      </c>
      <c r="J857" s="3" t="s">
        <v>1989</v>
      </c>
      <c r="K857" t="s">
        <v>1990</v>
      </c>
      <c r="L857" s="4">
        <v>5</v>
      </c>
      <c r="M857" s="4">
        <v>0</v>
      </c>
      <c r="N857">
        <v>5</v>
      </c>
      <c r="P857">
        <v>35</v>
      </c>
      <c r="Q857">
        <f>QtyRemaining*EstMfgMin/60</f>
        <v>2.9166666666666665</v>
      </c>
      <c r="U857" t="e">
        <f t="shared" si="28"/>
        <v>#REF!</v>
      </c>
      <c r="V857" s="5" t="e">
        <f t="shared" si="29"/>
        <v>#REF!</v>
      </c>
    </row>
    <row r="858" spans="1:22" x14ac:dyDescent="0.25">
      <c r="A858" s="2">
        <v>46066</v>
      </c>
      <c r="B858" s="2">
        <v>46051</v>
      </c>
      <c r="C858" t="s">
        <v>1168</v>
      </c>
      <c r="D858">
        <v>7</v>
      </c>
      <c r="E858" t="s">
        <v>1991</v>
      </c>
      <c r="F858" t="s">
        <v>283</v>
      </c>
      <c r="G858" t="s">
        <v>1170</v>
      </c>
      <c r="H858" t="s">
        <v>1992</v>
      </c>
      <c r="I858" t="s">
        <v>1172</v>
      </c>
      <c r="J858" s="3" t="s">
        <v>1632</v>
      </c>
      <c r="K858" t="s">
        <v>1633</v>
      </c>
      <c r="L858" s="4">
        <v>100</v>
      </c>
      <c r="M858" s="4">
        <v>0</v>
      </c>
      <c r="N858">
        <v>100</v>
      </c>
      <c r="O858" t="s">
        <v>176</v>
      </c>
      <c r="P858">
        <v>5</v>
      </c>
      <c r="Q858">
        <f>QtyRemaining*EstMfgMin/60</f>
        <v>8.3333333333333339</v>
      </c>
      <c r="U858" t="e">
        <f t="shared" si="28"/>
        <v>#REF!</v>
      </c>
      <c r="V858" s="5" t="e">
        <f t="shared" si="29"/>
        <v>#REF!</v>
      </c>
    </row>
    <row r="859" spans="1:22" x14ac:dyDescent="0.25">
      <c r="A859" s="2">
        <v>46069</v>
      </c>
      <c r="B859" s="2">
        <v>45656</v>
      </c>
      <c r="C859" t="s">
        <v>478</v>
      </c>
      <c r="D859">
        <v>8</v>
      </c>
      <c r="E859" t="s">
        <v>1237</v>
      </c>
      <c r="F859" t="s">
        <v>261</v>
      </c>
      <c r="G859" t="s">
        <v>1021</v>
      </c>
      <c r="H859" t="s">
        <v>1238</v>
      </c>
      <c r="I859" t="s">
        <v>83</v>
      </c>
      <c r="J859" s="3" t="s">
        <v>1993</v>
      </c>
      <c r="K859" t="s">
        <v>1240</v>
      </c>
      <c r="L859" s="4">
        <v>12</v>
      </c>
      <c r="M859" s="4">
        <v>0</v>
      </c>
      <c r="N859">
        <v>12</v>
      </c>
      <c r="O859" t="s">
        <v>643</v>
      </c>
      <c r="P859">
        <v>50</v>
      </c>
      <c r="Q859">
        <f>QtyRemaining*EstMfgMin/60</f>
        <v>10</v>
      </c>
      <c r="U859" t="e">
        <f t="shared" si="28"/>
        <v>#REF!</v>
      </c>
      <c r="V859" s="5" t="e">
        <f t="shared" si="29"/>
        <v>#REF!</v>
      </c>
    </row>
    <row r="860" spans="1:22" x14ac:dyDescent="0.25">
      <c r="A860" s="2">
        <v>46069</v>
      </c>
      <c r="B860" s="2">
        <v>45656</v>
      </c>
      <c r="C860" t="s">
        <v>478</v>
      </c>
      <c r="D860">
        <v>8</v>
      </c>
      <c r="E860" t="s">
        <v>1237</v>
      </c>
      <c r="F860" t="s">
        <v>261</v>
      </c>
      <c r="G860" t="s">
        <v>1021</v>
      </c>
      <c r="H860" t="s">
        <v>1238</v>
      </c>
      <c r="I860" t="s">
        <v>83</v>
      </c>
      <c r="J860" s="3" t="s">
        <v>1239</v>
      </c>
      <c r="K860" t="s">
        <v>1240</v>
      </c>
      <c r="L860" s="4">
        <v>12</v>
      </c>
      <c r="M860" s="4">
        <v>0</v>
      </c>
      <c r="N860">
        <v>12</v>
      </c>
      <c r="O860" t="s">
        <v>643</v>
      </c>
      <c r="P860">
        <v>191</v>
      </c>
      <c r="Q860">
        <f>QtyRemaining*EstMfgMin/60</f>
        <v>38.200000000000003</v>
      </c>
      <c r="U860" t="e">
        <f t="shared" si="28"/>
        <v>#REF!</v>
      </c>
      <c r="V860" s="5" t="e">
        <f t="shared" si="29"/>
        <v>#REF!</v>
      </c>
    </row>
    <row r="861" spans="1:22" x14ac:dyDescent="0.25">
      <c r="A861" s="2">
        <v>46069</v>
      </c>
      <c r="B861" s="2">
        <v>45912</v>
      </c>
      <c r="C861" t="s">
        <v>465</v>
      </c>
      <c r="D861">
        <v>8</v>
      </c>
      <c r="E861" t="s">
        <v>1994</v>
      </c>
      <c r="F861" t="s">
        <v>211</v>
      </c>
      <c r="G861" t="s">
        <v>467</v>
      </c>
      <c r="H861" t="s">
        <v>1995</v>
      </c>
      <c r="I861" t="s">
        <v>214</v>
      </c>
      <c r="J861" s="3" t="s">
        <v>1996</v>
      </c>
      <c r="K861" t="s">
        <v>1997</v>
      </c>
      <c r="L861" s="4">
        <v>1</v>
      </c>
      <c r="M861" s="4">
        <v>0</v>
      </c>
      <c r="N861">
        <v>1</v>
      </c>
      <c r="O861" t="s">
        <v>266</v>
      </c>
      <c r="P861">
        <v>150</v>
      </c>
      <c r="Q861">
        <f>QtyRemaining*EstMfgMin/60</f>
        <v>2.5</v>
      </c>
      <c r="U861" t="e">
        <f t="shared" si="28"/>
        <v>#REF!</v>
      </c>
      <c r="V861" s="5" t="e">
        <f t="shared" si="29"/>
        <v>#REF!</v>
      </c>
    </row>
    <row r="862" spans="1:22" x14ac:dyDescent="0.25">
      <c r="A862" s="2">
        <v>46069</v>
      </c>
      <c r="B862" s="2">
        <v>45933</v>
      </c>
      <c r="C862" t="s">
        <v>523</v>
      </c>
      <c r="D862">
        <v>8</v>
      </c>
      <c r="E862" t="s">
        <v>1998</v>
      </c>
      <c r="F862" t="s">
        <v>211</v>
      </c>
      <c r="G862" t="s">
        <v>1999</v>
      </c>
      <c r="H862" t="s">
        <v>2000</v>
      </c>
      <c r="I862" t="s">
        <v>83</v>
      </c>
      <c r="J862" s="3" t="s">
        <v>2001</v>
      </c>
      <c r="K862" t="s">
        <v>2002</v>
      </c>
      <c r="L862" s="4">
        <v>4</v>
      </c>
      <c r="M862" s="4">
        <v>0</v>
      </c>
      <c r="N862">
        <v>4</v>
      </c>
      <c r="O862" t="s">
        <v>94</v>
      </c>
      <c r="P862">
        <v>600</v>
      </c>
      <c r="Q862">
        <f>QtyRemaining*EstMfgMin/60</f>
        <v>40</v>
      </c>
      <c r="U862" t="e">
        <f t="shared" si="28"/>
        <v>#REF!</v>
      </c>
      <c r="V862" s="5" t="e">
        <f t="shared" si="29"/>
        <v>#REF!</v>
      </c>
    </row>
    <row r="863" spans="1:22" x14ac:dyDescent="0.25">
      <c r="A863" s="2">
        <v>46069</v>
      </c>
      <c r="B863" s="2">
        <v>45933</v>
      </c>
      <c r="C863" t="s">
        <v>523</v>
      </c>
      <c r="D863">
        <v>8</v>
      </c>
      <c r="E863" t="s">
        <v>1998</v>
      </c>
      <c r="F863" t="s">
        <v>211</v>
      </c>
      <c r="G863" t="s">
        <v>1999</v>
      </c>
      <c r="H863" t="s">
        <v>2000</v>
      </c>
      <c r="I863" t="s">
        <v>83</v>
      </c>
      <c r="J863" s="3" t="s">
        <v>2003</v>
      </c>
      <c r="K863" t="s">
        <v>2004</v>
      </c>
      <c r="L863" s="4">
        <v>4</v>
      </c>
      <c r="M863" s="4">
        <v>0</v>
      </c>
      <c r="N863">
        <v>4</v>
      </c>
      <c r="O863" t="s">
        <v>457</v>
      </c>
      <c r="P863">
        <v>240</v>
      </c>
      <c r="Q863">
        <f>QtyRemaining*EstMfgMin/60</f>
        <v>16</v>
      </c>
      <c r="U863" t="e">
        <f t="shared" si="28"/>
        <v>#REF!</v>
      </c>
      <c r="V863" s="5" t="e">
        <f t="shared" si="29"/>
        <v>#REF!</v>
      </c>
    </row>
    <row r="864" spans="1:22" x14ac:dyDescent="0.25">
      <c r="A864" s="2">
        <v>46069</v>
      </c>
      <c r="B864" s="2">
        <v>45933</v>
      </c>
      <c r="C864" t="s">
        <v>523</v>
      </c>
      <c r="D864">
        <v>8</v>
      </c>
      <c r="E864" t="s">
        <v>1998</v>
      </c>
      <c r="F864" t="s">
        <v>211</v>
      </c>
      <c r="G864" t="s">
        <v>1999</v>
      </c>
      <c r="H864" t="s">
        <v>2000</v>
      </c>
      <c r="I864" t="s">
        <v>83</v>
      </c>
      <c r="J864" s="3" t="s">
        <v>2005</v>
      </c>
      <c r="K864" t="s">
        <v>2006</v>
      </c>
      <c r="L864" s="4">
        <v>4</v>
      </c>
      <c r="M864" s="4">
        <v>0</v>
      </c>
      <c r="N864">
        <v>4</v>
      </c>
      <c r="O864" t="s">
        <v>457</v>
      </c>
      <c r="P864">
        <v>240</v>
      </c>
      <c r="Q864">
        <f>QtyRemaining*EstMfgMin/60</f>
        <v>16</v>
      </c>
      <c r="U864" t="e">
        <f t="shared" si="28"/>
        <v>#REF!</v>
      </c>
      <c r="V864" s="5" t="e">
        <f t="shared" si="29"/>
        <v>#REF!</v>
      </c>
    </row>
    <row r="865" spans="1:22" x14ac:dyDescent="0.25">
      <c r="A865" s="2">
        <v>46069</v>
      </c>
      <c r="B865" s="2">
        <v>45958</v>
      </c>
      <c r="C865" t="s">
        <v>485</v>
      </c>
      <c r="D865">
        <v>8</v>
      </c>
      <c r="E865" t="s">
        <v>2007</v>
      </c>
      <c r="F865" t="s">
        <v>211</v>
      </c>
      <c r="G865" t="s">
        <v>1645</v>
      </c>
      <c r="H865" t="s">
        <v>2008</v>
      </c>
      <c r="I865" t="s">
        <v>214</v>
      </c>
      <c r="J865" s="3" t="s">
        <v>2009</v>
      </c>
      <c r="K865" t="s">
        <v>2010</v>
      </c>
      <c r="L865" s="4">
        <v>200</v>
      </c>
      <c r="M865" s="4">
        <v>0</v>
      </c>
      <c r="N865">
        <v>200</v>
      </c>
      <c r="P865">
        <v>6</v>
      </c>
      <c r="Q865">
        <f>QtyRemaining*EstMfgMin/60</f>
        <v>20</v>
      </c>
      <c r="U865" t="e">
        <f t="shared" si="28"/>
        <v>#REF!</v>
      </c>
      <c r="V865" s="5" t="e">
        <f t="shared" si="29"/>
        <v>#REF!</v>
      </c>
    </row>
    <row r="866" spans="1:22" x14ac:dyDescent="0.25">
      <c r="A866" s="2">
        <v>46069</v>
      </c>
      <c r="B866" s="2">
        <v>45975</v>
      </c>
      <c r="C866" t="s">
        <v>465</v>
      </c>
      <c r="D866">
        <v>8</v>
      </c>
      <c r="E866" t="s">
        <v>1198</v>
      </c>
      <c r="F866" t="s">
        <v>211</v>
      </c>
      <c r="G866" t="s">
        <v>467</v>
      </c>
      <c r="H866" t="s">
        <v>1199</v>
      </c>
      <c r="I866" t="s">
        <v>214</v>
      </c>
      <c r="J866" s="3" t="s">
        <v>2011</v>
      </c>
      <c r="K866" t="s">
        <v>2012</v>
      </c>
      <c r="L866" s="4">
        <v>1</v>
      </c>
      <c r="M866" s="4">
        <v>0</v>
      </c>
      <c r="N866">
        <v>1</v>
      </c>
      <c r="O866" t="s">
        <v>176</v>
      </c>
      <c r="P866">
        <v>5</v>
      </c>
      <c r="Q866">
        <f>QtyRemaining*EstMfgMin/60</f>
        <v>8.3333333333333329E-2</v>
      </c>
      <c r="U866" t="e">
        <f t="shared" si="28"/>
        <v>#REF!</v>
      </c>
      <c r="V866" s="5" t="e">
        <f t="shared" si="29"/>
        <v>#REF!</v>
      </c>
    </row>
    <row r="867" spans="1:22" x14ac:dyDescent="0.25">
      <c r="A867" s="2">
        <v>46069</v>
      </c>
      <c r="B867" s="2">
        <v>45975</v>
      </c>
      <c r="C867" t="s">
        <v>465</v>
      </c>
      <c r="D867">
        <v>8</v>
      </c>
      <c r="E867" t="s">
        <v>1198</v>
      </c>
      <c r="F867" t="s">
        <v>211</v>
      </c>
      <c r="G867" t="s">
        <v>467</v>
      </c>
      <c r="H867" t="s">
        <v>1199</v>
      </c>
      <c r="I867" t="s">
        <v>214</v>
      </c>
      <c r="J867" s="3" t="s">
        <v>2013</v>
      </c>
      <c r="K867" t="s">
        <v>2014</v>
      </c>
      <c r="L867" s="4">
        <v>1</v>
      </c>
      <c r="M867" s="4">
        <v>0</v>
      </c>
      <c r="N867">
        <v>1</v>
      </c>
      <c r="O867" t="s">
        <v>86</v>
      </c>
      <c r="P867">
        <v>5</v>
      </c>
      <c r="Q867">
        <f>QtyRemaining*EstMfgMin/60</f>
        <v>8.3333333333333329E-2</v>
      </c>
      <c r="U867" t="e">
        <f t="shared" si="28"/>
        <v>#REF!</v>
      </c>
      <c r="V867" s="5" t="e">
        <f t="shared" si="29"/>
        <v>#REF!</v>
      </c>
    </row>
    <row r="868" spans="1:22" x14ac:dyDescent="0.25">
      <c r="A868" s="2">
        <v>46070</v>
      </c>
      <c r="B868" s="2">
        <v>45875</v>
      </c>
      <c r="C868" t="s">
        <v>633</v>
      </c>
      <c r="D868">
        <v>8</v>
      </c>
      <c r="E868" t="s">
        <v>2015</v>
      </c>
      <c r="F868" t="s">
        <v>261</v>
      </c>
      <c r="G868" t="s">
        <v>262</v>
      </c>
      <c r="H868" t="s">
        <v>2016</v>
      </c>
      <c r="I868" t="s">
        <v>155</v>
      </c>
      <c r="J868" s="3" t="s">
        <v>2017</v>
      </c>
      <c r="K868" t="s">
        <v>131</v>
      </c>
      <c r="L868" s="4">
        <v>10</v>
      </c>
      <c r="M868" s="4">
        <v>0</v>
      </c>
      <c r="N868">
        <v>10</v>
      </c>
      <c r="O868" t="s">
        <v>94</v>
      </c>
      <c r="P868">
        <v>40</v>
      </c>
      <c r="Q868">
        <f>QtyRemaining*EstMfgMin/60</f>
        <v>6.666666666666667</v>
      </c>
      <c r="R868" t="s">
        <v>2018</v>
      </c>
      <c r="U868" t="e">
        <f t="shared" si="28"/>
        <v>#REF!</v>
      </c>
      <c r="V868" s="5" t="e">
        <f t="shared" si="29"/>
        <v>#REF!</v>
      </c>
    </row>
    <row r="869" spans="1:22" x14ac:dyDescent="0.25">
      <c r="A869" s="2">
        <v>46070</v>
      </c>
      <c r="B869" s="2">
        <v>45954</v>
      </c>
      <c r="C869" t="s">
        <v>478</v>
      </c>
      <c r="D869">
        <v>8</v>
      </c>
      <c r="E869" t="s">
        <v>1699</v>
      </c>
      <c r="F869" t="s">
        <v>261</v>
      </c>
      <c r="G869" t="s">
        <v>670</v>
      </c>
      <c r="H869" t="s">
        <v>1700</v>
      </c>
      <c r="I869" t="s">
        <v>83</v>
      </c>
      <c r="J869" s="3" t="s">
        <v>2019</v>
      </c>
      <c r="K869" t="s">
        <v>1108</v>
      </c>
      <c r="L869" s="4">
        <v>700</v>
      </c>
      <c r="M869" s="4">
        <v>0</v>
      </c>
      <c r="N869">
        <v>700</v>
      </c>
      <c r="O869" t="s">
        <v>118</v>
      </c>
      <c r="P869">
        <v>22</v>
      </c>
      <c r="Q869">
        <f>QtyRemaining*EstMfgMin/60</f>
        <v>256.66666666666669</v>
      </c>
      <c r="U869" t="e">
        <f t="shared" si="28"/>
        <v>#REF!</v>
      </c>
      <c r="V869" s="5" t="e">
        <f t="shared" si="29"/>
        <v>#REF!</v>
      </c>
    </row>
    <row r="870" spans="1:22" x14ac:dyDescent="0.25">
      <c r="A870" s="2">
        <v>46070</v>
      </c>
      <c r="B870" s="2">
        <v>45954</v>
      </c>
      <c r="C870" t="s">
        <v>478</v>
      </c>
      <c r="D870">
        <v>8</v>
      </c>
      <c r="E870" t="s">
        <v>1699</v>
      </c>
      <c r="F870" t="s">
        <v>261</v>
      </c>
      <c r="G870" t="s">
        <v>670</v>
      </c>
      <c r="H870" t="s">
        <v>1700</v>
      </c>
      <c r="I870" t="s">
        <v>83</v>
      </c>
      <c r="J870" s="3" t="s">
        <v>2020</v>
      </c>
      <c r="K870" t="s">
        <v>2021</v>
      </c>
      <c r="L870" s="4">
        <v>700</v>
      </c>
      <c r="M870" s="4">
        <v>0</v>
      </c>
      <c r="N870">
        <v>700</v>
      </c>
      <c r="O870" t="s">
        <v>118</v>
      </c>
      <c r="P870">
        <v>30</v>
      </c>
      <c r="Q870">
        <f>QtyRemaining*EstMfgMin/60</f>
        <v>350</v>
      </c>
      <c r="U870" t="e">
        <f t="shared" si="28"/>
        <v>#REF!</v>
      </c>
      <c r="V870" s="5" t="e">
        <f t="shared" si="29"/>
        <v>#REF!</v>
      </c>
    </row>
    <row r="871" spans="1:22" x14ac:dyDescent="0.25">
      <c r="A871" s="2">
        <v>46071</v>
      </c>
      <c r="B871" s="2">
        <v>45586</v>
      </c>
      <c r="C871" t="s">
        <v>478</v>
      </c>
      <c r="D871">
        <v>8</v>
      </c>
      <c r="E871" t="s">
        <v>2022</v>
      </c>
      <c r="F871" t="s">
        <v>261</v>
      </c>
      <c r="G871" t="s">
        <v>2023</v>
      </c>
      <c r="H871" t="s">
        <v>2024</v>
      </c>
      <c r="I871" t="s">
        <v>155</v>
      </c>
      <c r="J871" s="3" t="s">
        <v>2025</v>
      </c>
      <c r="K871" t="s">
        <v>2026</v>
      </c>
      <c r="L871" s="4">
        <v>15</v>
      </c>
      <c r="M871" s="4">
        <v>0</v>
      </c>
      <c r="N871">
        <v>15</v>
      </c>
      <c r="O871" t="s">
        <v>94</v>
      </c>
      <c r="P871">
        <v>60</v>
      </c>
      <c r="Q871">
        <f>QtyRemaining*EstMfgMin/60</f>
        <v>15</v>
      </c>
      <c r="R871" t="s">
        <v>1062</v>
      </c>
      <c r="U871" t="e">
        <f t="shared" si="28"/>
        <v>#REF!</v>
      </c>
      <c r="V871" s="5" t="e">
        <f t="shared" si="29"/>
        <v>#REF!</v>
      </c>
    </row>
    <row r="872" spans="1:22" x14ac:dyDescent="0.25">
      <c r="A872" s="2">
        <v>46071</v>
      </c>
      <c r="B872" s="2">
        <v>46038</v>
      </c>
      <c r="C872" t="s">
        <v>1168</v>
      </c>
      <c r="D872">
        <v>8</v>
      </c>
      <c r="E872" t="s">
        <v>2027</v>
      </c>
      <c r="F872" t="s">
        <v>283</v>
      </c>
      <c r="G872" t="s">
        <v>1170</v>
      </c>
      <c r="H872" t="s">
        <v>2028</v>
      </c>
      <c r="I872" t="s">
        <v>1172</v>
      </c>
      <c r="J872" s="3" t="s">
        <v>2029</v>
      </c>
      <c r="K872" t="s">
        <v>2030</v>
      </c>
      <c r="L872" s="4">
        <v>20</v>
      </c>
      <c r="M872" s="4">
        <v>0</v>
      </c>
      <c r="N872">
        <v>20</v>
      </c>
      <c r="O872" t="s">
        <v>86</v>
      </c>
      <c r="P872">
        <v>22</v>
      </c>
      <c r="Q872">
        <f>QtyRemaining*EstMfgMin/60</f>
        <v>7.333333333333333</v>
      </c>
      <c r="U872" t="e">
        <f t="shared" si="28"/>
        <v>#REF!</v>
      </c>
      <c r="V872" s="5" t="e">
        <f t="shared" si="29"/>
        <v>#REF!</v>
      </c>
    </row>
    <row r="873" spans="1:22" x14ac:dyDescent="0.25">
      <c r="A873" s="2">
        <v>46071</v>
      </c>
      <c r="B873" s="2">
        <v>46050</v>
      </c>
      <c r="C873" t="s">
        <v>485</v>
      </c>
      <c r="D873">
        <v>8</v>
      </c>
      <c r="E873" t="s">
        <v>2031</v>
      </c>
      <c r="F873" t="s">
        <v>211</v>
      </c>
      <c r="G873" t="s">
        <v>1066</v>
      </c>
      <c r="H873" t="s">
        <v>2032</v>
      </c>
      <c r="I873" t="s">
        <v>214</v>
      </c>
      <c r="J873" s="3" t="s">
        <v>2033</v>
      </c>
      <c r="K873" t="s">
        <v>2034</v>
      </c>
      <c r="L873" s="4">
        <v>40</v>
      </c>
      <c r="M873" s="4">
        <v>0</v>
      </c>
      <c r="N873">
        <v>40</v>
      </c>
      <c r="O873" t="s">
        <v>261</v>
      </c>
      <c r="P873">
        <v>6</v>
      </c>
      <c r="Q873">
        <f>QtyRemaining*EstMfgMin/60</f>
        <v>4</v>
      </c>
      <c r="U873" t="e">
        <f t="shared" si="28"/>
        <v>#REF!</v>
      </c>
      <c r="V873" s="5" t="e">
        <f t="shared" si="29"/>
        <v>#REF!</v>
      </c>
    </row>
    <row r="874" spans="1:22" x14ac:dyDescent="0.25">
      <c r="A874" s="2">
        <v>46071</v>
      </c>
      <c r="B874" s="2">
        <v>46050</v>
      </c>
      <c r="C874" t="s">
        <v>465</v>
      </c>
      <c r="D874">
        <v>8</v>
      </c>
      <c r="E874" t="s">
        <v>2035</v>
      </c>
      <c r="F874" t="s">
        <v>211</v>
      </c>
      <c r="G874" t="s">
        <v>1338</v>
      </c>
      <c r="H874" t="s">
        <v>2036</v>
      </c>
      <c r="I874" t="s">
        <v>214</v>
      </c>
      <c r="J874" s="3" t="s">
        <v>2037</v>
      </c>
      <c r="K874" t="s">
        <v>2038</v>
      </c>
      <c r="L874" s="4">
        <v>1</v>
      </c>
      <c r="M874" s="4">
        <v>0</v>
      </c>
      <c r="N874">
        <v>1</v>
      </c>
      <c r="O874" t="s">
        <v>1236</v>
      </c>
      <c r="P874">
        <v>40</v>
      </c>
      <c r="Q874">
        <f>QtyRemaining*EstMfgMin/60</f>
        <v>0.66666666666666663</v>
      </c>
      <c r="U874" t="e">
        <f t="shared" si="28"/>
        <v>#REF!</v>
      </c>
      <c r="V874" s="5" t="e">
        <f t="shared" si="29"/>
        <v>#REF!</v>
      </c>
    </row>
    <row r="875" spans="1:22" x14ac:dyDescent="0.25">
      <c r="A875" s="2">
        <v>46071</v>
      </c>
      <c r="B875" s="2">
        <v>46050</v>
      </c>
      <c r="C875" t="s">
        <v>465</v>
      </c>
      <c r="D875">
        <v>8</v>
      </c>
      <c r="E875" t="s">
        <v>2035</v>
      </c>
      <c r="F875" t="s">
        <v>211</v>
      </c>
      <c r="G875" t="s">
        <v>1338</v>
      </c>
      <c r="H875" t="s">
        <v>2036</v>
      </c>
      <c r="I875" t="s">
        <v>214</v>
      </c>
      <c r="J875" s="3" t="s">
        <v>2039</v>
      </c>
      <c r="K875" t="s">
        <v>2040</v>
      </c>
      <c r="L875" s="4">
        <v>4</v>
      </c>
      <c r="M875" s="4">
        <v>0</v>
      </c>
      <c r="N875">
        <v>4</v>
      </c>
      <c r="O875" t="s">
        <v>1342</v>
      </c>
      <c r="P875">
        <v>15</v>
      </c>
      <c r="Q875">
        <f>QtyRemaining*EstMfgMin/60</f>
        <v>1</v>
      </c>
      <c r="U875" t="e">
        <f t="shared" si="28"/>
        <v>#REF!</v>
      </c>
      <c r="V875" s="5" t="e">
        <f t="shared" si="29"/>
        <v>#REF!</v>
      </c>
    </row>
    <row r="876" spans="1:22" x14ac:dyDescent="0.25">
      <c r="A876" s="2">
        <v>46071</v>
      </c>
      <c r="B876" s="2">
        <v>46050</v>
      </c>
      <c r="C876" t="s">
        <v>465</v>
      </c>
      <c r="D876">
        <v>8</v>
      </c>
      <c r="E876" t="s">
        <v>2041</v>
      </c>
      <c r="F876" t="s">
        <v>211</v>
      </c>
      <c r="G876" t="s">
        <v>1338</v>
      </c>
      <c r="H876" t="s">
        <v>2042</v>
      </c>
      <c r="I876" t="s">
        <v>214</v>
      </c>
      <c r="J876" s="3" t="s">
        <v>2037</v>
      </c>
      <c r="K876" t="s">
        <v>2038</v>
      </c>
      <c r="L876" s="4">
        <v>3</v>
      </c>
      <c r="M876" s="4">
        <v>0</v>
      </c>
      <c r="N876">
        <v>3</v>
      </c>
      <c r="O876" t="s">
        <v>1236</v>
      </c>
      <c r="P876">
        <v>40</v>
      </c>
      <c r="Q876">
        <f>QtyRemaining*EstMfgMin/60</f>
        <v>2</v>
      </c>
      <c r="U876" t="e">
        <f t="shared" si="28"/>
        <v>#REF!</v>
      </c>
      <c r="V876" s="5" t="e">
        <f t="shared" si="29"/>
        <v>#REF!</v>
      </c>
    </row>
    <row r="877" spans="1:22" x14ac:dyDescent="0.25">
      <c r="A877" s="2">
        <v>46071</v>
      </c>
      <c r="B877" s="2">
        <v>46050</v>
      </c>
      <c r="C877" t="s">
        <v>465</v>
      </c>
      <c r="D877">
        <v>8</v>
      </c>
      <c r="E877" t="s">
        <v>2041</v>
      </c>
      <c r="F877" t="s">
        <v>211</v>
      </c>
      <c r="G877" t="s">
        <v>1338</v>
      </c>
      <c r="H877" t="s">
        <v>2042</v>
      </c>
      <c r="I877" t="s">
        <v>214</v>
      </c>
      <c r="J877" s="3" t="s">
        <v>2043</v>
      </c>
      <c r="K877" t="s">
        <v>2044</v>
      </c>
      <c r="L877" s="4">
        <v>1</v>
      </c>
      <c r="M877" s="4">
        <v>0</v>
      </c>
      <c r="N877">
        <v>1</v>
      </c>
      <c r="O877" t="s">
        <v>1342</v>
      </c>
      <c r="P877">
        <v>11</v>
      </c>
      <c r="Q877">
        <f>QtyRemaining*EstMfgMin/60</f>
        <v>0.18333333333333332</v>
      </c>
      <c r="U877" t="e">
        <f t="shared" si="28"/>
        <v>#REF!</v>
      </c>
      <c r="V877" s="5" t="e">
        <f t="shared" si="29"/>
        <v>#REF!</v>
      </c>
    </row>
    <row r="878" spans="1:22" x14ac:dyDescent="0.25">
      <c r="A878" s="2">
        <v>46071</v>
      </c>
      <c r="B878" s="2">
        <v>46050</v>
      </c>
      <c r="C878" t="s">
        <v>465</v>
      </c>
      <c r="D878">
        <v>8</v>
      </c>
      <c r="E878" t="s">
        <v>2041</v>
      </c>
      <c r="F878" t="s">
        <v>211</v>
      </c>
      <c r="G878" t="s">
        <v>1338</v>
      </c>
      <c r="H878" t="s">
        <v>2042</v>
      </c>
      <c r="I878" t="s">
        <v>214</v>
      </c>
      <c r="J878" s="3" t="s">
        <v>2039</v>
      </c>
      <c r="K878" t="s">
        <v>2040</v>
      </c>
      <c r="L878" s="4">
        <v>46</v>
      </c>
      <c r="M878" s="4">
        <v>0</v>
      </c>
      <c r="N878">
        <v>46</v>
      </c>
      <c r="O878" t="s">
        <v>1342</v>
      </c>
      <c r="P878">
        <v>15</v>
      </c>
      <c r="Q878">
        <f>QtyRemaining*EstMfgMin/60</f>
        <v>11.5</v>
      </c>
      <c r="U878" t="e">
        <f t="shared" si="28"/>
        <v>#REF!</v>
      </c>
      <c r="V878" s="5" t="e">
        <f t="shared" si="29"/>
        <v>#REF!</v>
      </c>
    </row>
    <row r="879" spans="1:22" x14ac:dyDescent="0.25">
      <c r="A879" s="2">
        <v>46072</v>
      </c>
      <c r="B879" s="2">
        <v>45967</v>
      </c>
      <c r="C879" t="s">
        <v>465</v>
      </c>
      <c r="D879">
        <v>8</v>
      </c>
      <c r="E879" t="s">
        <v>1384</v>
      </c>
      <c r="F879" t="s">
        <v>211</v>
      </c>
      <c r="G879" t="s">
        <v>467</v>
      </c>
      <c r="H879" t="s">
        <v>1385</v>
      </c>
      <c r="I879" t="s">
        <v>214</v>
      </c>
      <c r="J879" s="3" t="s">
        <v>2011</v>
      </c>
      <c r="K879" t="s">
        <v>2012</v>
      </c>
      <c r="L879" s="4">
        <v>5</v>
      </c>
      <c r="M879" s="4">
        <v>0</v>
      </c>
      <c r="N879">
        <v>5</v>
      </c>
      <c r="O879" t="s">
        <v>176</v>
      </c>
      <c r="P879">
        <v>5</v>
      </c>
      <c r="Q879">
        <f>QtyRemaining*EstMfgMin/60</f>
        <v>0.41666666666666669</v>
      </c>
      <c r="U879" t="e">
        <f t="shared" si="28"/>
        <v>#REF!</v>
      </c>
      <c r="V879" s="5" t="e">
        <f t="shared" si="29"/>
        <v>#REF!</v>
      </c>
    </row>
    <row r="880" spans="1:22" x14ac:dyDescent="0.25">
      <c r="A880" s="2">
        <v>46072</v>
      </c>
      <c r="B880" s="2">
        <v>45967</v>
      </c>
      <c r="C880" t="s">
        <v>465</v>
      </c>
      <c r="D880">
        <v>8</v>
      </c>
      <c r="E880" t="s">
        <v>1384</v>
      </c>
      <c r="F880" t="s">
        <v>211</v>
      </c>
      <c r="G880" t="s">
        <v>467</v>
      </c>
      <c r="H880" t="s">
        <v>1385</v>
      </c>
      <c r="I880" t="s">
        <v>214</v>
      </c>
      <c r="J880" s="3" t="s">
        <v>2013</v>
      </c>
      <c r="K880" t="s">
        <v>2014</v>
      </c>
      <c r="L880" s="4">
        <v>5</v>
      </c>
      <c r="M880" s="4">
        <v>0</v>
      </c>
      <c r="N880">
        <v>5</v>
      </c>
      <c r="O880" t="s">
        <v>86</v>
      </c>
      <c r="P880">
        <v>5</v>
      </c>
      <c r="Q880">
        <f>QtyRemaining*EstMfgMin/60</f>
        <v>0.41666666666666669</v>
      </c>
      <c r="U880" t="e">
        <f t="shared" si="28"/>
        <v>#REF!</v>
      </c>
      <c r="V880" s="5" t="e">
        <f t="shared" si="29"/>
        <v>#REF!</v>
      </c>
    </row>
    <row r="881" spans="1:22" x14ac:dyDescent="0.25">
      <c r="A881" s="2">
        <v>46072</v>
      </c>
      <c r="B881" s="2">
        <v>45971</v>
      </c>
      <c r="C881" t="s">
        <v>478</v>
      </c>
      <c r="D881">
        <v>8</v>
      </c>
      <c r="E881" t="s">
        <v>2045</v>
      </c>
      <c r="F881" t="s">
        <v>261</v>
      </c>
      <c r="G881" t="s">
        <v>1021</v>
      </c>
      <c r="H881" t="s">
        <v>2046</v>
      </c>
      <c r="I881" t="s">
        <v>83</v>
      </c>
      <c r="J881" s="3" t="s">
        <v>2047</v>
      </c>
      <c r="K881" t="s">
        <v>2048</v>
      </c>
      <c r="L881" s="4">
        <v>52</v>
      </c>
      <c r="M881" s="4">
        <v>0</v>
      </c>
      <c r="N881">
        <v>52</v>
      </c>
      <c r="O881" t="s">
        <v>176</v>
      </c>
      <c r="P881">
        <v>3</v>
      </c>
      <c r="Q881">
        <f>QtyRemaining*EstMfgMin/60</f>
        <v>2.6</v>
      </c>
      <c r="U881" t="e">
        <f t="shared" si="28"/>
        <v>#REF!</v>
      </c>
      <c r="V881" s="5" t="e">
        <f t="shared" si="29"/>
        <v>#REF!</v>
      </c>
    </row>
    <row r="882" spans="1:22" x14ac:dyDescent="0.25">
      <c r="A882" s="2">
        <v>46072</v>
      </c>
      <c r="B882" s="2">
        <v>45971</v>
      </c>
      <c r="C882" t="s">
        <v>478</v>
      </c>
      <c r="D882">
        <v>8</v>
      </c>
      <c r="E882" t="s">
        <v>2045</v>
      </c>
      <c r="F882" t="s">
        <v>261</v>
      </c>
      <c r="G882" t="s">
        <v>1021</v>
      </c>
      <c r="H882" t="s">
        <v>2046</v>
      </c>
      <c r="I882" t="s">
        <v>874</v>
      </c>
      <c r="J882" s="3" t="s">
        <v>875</v>
      </c>
      <c r="K882" t="s">
        <v>1115</v>
      </c>
      <c r="L882" s="4">
        <v>1</v>
      </c>
      <c r="M882" s="4">
        <v>0</v>
      </c>
      <c r="N882">
        <v>1</v>
      </c>
      <c r="P882">
        <v>0</v>
      </c>
      <c r="Q882">
        <f>QtyRemaining*EstMfgMin/60</f>
        <v>0</v>
      </c>
      <c r="U882" t="e">
        <f t="shared" si="28"/>
        <v>#REF!</v>
      </c>
      <c r="V882" s="5" t="e">
        <f t="shared" si="29"/>
        <v>#REF!</v>
      </c>
    </row>
    <row r="883" spans="1:22" x14ac:dyDescent="0.25">
      <c r="A883" s="2">
        <v>46072</v>
      </c>
      <c r="B883" s="2">
        <v>46009</v>
      </c>
      <c r="C883" t="s">
        <v>465</v>
      </c>
      <c r="D883">
        <v>8</v>
      </c>
      <c r="E883" t="s">
        <v>1724</v>
      </c>
      <c r="F883" t="s">
        <v>211</v>
      </c>
      <c r="G883" t="s">
        <v>467</v>
      </c>
      <c r="H883" t="s">
        <v>1725</v>
      </c>
      <c r="I883" t="s">
        <v>214</v>
      </c>
      <c r="J883" s="3" t="s">
        <v>2049</v>
      </c>
      <c r="K883" t="s">
        <v>2050</v>
      </c>
      <c r="L883" s="4">
        <v>1</v>
      </c>
      <c r="M883" s="4">
        <v>0</v>
      </c>
      <c r="N883">
        <v>1</v>
      </c>
      <c r="O883" t="s">
        <v>176</v>
      </c>
      <c r="P883">
        <v>60</v>
      </c>
      <c r="Q883">
        <f>QtyRemaining*EstMfgMin/60</f>
        <v>1</v>
      </c>
      <c r="U883" t="e">
        <f t="shared" si="28"/>
        <v>#REF!</v>
      </c>
      <c r="V883" s="5" t="e">
        <f t="shared" si="29"/>
        <v>#REF!</v>
      </c>
    </row>
    <row r="884" spans="1:22" x14ac:dyDescent="0.25">
      <c r="A884" s="2">
        <v>46073</v>
      </c>
      <c r="B884" s="2">
        <v>45860</v>
      </c>
      <c r="C884" t="s">
        <v>650</v>
      </c>
      <c r="D884">
        <v>8</v>
      </c>
      <c r="E884" t="s">
        <v>2051</v>
      </c>
      <c r="F884" t="s">
        <v>283</v>
      </c>
      <c r="G884" t="s">
        <v>652</v>
      </c>
      <c r="H884" t="s">
        <v>2052</v>
      </c>
      <c r="I884" t="s">
        <v>1087</v>
      </c>
      <c r="J884" s="3" t="s">
        <v>2053</v>
      </c>
      <c r="K884" t="s">
        <v>2054</v>
      </c>
      <c r="L884" s="4">
        <v>111</v>
      </c>
      <c r="M884" s="4">
        <v>0</v>
      </c>
      <c r="N884">
        <v>111</v>
      </c>
      <c r="O884" t="s">
        <v>1090</v>
      </c>
      <c r="P884">
        <v>16</v>
      </c>
      <c r="Q884">
        <f>QtyRemaining*EstMfgMin/60</f>
        <v>29.6</v>
      </c>
      <c r="R884" t="s">
        <v>1062</v>
      </c>
      <c r="U884" t="e">
        <f t="shared" si="28"/>
        <v>#REF!</v>
      </c>
      <c r="V884" s="5" t="e">
        <f t="shared" si="29"/>
        <v>#REF!</v>
      </c>
    </row>
    <row r="885" spans="1:22" x14ac:dyDescent="0.25">
      <c r="A885" s="2">
        <v>46073</v>
      </c>
      <c r="B885" s="2">
        <v>45924</v>
      </c>
      <c r="C885" t="s">
        <v>633</v>
      </c>
      <c r="D885">
        <v>8</v>
      </c>
      <c r="E885" t="s">
        <v>2055</v>
      </c>
      <c r="F885" t="s">
        <v>261</v>
      </c>
      <c r="G885" t="s">
        <v>262</v>
      </c>
      <c r="H885" t="s">
        <v>2056</v>
      </c>
      <c r="I885" t="s">
        <v>155</v>
      </c>
      <c r="J885" s="3" t="s">
        <v>2057</v>
      </c>
      <c r="K885" t="s">
        <v>131</v>
      </c>
      <c r="L885" s="4">
        <v>4</v>
      </c>
      <c r="M885" s="4">
        <v>0</v>
      </c>
      <c r="N885">
        <v>4</v>
      </c>
      <c r="O885" t="s">
        <v>94</v>
      </c>
      <c r="P885">
        <v>0</v>
      </c>
      <c r="Q885">
        <f>QtyRemaining*EstMfgMin/60</f>
        <v>0</v>
      </c>
      <c r="R885" t="s">
        <v>967</v>
      </c>
      <c r="U885" t="e">
        <f t="shared" si="28"/>
        <v>#REF!</v>
      </c>
      <c r="V885" s="5" t="e">
        <f t="shared" si="29"/>
        <v>#REF!</v>
      </c>
    </row>
    <row r="886" spans="1:22" x14ac:dyDescent="0.25">
      <c r="A886" s="2">
        <v>46073</v>
      </c>
      <c r="B886" s="2">
        <v>45950</v>
      </c>
      <c r="C886" t="s">
        <v>1168</v>
      </c>
      <c r="D886">
        <v>8</v>
      </c>
      <c r="E886" t="s">
        <v>2058</v>
      </c>
      <c r="F886" t="s">
        <v>211</v>
      </c>
      <c r="G886" t="s">
        <v>1553</v>
      </c>
      <c r="H886" t="s">
        <v>2059</v>
      </c>
      <c r="I886" t="s">
        <v>83</v>
      </c>
      <c r="J886" s="3" t="s">
        <v>2060</v>
      </c>
      <c r="K886" t="s">
        <v>2061</v>
      </c>
      <c r="L886" s="4">
        <v>1</v>
      </c>
      <c r="M886" s="4">
        <v>0</v>
      </c>
      <c r="N886">
        <v>1</v>
      </c>
      <c r="O886" t="s">
        <v>2062</v>
      </c>
      <c r="P886">
        <v>10</v>
      </c>
      <c r="Q886">
        <f>QtyRemaining*EstMfgMin/60</f>
        <v>0.16666666666666666</v>
      </c>
      <c r="U886" t="e">
        <f t="shared" si="28"/>
        <v>#REF!</v>
      </c>
      <c r="V886" s="5" t="e">
        <f t="shared" si="29"/>
        <v>#REF!</v>
      </c>
    </row>
    <row r="887" spans="1:22" x14ac:dyDescent="0.25">
      <c r="A887" s="2">
        <v>46073</v>
      </c>
      <c r="B887" s="2">
        <v>45950</v>
      </c>
      <c r="C887" t="s">
        <v>1168</v>
      </c>
      <c r="D887">
        <v>8</v>
      </c>
      <c r="E887" t="s">
        <v>2058</v>
      </c>
      <c r="F887" t="s">
        <v>211</v>
      </c>
      <c r="G887" t="s">
        <v>1553</v>
      </c>
      <c r="H887" t="s">
        <v>2059</v>
      </c>
      <c r="I887" t="s">
        <v>83</v>
      </c>
      <c r="J887" s="3" t="s">
        <v>2063</v>
      </c>
      <c r="K887" t="s">
        <v>2061</v>
      </c>
      <c r="L887" s="4">
        <v>1</v>
      </c>
      <c r="M887" s="4">
        <v>0</v>
      </c>
      <c r="N887">
        <v>1</v>
      </c>
      <c r="O887" t="s">
        <v>2062</v>
      </c>
      <c r="P887">
        <v>10</v>
      </c>
      <c r="Q887">
        <f>QtyRemaining*EstMfgMin/60</f>
        <v>0.16666666666666666</v>
      </c>
      <c r="U887" t="e">
        <f t="shared" si="28"/>
        <v>#REF!</v>
      </c>
      <c r="V887" s="5" t="e">
        <f t="shared" si="29"/>
        <v>#REF!</v>
      </c>
    </row>
    <row r="888" spans="1:22" x14ac:dyDescent="0.25">
      <c r="A888" s="2">
        <v>46073</v>
      </c>
      <c r="B888" s="2">
        <v>45950</v>
      </c>
      <c r="C888" t="s">
        <v>1168</v>
      </c>
      <c r="D888">
        <v>8</v>
      </c>
      <c r="E888" t="s">
        <v>2058</v>
      </c>
      <c r="F888" t="s">
        <v>211</v>
      </c>
      <c r="G888" t="s">
        <v>1553</v>
      </c>
      <c r="H888" t="s">
        <v>2059</v>
      </c>
      <c r="I888" t="s">
        <v>83</v>
      </c>
      <c r="J888" s="3" t="s">
        <v>2064</v>
      </c>
      <c r="K888" t="s">
        <v>2065</v>
      </c>
      <c r="L888" s="4">
        <v>1</v>
      </c>
      <c r="M888" s="4">
        <v>0</v>
      </c>
      <c r="N888">
        <v>1</v>
      </c>
      <c r="O888" t="s">
        <v>2066</v>
      </c>
      <c r="P888">
        <v>10</v>
      </c>
      <c r="Q888">
        <f>QtyRemaining*EstMfgMin/60</f>
        <v>0.16666666666666666</v>
      </c>
      <c r="U888" t="e">
        <f t="shared" si="28"/>
        <v>#REF!</v>
      </c>
      <c r="V888" s="5" t="e">
        <f t="shared" si="29"/>
        <v>#REF!</v>
      </c>
    </row>
    <row r="889" spans="1:22" x14ac:dyDescent="0.25">
      <c r="A889" s="2">
        <v>46073</v>
      </c>
      <c r="B889" s="2">
        <v>45950</v>
      </c>
      <c r="C889" t="s">
        <v>1168</v>
      </c>
      <c r="D889">
        <v>8</v>
      </c>
      <c r="E889" t="s">
        <v>2058</v>
      </c>
      <c r="F889" t="s">
        <v>211</v>
      </c>
      <c r="G889" t="s">
        <v>1553</v>
      </c>
      <c r="H889" t="s">
        <v>2059</v>
      </c>
      <c r="I889" t="s">
        <v>83</v>
      </c>
      <c r="J889" s="3" t="s">
        <v>2067</v>
      </c>
      <c r="K889" t="s">
        <v>2068</v>
      </c>
      <c r="L889" s="4">
        <v>1</v>
      </c>
      <c r="M889" s="4">
        <v>0</v>
      </c>
      <c r="N889">
        <v>1</v>
      </c>
      <c r="O889" t="s">
        <v>2066</v>
      </c>
      <c r="P889">
        <v>10</v>
      </c>
      <c r="Q889">
        <f>QtyRemaining*EstMfgMin/60</f>
        <v>0.16666666666666666</v>
      </c>
      <c r="U889" t="e">
        <f t="shared" si="28"/>
        <v>#REF!</v>
      </c>
      <c r="V889" s="5" t="e">
        <f t="shared" si="29"/>
        <v>#REF!</v>
      </c>
    </row>
    <row r="890" spans="1:22" x14ac:dyDescent="0.25">
      <c r="A890" s="2">
        <v>46073</v>
      </c>
      <c r="B890" s="2">
        <v>45957</v>
      </c>
      <c r="C890" t="s">
        <v>232</v>
      </c>
      <c r="D890">
        <v>8</v>
      </c>
      <c r="E890" t="s">
        <v>2069</v>
      </c>
      <c r="F890" t="s">
        <v>211</v>
      </c>
      <c r="G890" t="s">
        <v>270</v>
      </c>
      <c r="H890" t="s">
        <v>2070</v>
      </c>
      <c r="I890" t="s">
        <v>214</v>
      </c>
      <c r="J890" s="3" t="s">
        <v>2071</v>
      </c>
      <c r="K890" t="s">
        <v>2072</v>
      </c>
      <c r="L890" s="4">
        <v>300</v>
      </c>
      <c r="M890" s="4">
        <v>0</v>
      </c>
      <c r="N890">
        <v>300</v>
      </c>
      <c r="O890" t="s">
        <v>118</v>
      </c>
      <c r="P890">
        <v>8</v>
      </c>
      <c r="Q890">
        <f>QtyRemaining*EstMfgMin/60</f>
        <v>40</v>
      </c>
      <c r="U890" t="e">
        <f t="shared" si="28"/>
        <v>#REF!</v>
      </c>
      <c r="V890" s="5" t="e">
        <f t="shared" si="29"/>
        <v>#REF!</v>
      </c>
    </row>
    <row r="891" spans="1:22" x14ac:dyDescent="0.25">
      <c r="A891" s="2">
        <v>46073</v>
      </c>
      <c r="B891" s="2">
        <v>45957</v>
      </c>
      <c r="C891" t="s">
        <v>232</v>
      </c>
      <c r="D891">
        <v>8</v>
      </c>
      <c r="E891" t="s">
        <v>2069</v>
      </c>
      <c r="F891" t="s">
        <v>211</v>
      </c>
      <c r="G891" t="s">
        <v>270</v>
      </c>
      <c r="H891" t="s">
        <v>2070</v>
      </c>
      <c r="I891" t="s">
        <v>214</v>
      </c>
      <c r="J891" s="3" t="s">
        <v>2071</v>
      </c>
      <c r="K891" t="s">
        <v>2072</v>
      </c>
      <c r="L891" s="4">
        <v>300</v>
      </c>
      <c r="M891" s="4">
        <v>0</v>
      </c>
      <c r="N891">
        <v>300</v>
      </c>
      <c r="O891" t="s">
        <v>118</v>
      </c>
      <c r="P891">
        <v>8</v>
      </c>
      <c r="Q891">
        <f>QtyRemaining*EstMfgMin/60</f>
        <v>40</v>
      </c>
      <c r="U891" t="e">
        <f t="shared" si="28"/>
        <v>#REF!</v>
      </c>
      <c r="V891" s="5" t="e">
        <f t="shared" si="29"/>
        <v>#REF!</v>
      </c>
    </row>
    <row r="892" spans="1:22" x14ac:dyDescent="0.25">
      <c r="A892" s="2">
        <v>46073</v>
      </c>
      <c r="B892" s="2">
        <v>46028</v>
      </c>
      <c r="C892" t="s">
        <v>274</v>
      </c>
      <c r="D892">
        <v>8</v>
      </c>
      <c r="E892" t="s">
        <v>1343</v>
      </c>
      <c r="F892" t="s">
        <v>211</v>
      </c>
      <c r="G892" t="s">
        <v>276</v>
      </c>
      <c r="H892" t="s">
        <v>1344</v>
      </c>
      <c r="I892" t="s">
        <v>155</v>
      </c>
      <c r="J892" s="3" t="s">
        <v>1345</v>
      </c>
      <c r="K892" t="s">
        <v>1346</v>
      </c>
      <c r="L892" s="4">
        <v>257</v>
      </c>
      <c r="M892" s="4">
        <v>0</v>
      </c>
      <c r="N892">
        <v>257</v>
      </c>
      <c r="O892" t="s">
        <v>780</v>
      </c>
      <c r="P892">
        <v>0</v>
      </c>
      <c r="Q892">
        <f>QtyRemaining*EstMfgMin/60</f>
        <v>0</v>
      </c>
      <c r="U892" t="e">
        <f t="shared" si="28"/>
        <v>#REF!</v>
      </c>
      <c r="V892" s="5" t="e">
        <f t="shared" si="29"/>
        <v>#REF!</v>
      </c>
    </row>
    <row r="893" spans="1:22" x14ac:dyDescent="0.25">
      <c r="A893" s="2">
        <v>46073</v>
      </c>
      <c r="B893" s="2">
        <v>46028</v>
      </c>
      <c r="C893" t="s">
        <v>274</v>
      </c>
      <c r="D893">
        <v>8</v>
      </c>
      <c r="E893" t="s">
        <v>1343</v>
      </c>
      <c r="F893" t="s">
        <v>211</v>
      </c>
      <c r="G893" t="s">
        <v>276</v>
      </c>
      <c r="H893" t="s">
        <v>1344</v>
      </c>
      <c r="I893" t="s">
        <v>155</v>
      </c>
      <c r="J893" s="3" t="s">
        <v>1347</v>
      </c>
      <c r="K893" t="s">
        <v>1346</v>
      </c>
      <c r="L893" s="4">
        <v>193</v>
      </c>
      <c r="M893" s="4">
        <v>0</v>
      </c>
      <c r="N893">
        <v>193</v>
      </c>
      <c r="O893" t="s">
        <v>146</v>
      </c>
      <c r="P893">
        <v>0</v>
      </c>
      <c r="Q893">
        <f>QtyRemaining*EstMfgMin/60</f>
        <v>0</v>
      </c>
      <c r="U893" t="e">
        <f t="shared" si="28"/>
        <v>#REF!</v>
      </c>
      <c r="V893" s="5" t="e">
        <f t="shared" si="29"/>
        <v>#REF!</v>
      </c>
    </row>
    <row r="894" spans="1:22" x14ac:dyDescent="0.25">
      <c r="A894" s="2">
        <v>46073</v>
      </c>
      <c r="B894" s="2">
        <v>46028</v>
      </c>
      <c r="C894" t="s">
        <v>274</v>
      </c>
      <c r="D894">
        <v>8</v>
      </c>
      <c r="E894" t="s">
        <v>1343</v>
      </c>
      <c r="F894" t="s">
        <v>211</v>
      </c>
      <c r="G894" t="s">
        <v>276</v>
      </c>
      <c r="H894" t="s">
        <v>1344</v>
      </c>
      <c r="I894" t="s">
        <v>155</v>
      </c>
      <c r="J894" s="3" t="s">
        <v>1348</v>
      </c>
      <c r="K894" t="s">
        <v>1346</v>
      </c>
      <c r="L894" s="4">
        <v>112</v>
      </c>
      <c r="M894" s="4">
        <v>0</v>
      </c>
      <c r="N894">
        <v>112</v>
      </c>
      <c r="O894" t="s">
        <v>151</v>
      </c>
      <c r="P894">
        <v>0</v>
      </c>
      <c r="Q894">
        <f>QtyRemaining*EstMfgMin/60</f>
        <v>0</v>
      </c>
      <c r="U894" t="e">
        <f t="shared" si="28"/>
        <v>#REF!</v>
      </c>
      <c r="V894" s="5" t="e">
        <f t="shared" si="29"/>
        <v>#REF!</v>
      </c>
    </row>
    <row r="895" spans="1:22" x14ac:dyDescent="0.25">
      <c r="A895" s="2">
        <v>46073</v>
      </c>
      <c r="B895" s="2">
        <v>46036</v>
      </c>
      <c r="C895" t="s">
        <v>465</v>
      </c>
      <c r="D895">
        <v>8</v>
      </c>
      <c r="E895" t="s">
        <v>1506</v>
      </c>
      <c r="F895" t="s">
        <v>211</v>
      </c>
      <c r="G895" t="s">
        <v>467</v>
      </c>
      <c r="H895" t="s">
        <v>1507</v>
      </c>
      <c r="I895" t="s">
        <v>214</v>
      </c>
      <c r="J895" s="3" t="s">
        <v>2073</v>
      </c>
      <c r="K895" t="s">
        <v>1352</v>
      </c>
      <c r="L895" s="4">
        <v>3</v>
      </c>
      <c r="M895" s="4">
        <v>0</v>
      </c>
      <c r="N895">
        <v>3</v>
      </c>
      <c r="O895" t="s">
        <v>86</v>
      </c>
      <c r="P895">
        <v>20</v>
      </c>
      <c r="Q895">
        <f>QtyRemaining*EstMfgMin/60</f>
        <v>1</v>
      </c>
      <c r="U895" t="e">
        <f t="shared" si="28"/>
        <v>#REF!</v>
      </c>
      <c r="V895" s="5" t="e">
        <f t="shared" si="29"/>
        <v>#REF!</v>
      </c>
    </row>
    <row r="896" spans="1:22" x14ac:dyDescent="0.25">
      <c r="A896" s="2">
        <v>46073</v>
      </c>
      <c r="B896" s="2">
        <v>46036</v>
      </c>
      <c r="C896" t="s">
        <v>465</v>
      </c>
      <c r="D896">
        <v>8</v>
      </c>
      <c r="E896" t="s">
        <v>1815</v>
      </c>
      <c r="F896" t="s">
        <v>211</v>
      </c>
      <c r="G896" t="s">
        <v>467</v>
      </c>
      <c r="H896" t="s">
        <v>1816</v>
      </c>
      <c r="I896" t="s">
        <v>214</v>
      </c>
      <c r="J896" s="3" t="s">
        <v>2074</v>
      </c>
      <c r="K896" t="s">
        <v>2075</v>
      </c>
      <c r="L896" s="4">
        <v>5</v>
      </c>
      <c r="M896" s="4">
        <v>0</v>
      </c>
      <c r="N896">
        <v>5</v>
      </c>
      <c r="O896" t="s">
        <v>176</v>
      </c>
      <c r="P896">
        <v>10</v>
      </c>
      <c r="Q896">
        <f>QtyRemaining*EstMfgMin/60</f>
        <v>0.83333333333333337</v>
      </c>
      <c r="U896" t="e">
        <f t="shared" si="28"/>
        <v>#REF!</v>
      </c>
      <c r="V896" s="5" t="e">
        <f t="shared" si="29"/>
        <v>#REF!</v>
      </c>
    </row>
    <row r="897" spans="1:22" x14ac:dyDescent="0.25">
      <c r="A897" s="2">
        <v>46073</v>
      </c>
      <c r="B897" s="2">
        <v>46050</v>
      </c>
      <c r="C897" t="s">
        <v>485</v>
      </c>
      <c r="D897">
        <v>8</v>
      </c>
      <c r="E897" t="s">
        <v>2076</v>
      </c>
      <c r="F897" t="s">
        <v>211</v>
      </c>
      <c r="G897" t="s">
        <v>2077</v>
      </c>
      <c r="H897" t="s">
        <v>2078</v>
      </c>
      <c r="I897" t="s">
        <v>214</v>
      </c>
      <c r="J897" s="3" t="s">
        <v>2079</v>
      </c>
      <c r="K897" t="s">
        <v>2080</v>
      </c>
      <c r="L897" s="4">
        <v>75</v>
      </c>
      <c r="M897" s="4">
        <v>0</v>
      </c>
      <c r="N897">
        <v>75</v>
      </c>
      <c r="O897" t="s">
        <v>266</v>
      </c>
      <c r="P897">
        <v>4</v>
      </c>
      <c r="Q897">
        <f>QtyRemaining*EstMfgMin/60</f>
        <v>5</v>
      </c>
      <c r="U897" t="e">
        <f t="shared" si="28"/>
        <v>#REF!</v>
      </c>
      <c r="V897" s="5" t="e">
        <f t="shared" si="29"/>
        <v>#REF!</v>
      </c>
    </row>
    <row r="898" spans="1:22" x14ac:dyDescent="0.25">
      <c r="A898" s="2">
        <v>46073</v>
      </c>
      <c r="B898" s="2">
        <v>46050</v>
      </c>
      <c r="C898" t="s">
        <v>465</v>
      </c>
      <c r="D898">
        <v>8</v>
      </c>
      <c r="E898" t="s">
        <v>2081</v>
      </c>
      <c r="F898" t="s">
        <v>211</v>
      </c>
      <c r="G898" t="s">
        <v>1338</v>
      </c>
      <c r="H898" t="s">
        <v>2082</v>
      </c>
      <c r="I898" t="s">
        <v>214</v>
      </c>
      <c r="J898" s="3" t="s">
        <v>2083</v>
      </c>
      <c r="K898" t="s">
        <v>2084</v>
      </c>
      <c r="L898" s="4">
        <v>94</v>
      </c>
      <c r="M898" s="4">
        <v>0</v>
      </c>
      <c r="N898">
        <v>94</v>
      </c>
      <c r="O898" t="s">
        <v>1236</v>
      </c>
      <c r="P898">
        <v>7</v>
      </c>
      <c r="Q898">
        <f>QtyRemaining*EstMfgMin/60</f>
        <v>10.966666666666667</v>
      </c>
      <c r="U898" t="e">
        <f t="shared" si="28"/>
        <v>#REF!</v>
      </c>
      <c r="V898" s="5" t="e">
        <f t="shared" si="29"/>
        <v>#REF!</v>
      </c>
    </row>
    <row r="899" spans="1:22" x14ac:dyDescent="0.25">
      <c r="A899" s="2">
        <v>46073</v>
      </c>
      <c r="B899" s="2">
        <v>46050</v>
      </c>
      <c r="C899" t="s">
        <v>465</v>
      </c>
      <c r="D899">
        <v>8</v>
      </c>
      <c r="E899" t="s">
        <v>2081</v>
      </c>
      <c r="F899" t="s">
        <v>211</v>
      </c>
      <c r="G899" t="s">
        <v>1338</v>
      </c>
      <c r="H899" t="s">
        <v>2082</v>
      </c>
      <c r="I899" t="s">
        <v>214</v>
      </c>
      <c r="J899" s="3" t="s">
        <v>2085</v>
      </c>
      <c r="K899" t="s">
        <v>2086</v>
      </c>
      <c r="L899" s="4">
        <v>25</v>
      </c>
      <c r="M899" s="4">
        <v>0</v>
      </c>
      <c r="N899">
        <v>25</v>
      </c>
      <c r="O899" t="s">
        <v>1236</v>
      </c>
      <c r="P899">
        <v>30</v>
      </c>
      <c r="Q899">
        <f>QtyRemaining*EstMfgMin/60</f>
        <v>12.5</v>
      </c>
      <c r="U899" t="e">
        <f t="shared" ref="U899:U962" si="30">VLOOKUP(A899,Calendar,13,FALSE)</f>
        <v>#REF!</v>
      </c>
      <c r="V899" s="5" t="e">
        <f t="shared" ref="V899:V962" si="31">VLOOKUP(A899,Calendar,14,FALSE)</f>
        <v>#REF!</v>
      </c>
    </row>
    <row r="900" spans="1:22" x14ac:dyDescent="0.25">
      <c r="A900" s="2">
        <v>46073</v>
      </c>
      <c r="B900" s="2">
        <v>46051</v>
      </c>
      <c r="C900" t="s">
        <v>650</v>
      </c>
      <c r="D900">
        <v>8</v>
      </c>
      <c r="E900" t="s">
        <v>2087</v>
      </c>
      <c r="F900" t="s">
        <v>283</v>
      </c>
      <c r="G900" t="s">
        <v>2088</v>
      </c>
      <c r="H900" t="s">
        <v>2089</v>
      </c>
      <c r="I900" t="s">
        <v>1087</v>
      </c>
      <c r="J900" s="3" t="s">
        <v>2090</v>
      </c>
      <c r="K900" t="s">
        <v>2091</v>
      </c>
      <c r="L900" s="4">
        <v>5</v>
      </c>
      <c r="M900" s="4">
        <v>0</v>
      </c>
      <c r="N900">
        <v>5</v>
      </c>
      <c r="P900">
        <v>75</v>
      </c>
      <c r="Q900">
        <f>QtyRemaining*EstMfgMin/60</f>
        <v>6.25</v>
      </c>
      <c r="U900" t="e">
        <f t="shared" si="30"/>
        <v>#REF!</v>
      </c>
      <c r="V900" s="5" t="e">
        <f t="shared" si="31"/>
        <v>#REF!</v>
      </c>
    </row>
    <row r="901" spans="1:22" x14ac:dyDescent="0.25">
      <c r="A901" s="2">
        <v>46073</v>
      </c>
      <c r="B901" s="2">
        <v>46051</v>
      </c>
      <c r="C901" t="s">
        <v>633</v>
      </c>
      <c r="D901">
        <v>8</v>
      </c>
      <c r="E901" t="s">
        <v>2092</v>
      </c>
      <c r="F901" t="s">
        <v>261</v>
      </c>
      <c r="G901" t="s">
        <v>262</v>
      </c>
      <c r="H901" t="s">
        <v>2093</v>
      </c>
      <c r="I901" t="s">
        <v>155</v>
      </c>
      <c r="J901" s="3" t="s">
        <v>2094</v>
      </c>
      <c r="K901" t="s">
        <v>814</v>
      </c>
      <c r="L901" s="4">
        <v>105</v>
      </c>
      <c r="M901" s="4">
        <v>0</v>
      </c>
      <c r="N901">
        <v>105</v>
      </c>
      <c r="P901">
        <v>48</v>
      </c>
      <c r="Q901">
        <f>QtyRemaining*EstMfgMin/60</f>
        <v>84</v>
      </c>
      <c r="U901" t="e">
        <f t="shared" si="30"/>
        <v>#REF!</v>
      </c>
      <c r="V901" s="5" t="e">
        <f t="shared" si="31"/>
        <v>#REF!</v>
      </c>
    </row>
    <row r="902" spans="1:22" x14ac:dyDescent="0.25">
      <c r="A902" s="2">
        <v>46073</v>
      </c>
      <c r="B902" s="2">
        <v>46051</v>
      </c>
      <c r="C902" t="s">
        <v>633</v>
      </c>
      <c r="D902">
        <v>8</v>
      </c>
      <c r="E902" t="s">
        <v>2095</v>
      </c>
      <c r="F902" t="s">
        <v>261</v>
      </c>
      <c r="G902" t="s">
        <v>262</v>
      </c>
      <c r="H902" t="s">
        <v>2093</v>
      </c>
      <c r="I902" t="s">
        <v>155</v>
      </c>
      <c r="J902" s="3" t="s">
        <v>2094</v>
      </c>
      <c r="K902" t="s">
        <v>814</v>
      </c>
      <c r="L902" s="4">
        <v>105</v>
      </c>
      <c r="M902" s="4">
        <v>0</v>
      </c>
      <c r="N902">
        <v>105</v>
      </c>
      <c r="P902">
        <v>48</v>
      </c>
      <c r="Q902">
        <f>QtyRemaining*EstMfgMin/60</f>
        <v>84</v>
      </c>
      <c r="U902" t="e">
        <f t="shared" si="30"/>
        <v>#REF!</v>
      </c>
      <c r="V902" s="5" t="e">
        <f t="shared" si="31"/>
        <v>#REF!</v>
      </c>
    </row>
    <row r="903" spans="1:22" x14ac:dyDescent="0.25">
      <c r="A903" s="2">
        <v>46076</v>
      </c>
      <c r="B903" s="2">
        <v>45840</v>
      </c>
      <c r="C903" t="s">
        <v>485</v>
      </c>
      <c r="D903">
        <v>9</v>
      </c>
      <c r="E903" t="s">
        <v>2096</v>
      </c>
      <c r="F903" t="s">
        <v>211</v>
      </c>
      <c r="G903" t="s">
        <v>864</v>
      </c>
      <c r="H903" t="s">
        <v>2097</v>
      </c>
      <c r="I903" t="s">
        <v>214</v>
      </c>
      <c r="J903" s="3" t="s">
        <v>2098</v>
      </c>
      <c r="K903" t="s">
        <v>2099</v>
      </c>
      <c r="L903" s="4">
        <v>125</v>
      </c>
      <c r="M903" s="4">
        <v>0</v>
      </c>
      <c r="N903">
        <v>125</v>
      </c>
      <c r="O903" t="s">
        <v>514</v>
      </c>
      <c r="P903">
        <v>10</v>
      </c>
      <c r="Q903">
        <f>QtyRemaining*EstMfgMin/60</f>
        <v>20.833333333333332</v>
      </c>
      <c r="U903" t="e">
        <f t="shared" si="30"/>
        <v>#REF!</v>
      </c>
      <c r="V903" s="5" t="e">
        <f t="shared" si="31"/>
        <v>#REF!</v>
      </c>
    </row>
    <row r="904" spans="1:22" x14ac:dyDescent="0.25">
      <c r="A904" s="2">
        <v>46076</v>
      </c>
      <c r="B904" s="2">
        <v>45875</v>
      </c>
      <c r="C904" t="s">
        <v>485</v>
      </c>
      <c r="D904">
        <v>9</v>
      </c>
      <c r="E904" t="s">
        <v>1887</v>
      </c>
      <c r="F904" t="s">
        <v>211</v>
      </c>
      <c r="G904" t="s">
        <v>864</v>
      </c>
      <c r="H904" t="s">
        <v>1888</v>
      </c>
      <c r="I904" t="s">
        <v>214</v>
      </c>
      <c r="J904" s="3" t="s">
        <v>2100</v>
      </c>
      <c r="K904" t="s">
        <v>2101</v>
      </c>
      <c r="L904" s="4">
        <v>50</v>
      </c>
      <c r="M904" s="4">
        <v>0</v>
      </c>
      <c r="N904">
        <v>50</v>
      </c>
      <c r="O904" t="s">
        <v>211</v>
      </c>
      <c r="P904">
        <v>9</v>
      </c>
      <c r="Q904">
        <f>QtyRemaining*EstMfgMin/60</f>
        <v>7.5</v>
      </c>
      <c r="U904" t="e">
        <f t="shared" si="30"/>
        <v>#REF!</v>
      </c>
      <c r="V904" s="5" t="e">
        <f t="shared" si="31"/>
        <v>#REF!</v>
      </c>
    </row>
    <row r="905" spans="1:22" x14ac:dyDescent="0.25">
      <c r="A905" s="2">
        <v>46076</v>
      </c>
      <c r="B905" s="2">
        <v>45915</v>
      </c>
      <c r="C905" t="s">
        <v>633</v>
      </c>
      <c r="D905">
        <v>9</v>
      </c>
      <c r="E905" t="s">
        <v>2102</v>
      </c>
      <c r="F905" t="s">
        <v>261</v>
      </c>
      <c r="G905" t="s">
        <v>262</v>
      </c>
      <c r="H905" t="s">
        <v>2103</v>
      </c>
      <c r="I905" t="s">
        <v>155</v>
      </c>
      <c r="J905" s="3" t="s">
        <v>2104</v>
      </c>
      <c r="K905" t="s">
        <v>131</v>
      </c>
      <c r="L905" s="4">
        <v>10</v>
      </c>
      <c r="M905" s="4">
        <v>0</v>
      </c>
      <c r="N905">
        <v>10</v>
      </c>
      <c r="O905" t="s">
        <v>266</v>
      </c>
      <c r="P905">
        <v>65</v>
      </c>
      <c r="Q905">
        <f>QtyRemaining*EstMfgMin/60</f>
        <v>10.833333333333334</v>
      </c>
      <c r="R905" t="s">
        <v>1445</v>
      </c>
      <c r="U905" t="e">
        <f t="shared" si="30"/>
        <v>#REF!</v>
      </c>
      <c r="V905" s="5" t="e">
        <f t="shared" si="31"/>
        <v>#REF!</v>
      </c>
    </row>
    <row r="906" spans="1:22" x14ac:dyDescent="0.25">
      <c r="A906" s="2">
        <v>46076</v>
      </c>
      <c r="B906" s="2">
        <v>45924</v>
      </c>
      <c r="C906" t="s">
        <v>633</v>
      </c>
      <c r="D906">
        <v>9</v>
      </c>
      <c r="E906" t="s">
        <v>2105</v>
      </c>
      <c r="F906" t="s">
        <v>261</v>
      </c>
      <c r="G906" t="s">
        <v>262</v>
      </c>
      <c r="H906" t="s">
        <v>2106</v>
      </c>
      <c r="I906" t="s">
        <v>83</v>
      </c>
      <c r="J906" s="3" t="s">
        <v>2107</v>
      </c>
      <c r="K906" t="s">
        <v>2108</v>
      </c>
      <c r="L906" s="4">
        <v>24</v>
      </c>
      <c r="M906" s="4">
        <v>0</v>
      </c>
      <c r="N906">
        <v>24</v>
      </c>
      <c r="O906" t="s">
        <v>266</v>
      </c>
      <c r="P906">
        <v>15</v>
      </c>
      <c r="Q906">
        <f>QtyRemaining*EstMfgMin/60</f>
        <v>6</v>
      </c>
      <c r="U906" t="e">
        <f t="shared" si="30"/>
        <v>#REF!</v>
      </c>
      <c r="V906" s="5" t="e">
        <f t="shared" si="31"/>
        <v>#REF!</v>
      </c>
    </row>
    <row r="907" spans="1:22" x14ac:dyDescent="0.25">
      <c r="A907" s="2">
        <v>46076</v>
      </c>
      <c r="B907" s="2">
        <v>45940</v>
      </c>
      <c r="C907" t="s">
        <v>633</v>
      </c>
      <c r="D907">
        <v>9</v>
      </c>
      <c r="E907" t="s">
        <v>2109</v>
      </c>
      <c r="F907" t="s">
        <v>261</v>
      </c>
      <c r="G907" t="s">
        <v>262</v>
      </c>
      <c r="H907" t="s">
        <v>2110</v>
      </c>
      <c r="I907" t="s">
        <v>45</v>
      </c>
      <c r="J907" s="3" t="s">
        <v>2111</v>
      </c>
      <c r="K907" t="s">
        <v>2112</v>
      </c>
      <c r="L907" s="4">
        <v>58</v>
      </c>
      <c r="M907" s="4">
        <v>0</v>
      </c>
      <c r="N907">
        <v>58</v>
      </c>
      <c r="O907" t="s">
        <v>176</v>
      </c>
      <c r="P907">
        <v>0</v>
      </c>
      <c r="Q907">
        <f>QtyRemaining*EstMfgMin/60</f>
        <v>0</v>
      </c>
      <c r="U907" t="e">
        <f t="shared" si="30"/>
        <v>#REF!</v>
      </c>
      <c r="V907" s="5" t="e">
        <f t="shared" si="31"/>
        <v>#REF!</v>
      </c>
    </row>
    <row r="908" spans="1:22" x14ac:dyDescent="0.25">
      <c r="A908" s="2">
        <v>46076</v>
      </c>
      <c r="B908" s="2">
        <v>45981</v>
      </c>
      <c r="C908" t="s">
        <v>478</v>
      </c>
      <c r="D908">
        <v>9</v>
      </c>
      <c r="E908" t="s">
        <v>1202</v>
      </c>
      <c r="F908" t="s">
        <v>261</v>
      </c>
      <c r="G908" t="s">
        <v>1021</v>
      </c>
      <c r="H908" t="s">
        <v>1203</v>
      </c>
      <c r="I908" t="s">
        <v>83</v>
      </c>
      <c r="J908" s="3" t="s">
        <v>2113</v>
      </c>
      <c r="K908" t="s">
        <v>2114</v>
      </c>
      <c r="L908" s="4">
        <v>1</v>
      </c>
      <c r="M908" s="4">
        <v>0</v>
      </c>
      <c r="N908">
        <v>1</v>
      </c>
      <c r="O908" t="s">
        <v>176</v>
      </c>
      <c r="P908">
        <v>62</v>
      </c>
      <c r="Q908">
        <f>QtyRemaining*EstMfgMin/60</f>
        <v>1.0333333333333334</v>
      </c>
      <c r="U908" t="e">
        <f t="shared" si="30"/>
        <v>#REF!</v>
      </c>
      <c r="V908" s="5" t="e">
        <f t="shared" si="31"/>
        <v>#REF!</v>
      </c>
    </row>
    <row r="909" spans="1:22" x14ac:dyDescent="0.25">
      <c r="A909" s="2">
        <v>46076</v>
      </c>
      <c r="B909" s="2">
        <v>45986</v>
      </c>
      <c r="C909" t="s">
        <v>1168</v>
      </c>
      <c r="D909">
        <v>9</v>
      </c>
      <c r="E909" t="s">
        <v>2115</v>
      </c>
      <c r="F909" t="s">
        <v>283</v>
      </c>
      <c r="G909" t="s">
        <v>1170</v>
      </c>
      <c r="H909" t="s">
        <v>2116</v>
      </c>
      <c r="I909" t="s">
        <v>224</v>
      </c>
      <c r="J909" s="3" t="s">
        <v>1560</v>
      </c>
      <c r="K909" t="s">
        <v>1561</v>
      </c>
      <c r="L909" s="4">
        <v>100</v>
      </c>
      <c r="M909" s="4">
        <v>0</v>
      </c>
      <c r="N909">
        <v>100</v>
      </c>
      <c r="O909" t="s">
        <v>266</v>
      </c>
      <c r="P909">
        <v>50</v>
      </c>
      <c r="Q909">
        <f>QtyRemaining*EstMfgMin/60</f>
        <v>83.333333333333329</v>
      </c>
      <c r="U909" t="e">
        <f t="shared" si="30"/>
        <v>#REF!</v>
      </c>
      <c r="V909" s="5" t="e">
        <f t="shared" si="31"/>
        <v>#REF!</v>
      </c>
    </row>
    <row r="910" spans="1:22" x14ac:dyDescent="0.25">
      <c r="A910" s="2">
        <v>46076</v>
      </c>
      <c r="B910" s="2">
        <v>46009</v>
      </c>
      <c r="C910" t="s">
        <v>485</v>
      </c>
      <c r="D910">
        <v>9</v>
      </c>
      <c r="E910" t="s">
        <v>2117</v>
      </c>
      <c r="F910" t="s">
        <v>211</v>
      </c>
      <c r="G910" t="s">
        <v>864</v>
      </c>
      <c r="H910" t="s">
        <v>2118</v>
      </c>
      <c r="I910" t="s">
        <v>214</v>
      </c>
      <c r="J910" s="3" t="s">
        <v>1432</v>
      </c>
      <c r="K910" t="s">
        <v>1433</v>
      </c>
      <c r="L910" s="4">
        <v>5</v>
      </c>
      <c r="M910" s="4">
        <v>0</v>
      </c>
      <c r="N910">
        <v>5</v>
      </c>
      <c r="O910" t="s">
        <v>514</v>
      </c>
      <c r="P910">
        <v>4</v>
      </c>
      <c r="Q910">
        <f>QtyRemaining*EstMfgMin/60</f>
        <v>0.33333333333333331</v>
      </c>
      <c r="U910" t="e">
        <f t="shared" si="30"/>
        <v>#REF!</v>
      </c>
      <c r="V910" s="5" t="e">
        <f t="shared" si="31"/>
        <v>#REF!</v>
      </c>
    </row>
    <row r="911" spans="1:22" x14ac:dyDescent="0.25">
      <c r="A911" s="2">
        <v>46076</v>
      </c>
      <c r="B911" s="2">
        <v>46009</v>
      </c>
      <c r="C911" t="s">
        <v>465</v>
      </c>
      <c r="D911">
        <v>9</v>
      </c>
      <c r="E911" t="s">
        <v>1724</v>
      </c>
      <c r="F911" t="s">
        <v>211</v>
      </c>
      <c r="G911" t="s">
        <v>467</v>
      </c>
      <c r="H911" t="s">
        <v>1725</v>
      </c>
      <c r="I911" t="s">
        <v>214</v>
      </c>
      <c r="J911" s="3" t="s">
        <v>2119</v>
      </c>
      <c r="K911" t="s">
        <v>2120</v>
      </c>
      <c r="L911" s="4">
        <v>4</v>
      </c>
      <c r="M911" s="4">
        <v>0</v>
      </c>
      <c r="N911">
        <v>4</v>
      </c>
      <c r="O911" t="s">
        <v>2121</v>
      </c>
      <c r="P911">
        <v>24</v>
      </c>
      <c r="Q911">
        <f>QtyRemaining*EstMfgMin/60</f>
        <v>1.6</v>
      </c>
      <c r="U911" t="e">
        <f t="shared" si="30"/>
        <v>#REF!</v>
      </c>
      <c r="V911" s="5" t="e">
        <f t="shared" si="31"/>
        <v>#REF!</v>
      </c>
    </row>
    <row r="912" spans="1:22" x14ac:dyDescent="0.25">
      <c r="A912" s="2">
        <v>46076</v>
      </c>
      <c r="B912" s="2">
        <v>46028</v>
      </c>
      <c r="C912" t="s">
        <v>650</v>
      </c>
      <c r="D912">
        <v>9</v>
      </c>
      <c r="E912" t="s">
        <v>2122</v>
      </c>
      <c r="F912" t="s">
        <v>283</v>
      </c>
      <c r="G912" t="s">
        <v>652</v>
      </c>
      <c r="H912" t="s">
        <v>2123</v>
      </c>
      <c r="I912" t="s">
        <v>1087</v>
      </c>
      <c r="J912" s="3" t="s">
        <v>2124</v>
      </c>
      <c r="K912" t="s">
        <v>2125</v>
      </c>
      <c r="L912" s="4">
        <v>15</v>
      </c>
      <c r="M912" s="4">
        <v>0</v>
      </c>
      <c r="N912">
        <v>15</v>
      </c>
      <c r="O912" t="s">
        <v>2126</v>
      </c>
      <c r="P912">
        <v>40</v>
      </c>
      <c r="Q912">
        <f>QtyRemaining*EstMfgMin/60</f>
        <v>10</v>
      </c>
      <c r="R912" t="s">
        <v>1062</v>
      </c>
      <c r="U912" t="e">
        <f t="shared" si="30"/>
        <v>#REF!</v>
      </c>
      <c r="V912" s="5" t="e">
        <f t="shared" si="31"/>
        <v>#REF!</v>
      </c>
    </row>
    <row r="913" spans="1:22" x14ac:dyDescent="0.25">
      <c r="A913" s="2">
        <v>46076</v>
      </c>
      <c r="B913" s="2">
        <v>46051</v>
      </c>
      <c r="C913" t="s">
        <v>485</v>
      </c>
      <c r="D913">
        <v>9</v>
      </c>
      <c r="E913" t="s">
        <v>2127</v>
      </c>
      <c r="F913" t="s">
        <v>211</v>
      </c>
      <c r="G913" t="s">
        <v>864</v>
      </c>
      <c r="H913" t="s">
        <v>2128</v>
      </c>
      <c r="I913" t="s">
        <v>214</v>
      </c>
      <c r="J913" s="3" t="s">
        <v>2129</v>
      </c>
      <c r="K913" t="s">
        <v>2130</v>
      </c>
      <c r="L913" s="4">
        <v>10</v>
      </c>
      <c r="M913" s="4">
        <v>0</v>
      </c>
      <c r="N913">
        <v>10</v>
      </c>
      <c r="O913" t="s">
        <v>514</v>
      </c>
      <c r="P913">
        <v>13</v>
      </c>
      <c r="Q913">
        <f>QtyRemaining*EstMfgMin/60</f>
        <v>2.1666666666666665</v>
      </c>
      <c r="U913" t="e">
        <f t="shared" si="30"/>
        <v>#REF!</v>
      </c>
      <c r="V913" s="5" t="e">
        <f t="shared" si="31"/>
        <v>#REF!</v>
      </c>
    </row>
    <row r="914" spans="1:22" x14ac:dyDescent="0.25">
      <c r="A914" s="2">
        <v>46076</v>
      </c>
      <c r="B914" s="2">
        <v>46051</v>
      </c>
      <c r="C914" t="s">
        <v>485</v>
      </c>
      <c r="D914">
        <v>9</v>
      </c>
      <c r="E914" t="s">
        <v>2127</v>
      </c>
      <c r="F914" t="s">
        <v>211</v>
      </c>
      <c r="G914" t="s">
        <v>864</v>
      </c>
      <c r="H914" t="s">
        <v>2128</v>
      </c>
      <c r="I914" t="s">
        <v>214</v>
      </c>
      <c r="J914" s="3" t="s">
        <v>2131</v>
      </c>
      <c r="K914" t="s">
        <v>2132</v>
      </c>
      <c r="L914" s="4">
        <v>5</v>
      </c>
      <c r="M914" s="4">
        <v>0</v>
      </c>
      <c r="N914">
        <v>5</v>
      </c>
      <c r="O914" t="s">
        <v>514</v>
      </c>
      <c r="P914">
        <v>12</v>
      </c>
      <c r="Q914">
        <f>QtyRemaining*EstMfgMin/60</f>
        <v>1</v>
      </c>
      <c r="U914" t="e">
        <f t="shared" si="30"/>
        <v>#REF!</v>
      </c>
      <c r="V914" s="5" t="e">
        <f t="shared" si="31"/>
        <v>#REF!</v>
      </c>
    </row>
    <row r="915" spans="1:22" x14ac:dyDescent="0.25">
      <c r="A915" s="2">
        <v>46076</v>
      </c>
      <c r="B915" s="2">
        <v>46051</v>
      </c>
      <c r="C915" t="s">
        <v>485</v>
      </c>
      <c r="D915">
        <v>9</v>
      </c>
      <c r="E915" t="s">
        <v>2127</v>
      </c>
      <c r="F915" t="s">
        <v>211</v>
      </c>
      <c r="G915" t="s">
        <v>864</v>
      </c>
      <c r="H915" t="s">
        <v>2128</v>
      </c>
      <c r="I915" t="s">
        <v>214</v>
      </c>
      <c r="J915" s="3" t="s">
        <v>2133</v>
      </c>
      <c r="K915" t="s">
        <v>2134</v>
      </c>
      <c r="L915" s="4">
        <v>1</v>
      </c>
      <c r="M915" s="4">
        <v>0</v>
      </c>
      <c r="N915">
        <v>1</v>
      </c>
      <c r="O915" t="s">
        <v>86</v>
      </c>
      <c r="P915">
        <v>20</v>
      </c>
      <c r="Q915">
        <f>QtyRemaining*EstMfgMin/60</f>
        <v>0.33333333333333331</v>
      </c>
      <c r="U915" t="e">
        <f t="shared" si="30"/>
        <v>#REF!</v>
      </c>
      <c r="V915" s="5" t="e">
        <f t="shared" si="31"/>
        <v>#REF!</v>
      </c>
    </row>
    <row r="916" spans="1:22" x14ac:dyDescent="0.25">
      <c r="A916" s="2">
        <v>46077</v>
      </c>
      <c r="B916" s="2">
        <v>45882</v>
      </c>
      <c r="C916" t="s">
        <v>633</v>
      </c>
      <c r="D916">
        <v>9</v>
      </c>
      <c r="E916" t="s">
        <v>2135</v>
      </c>
      <c r="F916" t="s">
        <v>261</v>
      </c>
      <c r="G916" t="s">
        <v>262</v>
      </c>
      <c r="H916" t="s">
        <v>2136</v>
      </c>
      <c r="I916" t="s">
        <v>45</v>
      </c>
      <c r="J916" s="3" t="s">
        <v>2137</v>
      </c>
      <c r="K916" t="s">
        <v>117</v>
      </c>
      <c r="L916" s="4">
        <v>47</v>
      </c>
      <c r="M916" s="4">
        <v>0</v>
      </c>
      <c r="N916">
        <v>47</v>
      </c>
      <c r="O916" t="s">
        <v>643</v>
      </c>
      <c r="P916">
        <v>0</v>
      </c>
      <c r="Q916">
        <f>QtyRemaining*EstMfgMin/60</f>
        <v>0</v>
      </c>
      <c r="R916" t="s">
        <v>2138</v>
      </c>
      <c r="U916" t="e">
        <f t="shared" si="30"/>
        <v>#REF!</v>
      </c>
      <c r="V916" s="5" t="e">
        <f t="shared" si="31"/>
        <v>#REF!</v>
      </c>
    </row>
    <row r="917" spans="1:22" x14ac:dyDescent="0.25">
      <c r="A917" s="2">
        <v>46077</v>
      </c>
      <c r="B917" s="2">
        <v>45915</v>
      </c>
      <c r="C917" t="s">
        <v>633</v>
      </c>
      <c r="D917">
        <v>9</v>
      </c>
      <c r="E917" t="s">
        <v>2139</v>
      </c>
      <c r="F917" t="s">
        <v>261</v>
      </c>
      <c r="G917" t="s">
        <v>262</v>
      </c>
      <c r="H917" t="s">
        <v>2140</v>
      </c>
      <c r="I917" t="s">
        <v>83</v>
      </c>
      <c r="J917" s="3" t="s">
        <v>2141</v>
      </c>
      <c r="K917" t="s">
        <v>2142</v>
      </c>
      <c r="L917" s="4">
        <v>68</v>
      </c>
      <c r="M917" s="4">
        <v>0</v>
      </c>
      <c r="N917">
        <v>68</v>
      </c>
      <c r="O917" t="s">
        <v>643</v>
      </c>
      <c r="P917">
        <v>40</v>
      </c>
      <c r="Q917">
        <f>QtyRemaining*EstMfgMin/60</f>
        <v>45.333333333333336</v>
      </c>
      <c r="U917" t="e">
        <f t="shared" si="30"/>
        <v>#REF!</v>
      </c>
      <c r="V917" s="5" t="e">
        <f t="shared" si="31"/>
        <v>#REF!</v>
      </c>
    </row>
    <row r="918" spans="1:22" x14ac:dyDescent="0.25">
      <c r="A918" s="2">
        <v>46077</v>
      </c>
      <c r="B918" s="2">
        <v>45925</v>
      </c>
      <c r="C918" t="s">
        <v>465</v>
      </c>
      <c r="D918">
        <v>9</v>
      </c>
      <c r="E918" t="s">
        <v>2143</v>
      </c>
      <c r="F918" t="s">
        <v>211</v>
      </c>
      <c r="G918" t="s">
        <v>467</v>
      </c>
      <c r="H918" t="s">
        <v>2144</v>
      </c>
      <c r="I918" t="s">
        <v>214</v>
      </c>
      <c r="J918" s="3" t="s">
        <v>1996</v>
      </c>
      <c r="K918" t="s">
        <v>1997</v>
      </c>
      <c r="L918" s="4">
        <v>2</v>
      </c>
      <c r="M918" s="4">
        <v>0</v>
      </c>
      <c r="N918">
        <v>2</v>
      </c>
      <c r="O918" t="s">
        <v>266</v>
      </c>
      <c r="P918">
        <v>150</v>
      </c>
      <c r="Q918">
        <f>QtyRemaining*EstMfgMin/60</f>
        <v>5</v>
      </c>
      <c r="U918" t="e">
        <f t="shared" si="30"/>
        <v>#REF!</v>
      </c>
      <c r="V918" s="5" t="e">
        <f t="shared" si="31"/>
        <v>#REF!</v>
      </c>
    </row>
    <row r="919" spans="1:22" x14ac:dyDescent="0.25">
      <c r="A919" s="2">
        <v>46077</v>
      </c>
      <c r="B919" s="2">
        <v>45925</v>
      </c>
      <c r="C919" t="s">
        <v>465</v>
      </c>
      <c r="D919">
        <v>9</v>
      </c>
      <c r="E919" t="s">
        <v>2143</v>
      </c>
      <c r="F919" t="s">
        <v>211</v>
      </c>
      <c r="G919" t="s">
        <v>467</v>
      </c>
      <c r="H919" t="s">
        <v>2144</v>
      </c>
      <c r="I919" t="s">
        <v>214</v>
      </c>
      <c r="J919" s="3" t="s">
        <v>1996</v>
      </c>
      <c r="K919" t="s">
        <v>1997</v>
      </c>
      <c r="L919" s="4">
        <v>1</v>
      </c>
      <c r="M919" s="4">
        <v>0</v>
      </c>
      <c r="N919">
        <v>1</v>
      </c>
      <c r="O919" t="s">
        <v>266</v>
      </c>
      <c r="P919">
        <v>150</v>
      </c>
      <c r="Q919">
        <f>QtyRemaining*EstMfgMin/60</f>
        <v>2.5</v>
      </c>
      <c r="U919" t="e">
        <f t="shared" si="30"/>
        <v>#REF!</v>
      </c>
      <c r="V919" s="5" t="e">
        <f t="shared" si="31"/>
        <v>#REF!</v>
      </c>
    </row>
    <row r="920" spans="1:22" x14ac:dyDescent="0.25">
      <c r="A920" s="2">
        <v>46077</v>
      </c>
      <c r="B920" s="2">
        <v>45933</v>
      </c>
      <c r="C920" t="s">
        <v>478</v>
      </c>
      <c r="D920">
        <v>9</v>
      </c>
      <c r="E920" t="s">
        <v>1488</v>
      </c>
      <c r="F920" t="s">
        <v>261</v>
      </c>
      <c r="G920" t="s">
        <v>1228</v>
      </c>
      <c r="H920" t="s">
        <v>1489</v>
      </c>
      <c r="I920" t="s">
        <v>155</v>
      </c>
      <c r="J920" s="3" t="s">
        <v>1490</v>
      </c>
      <c r="K920" t="s">
        <v>1491</v>
      </c>
      <c r="L920" s="4">
        <v>4</v>
      </c>
      <c r="M920" s="4">
        <v>0</v>
      </c>
      <c r="N920">
        <v>4</v>
      </c>
      <c r="O920" t="s">
        <v>146</v>
      </c>
      <c r="P920">
        <v>52</v>
      </c>
      <c r="Q920">
        <f>QtyRemaining*EstMfgMin/60</f>
        <v>3.4666666666666668</v>
      </c>
      <c r="R920" t="s">
        <v>967</v>
      </c>
      <c r="U920" t="e">
        <f t="shared" si="30"/>
        <v>#REF!</v>
      </c>
      <c r="V920" s="5" t="e">
        <f t="shared" si="31"/>
        <v>#REF!</v>
      </c>
    </row>
    <row r="921" spans="1:22" x14ac:dyDescent="0.25">
      <c r="A921" s="2">
        <v>46077</v>
      </c>
      <c r="B921" s="2">
        <v>45979</v>
      </c>
      <c r="C921" t="s">
        <v>2145</v>
      </c>
      <c r="D921">
        <v>9</v>
      </c>
      <c r="E921" t="s">
        <v>2146</v>
      </c>
      <c r="F921" t="s">
        <v>261</v>
      </c>
      <c r="G921" t="s">
        <v>2147</v>
      </c>
      <c r="I921" t="s">
        <v>155</v>
      </c>
      <c r="J921" s="3" t="s">
        <v>2148</v>
      </c>
      <c r="K921" t="s">
        <v>2149</v>
      </c>
      <c r="L921" s="4">
        <v>2</v>
      </c>
      <c r="M921" s="4">
        <v>0</v>
      </c>
      <c r="N921">
        <v>2</v>
      </c>
      <c r="O921" t="s">
        <v>86</v>
      </c>
      <c r="P921">
        <v>25</v>
      </c>
      <c r="Q921">
        <f>QtyRemaining*EstMfgMin/60</f>
        <v>0.83333333333333337</v>
      </c>
      <c r="R921" t="s">
        <v>2150</v>
      </c>
      <c r="U921" t="e">
        <f t="shared" si="30"/>
        <v>#REF!</v>
      </c>
      <c r="V921" s="5" t="e">
        <f t="shared" si="31"/>
        <v>#REF!</v>
      </c>
    </row>
    <row r="922" spans="1:22" x14ac:dyDescent="0.25">
      <c r="A922" s="2">
        <v>46077</v>
      </c>
      <c r="B922" s="2">
        <v>46027</v>
      </c>
      <c r="C922" t="s">
        <v>485</v>
      </c>
      <c r="D922">
        <v>9</v>
      </c>
      <c r="E922" t="s">
        <v>2151</v>
      </c>
      <c r="F922" t="s">
        <v>211</v>
      </c>
      <c r="G922" t="s">
        <v>864</v>
      </c>
      <c r="H922" t="s">
        <v>2152</v>
      </c>
      <c r="I922" t="s">
        <v>214</v>
      </c>
      <c r="J922" s="3" t="s">
        <v>2153</v>
      </c>
      <c r="K922" t="s">
        <v>2154</v>
      </c>
      <c r="L922" s="4">
        <v>50</v>
      </c>
      <c r="M922" s="4">
        <v>0</v>
      </c>
      <c r="N922">
        <v>50</v>
      </c>
      <c r="O922" t="s">
        <v>868</v>
      </c>
      <c r="P922">
        <v>60</v>
      </c>
      <c r="Q922">
        <f>QtyRemaining*EstMfgMin/60</f>
        <v>50</v>
      </c>
      <c r="U922" t="e">
        <f t="shared" si="30"/>
        <v>#REF!</v>
      </c>
      <c r="V922" s="5" t="e">
        <f t="shared" si="31"/>
        <v>#REF!</v>
      </c>
    </row>
    <row r="923" spans="1:22" x14ac:dyDescent="0.25">
      <c r="A923" s="2">
        <v>46077</v>
      </c>
      <c r="B923" s="2">
        <v>46027</v>
      </c>
      <c r="C923" t="s">
        <v>485</v>
      </c>
      <c r="D923">
        <v>9</v>
      </c>
      <c r="E923" t="s">
        <v>2151</v>
      </c>
      <c r="F923" t="s">
        <v>211</v>
      </c>
      <c r="G923" t="s">
        <v>864</v>
      </c>
      <c r="H923" t="s">
        <v>2152</v>
      </c>
      <c r="I923" t="s">
        <v>214</v>
      </c>
      <c r="J923" s="3" t="s">
        <v>2155</v>
      </c>
      <c r="K923" t="s">
        <v>2156</v>
      </c>
      <c r="L923" s="4">
        <v>100</v>
      </c>
      <c r="M923" s="4">
        <v>0</v>
      </c>
      <c r="N923">
        <v>100</v>
      </c>
      <c r="O923" t="s">
        <v>176</v>
      </c>
      <c r="P923">
        <v>13</v>
      </c>
      <c r="Q923">
        <f>QtyRemaining*EstMfgMin/60</f>
        <v>21.666666666666668</v>
      </c>
      <c r="U923" t="e">
        <f t="shared" si="30"/>
        <v>#REF!</v>
      </c>
      <c r="V923" s="5" t="e">
        <f t="shared" si="31"/>
        <v>#REF!</v>
      </c>
    </row>
    <row r="924" spans="1:22" x14ac:dyDescent="0.25">
      <c r="A924" s="2">
        <v>46077</v>
      </c>
      <c r="B924" s="2">
        <v>46027</v>
      </c>
      <c r="C924" t="s">
        <v>485</v>
      </c>
      <c r="D924">
        <v>9</v>
      </c>
      <c r="E924" t="s">
        <v>2151</v>
      </c>
      <c r="F924" t="s">
        <v>211</v>
      </c>
      <c r="G924" t="s">
        <v>864</v>
      </c>
      <c r="H924" t="s">
        <v>2152</v>
      </c>
      <c r="I924" t="s">
        <v>214</v>
      </c>
      <c r="J924" s="3" t="s">
        <v>2157</v>
      </c>
      <c r="K924" t="s">
        <v>2158</v>
      </c>
      <c r="L924" s="4">
        <v>100</v>
      </c>
      <c r="M924" s="4">
        <v>0</v>
      </c>
      <c r="N924">
        <v>100</v>
      </c>
      <c r="O924" t="s">
        <v>176</v>
      </c>
      <c r="P924">
        <v>10</v>
      </c>
      <c r="Q924">
        <f>QtyRemaining*EstMfgMin/60</f>
        <v>16.666666666666668</v>
      </c>
      <c r="U924" t="e">
        <f t="shared" si="30"/>
        <v>#REF!</v>
      </c>
      <c r="V924" s="5" t="e">
        <f t="shared" si="31"/>
        <v>#REF!</v>
      </c>
    </row>
    <row r="925" spans="1:22" x14ac:dyDescent="0.25">
      <c r="A925" s="2">
        <v>46077</v>
      </c>
      <c r="B925" s="2">
        <v>46036</v>
      </c>
      <c r="C925" t="s">
        <v>465</v>
      </c>
      <c r="D925">
        <v>9</v>
      </c>
      <c r="E925" t="s">
        <v>1506</v>
      </c>
      <c r="F925" t="s">
        <v>211</v>
      </c>
      <c r="G925" t="s">
        <v>467</v>
      </c>
      <c r="H925" t="s">
        <v>1507</v>
      </c>
      <c r="I925" t="s">
        <v>214</v>
      </c>
      <c r="J925" s="3" t="s">
        <v>2159</v>
      </c>
      <c r="K925" t="s">
        <v>2160</v>
      </c>
      <c r="L925" s="4">
        <v>2</v>
      </c>
      <c r="M925" s="4">
        <v>0</v>
      </c>
      <c r="N925">
        <v>2</v>
      </c>
      <c r="O925" t="s">
        <v>176</v>
      </c>
      <c r="P925">
        <v>43</v>
      </c>
      <c r="Q925">
        <f>QtyRemaining*EstMfgMin/60</f>
        <v>1.4333333333333333</v>
      </c>
      <c r="U925" t="e">
        <f t="shared" si="30"/>
        <v>#REF!</v>
      </c>
      <c r="V925" s="5" t="e">
        <f t="shared" si="31"/>
        <v>#REF!</v>
      </c>
    </row>
    <row r="926" spans="1:22" x14ac:dyDescent="0.25">
      <c r="A926" s="2">
        <v>46077</v>
      </c>
      <c r="B926" s="2">
        <v>46045</v>
      </c>
      <c r="C926" t="s">
        <v>465</v>
      </c>
      <c r="D926">
        <v>9</v>
      </c>
      <c r="E926" t="s">
        <v>2161</v>
      </c>
      <c r="F926" t="s">
        <v>211</v>
      </c>
      <c r="G926" t="s">
        <v>467</v>
      </c>
      <c r="H926" t="s">
        <v>2162</v>
      </c>
      <c r="I926" t="s">
        <v>214</v>
      </c>
      <c r="J926" s="3" t="s">
        <v>1728</v>
      </c>
      <c r="K926" t="s">
        <v>1729</v>
      </c>
      <c r="L926" s="4">
        <v>5</v>
      </c>
      <c r="M926" s="4">
        <v>0</v>
      </c>
      <c r="N926">
        <v>5</v>
      </c>
      <c r="O926" t="s">
        <v>86</v>
      </c>
      <c r="P926">
        <v>108</v>
      </c>
      <c r="Q926">
        <f>QtyRemaining*EstMfgMin/60</f>
        <v>9</v>
      </c>
      <c r="U926" t="e">
        <f t="shared" si="30"/>
        <v>#REF!</v>
      </c>
      <c r="V926" s="5" t="e">
        <f t="shared" si="31"/>
        <v>#REF!</v>
      </c>
    </row>
    <row r="927" spans="1:22" x14ac:dyDescent="0.25">
      <c r="A927" s="2">
        <v>46078</v>
      </c>
      <c r="B927" s="2">
        <v>45586</v>
      </c>
      <c r="C927" t="s">
        <v>478</v>
      </c>
      <c r="D927">
        <v>9</v>
      </c>
      <c r="E927" t="s">
        <v>2022</v>
      </c>
      <c r="F927" t="s">
        <v>261</v>
      </c>
      <c r="G927" t="s">
        <v>2023</v>
      </c>
      <c r="H927" t="s">
        <v>2024</v>
      </c>
      <c r="I927" t="s">
        <v>155</v>
      </c>
      <c r="J927" s="3" t="s">
        <v>2025</v>
      </c>
      <c r="K927" t="s">
        <v>2026</v>
      </c>
      <c r="L927" s="4">
        <v>15</v>
      </c>
      <c r="M927" s="4">
        <v>0</v>
      </c>
      <c r="N927">
        <v>15</v>
      </c>
      <c r="O927" t="s">
        <v>94</v>
      </c>
      <c r="P927">
        <v>60</v>
      </c>
      <c r="Q927">
        <f>QtyRemaining*EstMfgMin/60</f>
        <v>15</v>
      </c>
      <c r="R927" t="s">
        <v>1062</v>
      </c>
      <c r="U927" t="e">
        <f t="shared" si="30"/>
        <v>#REF!</v>
      </c>
      <c r="V927" s="5" t="e">
        <f t="shared" si="31"/>
        <v>#REF!</v>
      </c>
    </row>
    <row r="928" spans="1:22" x14ac:dyDescent="0.25">
      <c r="A928" s="2">
        <v>46078</v>
      </c>
      <c r="B928" s="2">
        <v>46001</v>
      </c>
      <c r="C928" t="s">
        <v>1821</v>
      </c>
      <c r="D928">
        <v>9</v>
      </c>
      <c r="E928" t="s">
        <v>2163</v>
      </c>
      <c r="F928" t="s">
        <v>261</v>
      </c>
      <c r="G928" t="s">
        <v>2164</v>
      </c>
      <c r="H928" t="s">
        <v>2165</v>
      </c>
      <c r="I928" t="s">
        <v>155</v>
      </c>
      <c r="J928" s="3" t="s">
        <v>2166</v>
      </c>
      <c r="K928" t="s">
        <v>2167</v>
      </c>
      <c r="L928" s="4">
        <v>8</v>
      </c>
      <c r="M928" s="4">
        <v>0</v>
      </c>
      <c r="N928">
        <v>8</v>
      </c>
      <c r="O928" t="s">
        <v>176</v>
      </c>
      <c r="P928">
        <v>154</v>
      </c>
      <c r="Q928">
        <f>QtyRemaining*EstMfgMin/60</f>
        <v>20.533333333333335</v>
      </c>
      <c r="U928" t="e">
        <f t="shared" si="30"/>
        <v>#REF!</v>
      </c>
      <c r="V928" s="5" t="e">
        <f t="shared" si="31"/>
        <v>#REF!</v>
      </c>
    </row>
    <row r="929" spans="1:22" x14ac:dyDescent="0.25">
      <c r="A929" s="2">
        <v>46078</v>
      </c>
      <c r="B929" s="2">
        <v>46001</v>
      </c>
      <c r="C929" t="s">
        <v>1821</v>
      </c>
      <c r="D929">
        <v>9</v>
      </c>
      <c r="E929" t="s">
        <v>2163</v>
      </c>
      <c r="F929" t="s">
        <v>261</v>
      </c>
      <c r="G929" t="s">
        <v>2164</v>
      </c>
      <c r="H929" t="s">
        <v>2165</v>
      </c>
      <c r="I929" t="s">
        <v>155</v>
      </c>
      <c r="J929" s="3" t="s">
        <v>2168</v>
      </c>
      <c r="K929" t="s">
        <v>2169</v>
      </c>
      <c r="L929" s="4">
        <v>8</v>
      </c>
      <c r="M929" s="4">
        <v>0</v>
      </c>
      <c r="N929">
        <v>8</v>
      </c>
      <c r="O929" t="s">
        <v>176</v>
      </c>
      <c r="P929">
        <v>154</v>
      </c>
      <c r="Q929">
        <f>QtyRemaining*EstMfgMin/60</f>
        <v>20.533333333333335</v>
      </c>
      <c r="U929" t="e">
        <f t="shared" si="30"/>
        <v>#REF!</v>
      </c>
      <c r="V929" s="5" t="e">
        <f t="shared" si="31"/>
        <v>#REF!</v>
      </c>
    </row>
    <row r="930" spans="1:22" x14ac:dyDescent="0.25">
      <c r="A930" s="2">
        <v>46079</v>
      </c>
      <c r="B930" s="2">
        <v>45868</v>
      </c>
      <c r="C930" t="s">
        <v>478</v>
      </c>
      <c r="D930">
        <v>9</v>
      </c>
      <c r="E930" t="s">
        <v>2170</v>
      </c>
      <c r="F930" t="s">
        <v>261</v>
      </c>
      <c r="G930" t="s">
        <v>882</v>
      </c>
      <c r="H930" t="s">
        <v>2171</v>
      </c>
      <c r="I930" t="s">
        <v>83</v>
      </c>
      <c r="J930" s="3" t="s">
        <v>2172</v>
      </c>
      <c r="K930" t="s">
        <v>2173</v>
      </c>
      <c r="L930" s="4">
        <v>35</v>
      </c>
      <c r="M930" s="4">
        <v>0</v>
      </c>
      <c r="N930">
        <v>35</v>
      </c>
      <c r="O930" t="s">
        <v>176</v>
      </c>
      <c r="P930">
        <v>16</v>
      </c>
      <c r="Q930">
        <f>QtyRemaining*EstMfgMin/60</f>
        <v>9.3333333333333339</v>
      </c>
      <c r="U930" t="e">
        <f t="shared" si="30"/>
        <v>#REF!</v>
      </c>
      <c r="V930" s="5" t="e">
        <f t="shared" si="31"/>
        <v>#REF!</v>
      </c>
    </row>
    <row r="931" spans="1:22" x14ac:dyDescent="0.25">
      <c r="A931" s="2">
        <v>46079</v>
      </c>
      <c r="B931" s="2">
        <v>45868</v>
      </c>
      <c r="C931" t="s">
        <v>478</v>
      </c>
      <c r="D931">
        <v>9</v>
      </c>
      <c r="E931" t="s">
        <v>2170</v>
      </c>
      <c r="F931" t="s">
        <v>261</v>
      </c>
      <c r="G931" t="s">
        <v>882</v>
      </c>
      <c r="H931" t="s">
        <v>2171</v>
      </c>
      <c r="I931" t="s">
        <v>83</v>
      </c>
      <c r="J931" s="3" t="s">
        <v>724</v>
      </c>
      <c r="K931" t="s">
        <v>725</v>
      </c>
      <c r="L931" s="4">
        <v>1</v>
      </c>
      <c r="M931" s="4">
        <v>0</v>
      </c>
      <c r="N931">
        <v>1</v>
      </c>
      <c r="P931">
        <v>0</v>
      </c>
      <c r="Q931">
        <f>QtyRemaining*EstMfgMin/60</f>
        <v>0</v>
      </c>
      <c r="U931" t="e">
        <f t="shared" si="30"/>
        <v>#REF!</v>
      </c>
      <c r="V931" s="5" t="e">
        <f t="shared" si="31"/>
        <v>#REF!</v>
      </c>
    </row>
    <row r="932" spans="1:22" x14ac:dyDescent="0.25">
      <c r="A932" s="2">
        <v>46079</v>
      </c>
      <c r="B932" s="2">
        <v>45868</v>
      </c>
      <c r="C932" t="s">
        <v>478</v>
      </c>
      <c r="D932">
        <v>9</v>
      </c>
      <c r="E932" t="s">
        <v>2170</v>
      </c>
      <c r="F932" t="s">
        <v>261</v>
      </c>
      <c r="G932" t="s">
        <v>882</v>
      </c>
      <c r="H932" t="s">
        <v>2171</v>
      </c>
      <c r="I932" t="s">
        <v>83</v>
      </c>
      <c r="J932" s="3" t="s">
        <v>884</v>
      </c>
      <c r="K932" t="s">
        <v>885</v>
      </c>
      <c r="L932" s="4">
        <v>1</v>
      </c>
      <c r="M932" s="4">
        <v>0</v>
      </c>
      <c r="N932">
        <v>1</v>
      </c>
      <c r="P932">
        <v>0</v>
      </c>
      <c r="Q932">
        <f>QtyRemaining*EstMfgMin/60</f>
        <v>0</v>
      </c>
      <c r="U932" t="e">
        <f t="shared" si="30"/>
        <v>#REF!</v>
      </c>
      <c r="V932" s="5" t="e">
        <f t="shared" si="31"/>
        <v>#REF!</v>
      </c>
    </row>
    <row r="933" spans="1:22" x14ac:dyDescent="0.25">
      <c r="A933" s="2">
        <v>46079</v>
      </c>
      <c r="B933" s="2">
        <v>45972</v>
      </c>
      <c r="C933" t="s">
        <v>485</v>
      </c>
      <c r="D933">
        <v>9</v>
      </c>
      <c r="E933" t="s">
        <v>1078</v>
      </c>
      <c r="F933" t="s">
        <v>211</v>
      </c>
      <c r="G933" t="s">
        <v>761</v>
      </c>
      <c r="H933" t="s">
        <v>1079</v>
      </c>
      <c r="I933" t="s">
        <v>214</v>
      </c>
      <c r="J933" s="3" t="s">
        <v>1615</v>
      </c>
      <c r="K933" t="s">
        <v>1616</v>
      </c>
      <c r="L933" s="4">
        <v>85</v>
      </c>
      <c r="M933" s="4">
        <v>0</v>
      </c>
      <c r="N933">
        <v>85</v>
      </c>
      <c r="O933" t="s">
        <v>1082</v>
      </c>
      <c r="P933">
        <v>12</v>
      </c>
      <c r="Q933">
        <f>QtyRemaining*EstMfgMin/60</f>
        <v>17</v>
      </c>
      <c r="U933" t="e">
        <f t="shared" si="30"/>
        <v>#REF!</v>
      </c>
      <c r="V933" s="5" t="e">
        <f t="shared" si="31"/>
        <v>#REF!</v>
      </c>
    </row>
    <row r="934" spans="1:22" x14ac:dyDescent="0.25">
      <c r="A934" s="2">
        <v>46079</v>
      </c>
      <c r="B934" s="2">
        <v>46009</v>
      </c>
      <c r="C934" t="s">
        <v>485</v>
      </c>
      <c r="D934">
        <v>9</v>
      </c>
      <c r="E934" t="s">
        <v>1426</v>
      </c>
      <c r="F934" t="s">
        <v>211</v>
      </c>
      <c r="G934" t="s">
        <v>864</v>
      </c>
      <c r="H934" t="s">
        <v>1427</v>
      </c>
      <c r="I934" t="s">
        <v>214</v>
      </c>
      <c r="J934" s="3" t="s">
        <v>2174</v>
      </c>
      <c r="K934" t="s">
        <v>2175</v>
      </c>
      <c r="L934" s="4">
        <v>50</v>
      </c>
      <c r="M934" s="4">
        <v>0</v>
      </c>
      <c r="N934">
        <v>50</v>
      </c>
      <c r="O934" t="s">
        <v>1188</v>
      </c>
      <c r="P934">
        <v>16</v>
      </c>
      <c r="Q934">
        <f>QtyRemaining*EstMfgMin/60</f>
        <v>13.333333333333334</v>
      </c>
      <c r="U934" t="e">
        <f t="shared" si="30"/>
        <v>#REF!</v>
      </c>
      <c r="V934" s="5" t="e">
        <f t="shared" si="31"/>
        <v>#REF!</v>
      </c>
    </row>
    <row r="935" spans="1:22" x14ac:dyDescent="0.25">
      <c r="A935" s="2">
        <v>46079</v>
      </c>
      <c r="B935" s="2">
        <v>46010</v>
      </c>
      <c r="C935" t="s">
        <v>465</v>
      </c>
      <c r="D935">
        <v>9</v>
      </c>
      <c r="E935" t="s">
        <v>2176</v>
      </c>
      <c r="F935" t="s">
        <v>211</v>
      </c>
      <c r="G935" t="s">
        <v>467</v>
      </c>
      <c r="H935" t="s">
        <v>2177</v>
      </c>
      <c r="I935" t="s">
        <v>214</v>
      </c>
      <c r="J935" s="3" t="s">
        <v>2178</v>
      </c>
      <c r="K935" t="s">
        <v>2179</v>
      </c>
      <c r="L935" s="4">
        <v>2</v>
      </c>
      <c r="M935" s="4">
        <v>0</v>
      </c>
      <c r="N935">
        <v>2</v>
      </c>
      <c r="O935" t="s">
        <v>266</v>
      </c>
      <c r="P935">
        <v>24</v>
      </c>
      <c r="Q935">
        <f>QtyRemaining*EstMfgMin/60</f>
        <v>0.8</v>
      </c>
      <c r="U935" t="e">
        <f t="shared" si="30"/>
        <v>#REF!</v>
      </c>
      <c r="V935" s="5" t="e">
        <f t="shared" si="31"/>
        <v>#REF!</v>
      </c>
    </row>
    <row r="936" spans="1:22" x14ac:dyDescent="0.25">
      <c r="A936" s="2">
        <v>46079</v>
      </c>
      <c r="B936" s="2">
        <v>46010</v>
      </c>
      <c r="C936" t="s">
        <v>465</v>
      </c>
      <c r="D936">
        <v>9</v>
      </c>
      <c r="E936" t="s">
        <v>2176</v>
      </c>
      <c r="F936" t="s">
        <v>211</v>
      </c>
      <c r="G936" t="s">
        <v>467</v>
      </c>
      <c r="H936" t="s">
        <v>2177</v>
      </c>
      <c r="I936" t="s">
        <v>214</v>
      </c>
      <c r="J936" s="3" t="s">
        <v>2180</v>
      </c>
      <c r="K936" t="s">
        <v>2181</v>
      </c>
      <c r="L936" s="4">
        <v>2</v>
      </c>
      <c r="M936" s="4">
        <v>0</v>
      </c>
      <c r="N936">
        <v>2</v>
      </c>
      <c r="O936" t="s">
        <v>94</v>
      </c>
      <c r="P936">
        <v>66</v>
      </c>
      <c r="Q936">
        <f>QtyRemaining*EstMfgMin/60</f>
        <v>2.2000000000000002</v>
      </c>
      <c r="U936" t="e">
        <f t="shared" si="30"/>
        <v>#REF!</v>
      </c>
      <c r="V936" s="5" t="e">
        <f t="shared" si="31"/>
        <v>#REF!</v>
      </c>
    </row>
    <row r="937" spans="1:22" x14ac:dyDescent="0.25">
      <c r="A937" s="2">
        <v>46079</v>
      </c>
      <c r="B937" s="2">
        <v>46036</v>
      </c>
      <c r="C937" t="s">
        <v>465</v>
      </c>
      <c r="D937">
        <v>9</v>
      </c>
      <c r="E937" t="s">
        <v>1815</v>
      </c>
      <c r="F937" t="s">
        <v>211</v>
      </c>
      <c r="G937" t="s">
        <v>467</v>
      </c>
      <c r="H937" t="s">
        <v>1816</v>
      </c>
      <c r="I937" t="s">
        <v>214</v>
      </c>
      <c r="J937" s="3" t="s">
        <v>2182</v>
      </c>
      <c r="K937" t="s">
        <v>2183</v>
      </c>
      <c r="L937" s="4">
        <v>1</v>
      </c>
      <c r="M937" s="4">
        <v>0</v>
      </c>
      <c r="N937">
        <v>1</v>
      </c>
      <c r="O937" t="s">
        <v>86</v>
      </c>
      <c r="P937">
        <v>59</v>
      </c>
      <c r="Q937">
        <f>QtyRemaining*EstMfgMin/60</f>
        <v>0.98333333333333328</v>
      </c>
      <c r="U937" t="e">
        <f t="shared" si="30"/>
        <v>#REF!</v>
      </c>
      <c r="V937" s="5" t="e">
        <f t="shared" si="31"/>
        <v>#REF!</v>
      </c>
    </row>
    <row r="938" spans="1:22" x14ac:dyDescent="0.25">
      <c r="A938" s="2">
        <v>46079</v>
      </c>
      <c r="B938" s="2">
        <v>46036</v>
      </c>
      <c r="C938" t="s">
        <v>465</v>
      </c>
      <c r="D938">
        <v>9</v>
      </c>
      <c r="E938" t="s">
        <v>1815</v>
      </c>
      <c r="F938" t="s">
        <v>211</v>
      </c>
      <c r="G938" t="s">
        <v>467</v>
      </c>
      <c r="H938" t="s">
        <v>1816</v>
      </c>
      <c r="I938" t="s">
        <v>214</v>
      </c>
      <c r="J938" s="3" t="s">
        <v>2184</v>
      </c>
      <c r="K938" t="s">
        <v>2185</v>
      </c>
      <c r="L938" s="4">
        <v>1</v>
      </c>
      <c r="M938" s="4">
        <v>0</v>
      </c>
      <c r="N938">
        <v>1</v>
      </c>
      <c r="O938" t="s">
        <v>266</v>
      </c>
      <c r="P938">
        <v>64</v>
      </c>
      <c r="Q938">
        <f>QtyRemaining*EstMfgMin/60</f>
        <v>1.0666666666666667</v>
      </c>
      <c r="U938" t="e">
        <f t="shared" si="30"/>
        <v>#REF!</v>
      </c>
      <c r="V938" s="5" t="e">
        <f t="shared" si="31"/>
        <v>#REF!</v>
      </c>
    </row>
    <row r="939" spans="1:22" x14ac:dyDescent="0.25">
      <c r="A939" s="2">
        <v>46079</v>
      </c>
      <c r="B939" s="2">
        <v>46036</v>
      </c>
      <c r="C939" t="s">
        <v>465</v>
      </c>
      <c r="D939">
        <v>9</v>
      </c>
      <c r="E939" t="s">
        <v>1815</v>
      </c>
      <c r="F939" t="s">
        <v>211</v>
      </c>
      <c r="G939" t="s">
        <v>467</v>
      </c>
      <c r="H939" t="s">
        <v>1816</v>
      </c>
      <c r="I939" t="s">
        <v>214</v>
      </c>
      <c r="J939" s="3" t="s">
        <v>2186</v>
      </c>
      <c r="K939" t="s">
        <v>2187</v>
      </c>
      <c r="L939" s="4">
        <v>5</v>
      </c>
      <c r="M939" s="4">
        <v>0</v>
      </c>
      <c r="N939">
        <v>5</v>
      </c>
      <c r="O939" t="s">
        <v>86</v>
      </c>
      <c r="P939">
        <v>10</v>
      </c>
      <c r="Q939">
        <f>QtyRemaining*EstMfgMin/60</f>
        <v>0.83333333333333337</v>
      </c>
      <c r="U939" t="e">
        <f t="shared" si="30"/>
        <v>#REF!</v>
      </c>
      <c r="V939" s="5" t="e">
        <f t="shared" si="31"/>
        <v>#REF!</v>
      </c>
    </row>
    <row r="940" spans="1:22" x14ac:dyDescent="0.25">
      <c r="A940" s="2">
        <v>46079</v>
      </c>
      <c r="B940" s="2">
        <v>46036</v>
      </c>
      <c r="C940" t="s">
        <v>465</v>
      </c>
      <c r="D940">
        <v>9</v>
      </c>
      <c r="E940" t="s">
        <v>1815</v>
      </c>
      <c r="F940" t="s">
        <v>211</v>
      </c>
      <c r="G940" t="s">
        <v>467</v>
      </c>
      <c r="H940" t="s">
        <v>1816</v>
      </c>
      <c r="I940" t="s">
        <v>214</v>
      </c>
      <c r="J940" s="3" t="s">
        <v>875</v>
      </c>
      <c r="K940" t="s">
        <v>2188</v>
      </c>
      <c r="L940" s="4">
        <v>1</v>
      </c>
      <c r="M940" s="4">
        <v>0</v>
      </c>
      <c r="N940">
        <v>1</v>
      </c>
      <c r="P940">
        <v>0</v>
      </c>
      <c r="Q940">
        <f>QtyRemaining*EstMfgMin/60</f>
        <v>0</v>
      </c>
      <c r="U940" t="e">
        <f t="shared" si="30"/>
        <v>#REF!</v>
      </c>
      <c r="V940" s="5" t="e">
        <f t="shared" si="31"/>
        <v>#REF!</v>
      </c>
    </row>
    <row r="941" spans="1:22" x14ac:dyDescent="0.25">
      <c r="A941" s="2">
        <v>46079</v>
      </c>
      <c r="B941" s="2">
        <v>46036</v>
      </c>
      <c r="C941" t="s">
        <v>1168</v>
      </c>
      <c r="D941">
        <v>9</v>
      </c>
      <c r="E941" t="s">
        <v>2189</v>
      </c>
      <c r="F941" t="s">
        <v>211</v>
      </c>
      <c r="G941" t="s">
        <v>1553</v>
      </c>
      <c r="H941" t="s">
        <v>2190</v>
      </c>
      <c r="I941" t="s">
        <v>83</v>
      </c>
      <c r="J941" s="3" t="s">
        <v>2191</v>
      </c>
      <c r="K941" t="s">
        <v>2192</v>
      </c>
      <c r="L941" s="4">
        <v>1</v>
      </c>
      <c r="M941" s="4">
        <v>0</v>
      </c>
      <c r="N941">
        <v>1</v>
      </c>
      <c r="O941" t="s">
        <v>1057</v>
      </c>
      <c r="P941">
        <v>10</v>
      </c>
      <c r="Q941">
        <f>QtyRemaining*EstMfgMin/60</f>
        <v>0.16666666666666666</v>
      </c>
      <c r="U941" t="e">
        <f t="shared" si="30"/>
        <v>#REF!</v>
      </c>
      <c r="V941" s="5" t="e">
        <f t="shared" si="31"/>
        <v>#REF!</v>
      </c>
    </row>
    <row r="942" spans="1:22" x14ac:dyDescent="0.25">
      <c r="A942" s="2">
        <v>46079</v>
      </c>
      <c r="B942" s="2">
        <v>46036</v>
      </c>
      <c r="C942" t="s">
        <v>1168</v>
      </c>
      <c r="D942">
        <v>9</v>
      </c>
      <c r="E942" t="s">
        <v>2189</v>
      </c>
      <c r="F942" t="s">
        <v>211</v>
      </c>
      <c r="G942" t="s">
        <v>1553</v>
      </c>
      <c r="H942" t="s">
        <v>2190</v>
      </c>
      <c r="I942" t="s">
        <v>83</v>
      </c>
      <c r="J942" s="3" t="s">
        <v>2193</v>
      </c>
      <c r="K942" t="s">
        <v>2192</v>
      </c>
      <c r="L942" s="4">
        <v>1</v>
      </c>
      <c r="M942" s="4">
        <v>0</v>
      </c>
      <c r="N942">
        <v>1</v>
      </c>
      <c r="O942" t="s">
        <v>1557</v>
      </c>
      <c r="P942">
        <v>10</v>
      </c>
      <c r="Q942">
        <f>QtyRemaining*EstMfgMin/60</f>
        <v>0.16666666666666666</v>
      </c>
      <c r="U942" t="e">
        <f t="shared" si="30"/>
        <v>#REF!</v>
      </c>
      <c r="V942" s="5" t="e">
        <f t="shared" si="31"/>
        <v>#REF!</v>
      </c>
    </row>
    <row r="943" spans="1:22" x14ac:dyDescent="0.25">
      <c r="A943" s="2">
        <v>46080</v>
      </c>
      <c r="B943" s="2">
        <v>45481</v>
      </c>
      <c r="C943" t="s">
        <v>478</v>
      </c>
      <c r="D943">
        <v>9</v>
      </c>
      <c r="E943" t="s">
        <v>2194</v>
      </c>
      <c r="F943" t="s">
        <v>261</v>
      </c>
      <c r="G943" t="s">
        <v>2023</v>
      </c>
      <c r="H943" t="s">
        <v>2024</v>
      </c>
      <c r="I943" t="s">
        <v>155</v>
      </c>
      <c r="J943" s="3" t="s">
        <v>2195</v>
      </c>
      <c r="K943" t="s">
        <v>2196</v>
      </c>
      <c r="L943" s="4">
        <v>86</v>
      </c>
      <c r="M943" s="4">
        <v>0</v>
      </c>
      <c r="N943">
        <v>86</v>
      </c>
      <c r="O943" t="s">
        <v>457</v>
      </c>
      <c r="P943">
        <v>60</v>
      </c>
      <c r="Q943">
        <f>QtyRemaining*EstMfgMin/60</f>
        <v>86</v>
      </c>
      <c r="R943" t="s">
        <v>2197</v>
      </c>
      <c r="U943" t="e">
        <f t="shared" si="30"/>
        <v>#REF!</v>
      </c>
      <c r="V943" s="5" t="e">
        <f t="shared" si="31"/>
        <v>#REF!</v>
      </c>
    </row>
    <row r="944" spans="1:22" x14ac:dyDescent="0.25">
      <c r="A944" s="2">
        <v>46080</v>
      </c>
      <c r="B944" s="2">
        <v>45541</v>
      </c>
      <c r="C944" t="s">
        <v>633</v>
      </c>
      <c r="D944">
        <v>9</v>
      </c>
      <c r="E944" t="s">
        <v>1582</v>
      </c>
      <c r="F944" t="s">
        <v>261</v>
      </c>
      <c r="G944" t="s">
        <v>1583</v>
      </c>
      <c r="H944" t="s">
        <v>1584</v>
      </c>
      <c r="I944" t="s">
        <v>83</v>
      </c>
      <c r="J944" s="3" t="s">
        <v>1585</v>
      </c>
      <c r="K944" t="s">
        <v>1586</v>
      </c>
      <c r="L944" s="4">
        <v>4</v>
      </c>
      <c r="M944" s="4">
        <v>0</v>
      </c>
      <c r="N944">
        <v>4</v>
      </c>
      <c r="P944">
        <v>0</v>
      </c>
      <c r="Q944">
        <f>QtyRemaining*EstMfgMin/60</f>
        <v>0</v>
      </c>
      <c r="U944" t="e">
        <f t="shared" si="30"/>
        <v>#REF!</v>
      </c>
      <c r="V944" s="5" t="e">
        <f t="shared" si="31"/>
        <v>#REF!</v>
      </c>
    </row>
    <row r="945" spans="1:22" x14ac:dyDescent="0.25">
      <c r="A945" s="2">
        <v>46080</v>
      </c>
      <c r="B945" s="2">
        <v>45674</v>
      </c>
      <c r="C945" t="s">
        <v>570</v>
      </c>
      <c r="D945">
        <v>9</v>
      </c>
      <c r="E945" t="s">
        <v>571</v>
      </c>
      <c r="F945" t="s">
        <v>261</v>
      </c>
      <c r="G945" t="s">
        <v>262</v>
      </c>
      <c r="H945" t="s">
        <v>572</v>
      </c>
      <c r="I945" t="s">
        <v>83</v>
      </c>
      <c r="J945" s="3" t="s">
        <v>932</v>
      </c>
      <c r="K945" t="s">
        <v>933</v>
      </c>
      <c r="L945" s="4">
        <v>10</v>
      </c>
      <c r="M945" s="4">
        <v>0</v>
      </c>
      <c r="N945">
        <v>10</v>
      </c>
      <c r="O945" t="s">
        <v>118</v>
      </c>
      <c r="P945">
        <v>0</v>
      </c>
      <c r="Q945">
        <f>QtyRemaining*EstMfgMin/60</f>
        <v>0</v>
      </c>
      <c r="U945" t="e">
        <f t="shared" si="30"/>
        <v>#REF!</v>
      </c>
      <c r="V945" s="5" t="e">
        <f t="shared" si="31"/>
        <v>#REF!</v>
      </c>
    </row>
    <row r="946" spans="1:22" x14ac:dyDescent="0.25">
      <c r="A946" s="2">
        <v>46080</v>
      </c>
      <c r="B946" s="2">
        <v>45754</v>
      </c>
      <c r="C946" t="s">
        <v>221</v>
      </c>
      <c r="D946">
        <v>9</v>
      </c>
      <c r="E946" t="s">
        <v>2198</v>
      </c>
      <c r="F946" t="s">
        <v>211</v>
      </c>
      <c r="G946" t="s">
        <v>519</v>
      </c>
      <c r="H946" t="s">
        <v>2199</v>
      </c>
      <c r="I946" t="s">
        <v>83</v>
      </c>
      <c r="J946" s="3" t="s">
        <v>2200</v>
      </c>
      <c r="K946" t="s">
        <v>2201</v>
      </c>
      <c r="L946" s="4">
        <v>10</v>
      </c>
      <c r="M946" s="4">
        <v>0</v>
      </c>
      <c r="N946">
        <v>10</v>
      </c>
      <c r="O946" t="s">
        <v>118</v>
      </c>
      <c r="P946">
        <v>0</v>
      </c>
      <c r="Q946">
        <f>QtyRemaining*EstMfgMin/60</f>
        <v>0</v>
      </c>
      <c r="U946" t="e">
        <f t="shared" si="30"/>
        <v>#REF!</v>
      </c>
      <c r="V946" s="5" t="e">
        <f t="shared" si="31"/>
        <v>#REF!</v>
      </c>
    </row>
    <row r="947" spans="1:22" x14ac:dyDescent="0.25">
      <c r="A947" s="2">
        <v>46080</v>
      </c>
      <c r="B947" s="2">
        <v>45763</v>
      </c>
      <c r="C947" t="s">
        <v>485</v>
      </c>
      <c r="D947">
        <v>9</v>
      </c>
      <c r="E947" t="s">
        <v>2202</v>
      </c>
      <c r="F947" t="s">
        <v>211</v>
      </c>
      <c r="G947" t="s">
        <v>1066</v>
      </c>
      <c r="H947" t="s">
        <v>2203</v>
      </c>
      <c r="I947" t="s">
        <v>214</v>
      </c>
      <c r="J947" s="3" t="s">
        <v>2204</v>
      </c>
      <c r="K947" t="s">
        <v>2205</v>
      </c>
      <c r="L947" s="4">
        <v>200</v>
      </c>
      <c r="M947" s="4">
        <v>0</v>
      </c>
      <c r="N947">
        <v>200</v>
      </c>
      <c r="O947" t="s">
        <v>176</v>
      </c>
      <c r="P947">
        <v>7</v>
      </c>
      <c r="Q947">
        <f>QtyRemaining*EstMfgMin/60</f>
        <v>23.333333333333332</v>
      </c>
      <c r="U947" t="e">
        <f t="shared" si="30"/>
        <v>#REF!</v>
      </c>
      <c r="V947" s="5" t="e">
        <f t="shared" si="31"/>
        <v>#REF!</v>
      </c>
    </row>
    <row r="948" spans="1:22" x14ac:dyDescent="0.25">
      <c r="A948" s="2">
        <v>46080</v>
      </c>
      <c r="B948" s="2">
        <v>45861</v>
      </c>
      <c r="C948" t="s">
        <v>650</v>
      </c>
      <c r="D948">
        <v>9</v>
      </c>
      <c r="E948" t="s">
        <v>2206</v>
      </c>
      <c r="F948" t="s">
        <v>283</v>
      </c>
      <c r="G948" t="s">
        <v>652</v>
      </c>
      <c r="H948" t="s">
        <v>2207</v>
      </c>
      <c r="I948" t="s">
        <v>1087</v>
      </c>
      <c r="J948" s="3" t="s">
        <v>2208</v>
      </c>
      <c r="K948" t="s">
        <v>2209</v>
      </c>
      <c r="L948" s="4">
        <v>64</v>
      </c>
      <c r="M948" s="4">
        <v>0</v>
      </c>
      <c r="N948">
        <v>64</v>
      </c>
      <c r="O948" t="s">
        <v>2210</v>
      </c>
      <c r="P948">
        <v>8</v>
      </c>
      <c r="Q948">
        <f>QtyRemaining*EstMfgMin/60</f>
        <v>8.5333333333333332</v>
      </c>
      <c r="R948" t="s">
        <v>1062</v>
      </c>
      <c r="U948" t="e">
        <f t="shared" si="30"/>
        <v>#REF!</v>
      </c>
      <c r="V948" s="5" t="e">
        <f t="shared" si="31"/>
        <v>#REF!</v>
      </c>
    </row>
    <row r="949" spans="1:22" x14ac:dyDescent="0.25">
      <c r="A949" s="2">
        <v>46080</v>
      </c>
      <c r="B949" s="2">
        <v>45922</v>
      </c>
      <c r="C949" t="s">
        <v>633</v>
      </c>
      <c r="D949">
        <v>9</v>
      </c>
      <c r="E949" t="s">
        <v>2211</v>
      </c>
      <c r="F949" t="s">
        <v>261</v>
      </c>
      <c r="G949" t="s">
        <v>2212</v>
      </c>
      <c r="H949" t="s">
        <v>2213</v>
      </c>
      <c r="I949" t="s">
        <v>45</v>
      </c>
      <c r="J949" s="3" t="s">
        <v>2214</v>
      </c>
      <c r="K949" t="s">
        <v>2215</v>
      </c>
      <c r="L949" s="4">
        <v>475</v>
      </c>
      <c r="M949" s="4">
        <v>0</v>
      </c>
      <c r="N949">
        <v>475</v>
      </c>
      <c r="O949" t="s">
        <v>118</v>
      </c>
      <c r="P949">
        <v>0</v>
      </c>
      <c r="Q949">
        <f>QtyRemaining*EstMfgMin/60</f>
        <v>0</v>
      </c>
      <c r="U949" t="e">
        <f t="shared" si="30"/>
        <v>#REF!</v>
      </c>
      <c r="V949" s="5" t="e">
        <f t="shared" si="31"/>
        <v>#REF!</v>
      </c>
    </row>
    <row r="950" spans="1:22" x14ac:dyDescent="0.25">
      <c r="A950" s="2">
        <v>46080</v>
      </c>
      <c r="B950" s="2">
        <v>45922</v>
      </c>
      <c r="C950" t="s">
        <v>633</v>
      </c>
      <c r="D950">
        <v>9</v>
      </c>
      <c r="E950" t="s">
        <v>2211</v>
      </c>
      <c r="F950" t="s">
        <v>261</v>
      </c>
      <c r="G950" t="s">
        <v>2212</v>
      </c>
      <c r="H950" t="s">
        <v>2213</v>
      </c>
      <c r="I950" t="s">
        <v>45</v>
      </c>
      <c r="J950" s="3" t="s">
        <v>2214</v>
      </c>
      <c r="K950" t="s">
        <v>2215</v>
      </c>
      <c r="L950" s="4">
        <v>475</v>
      </c>
      <c r="M950" s="4">
        <v>0</v>
      </c>
      <c r="N950">
        <v>475</v>
      </c>
      <c r="O950" t="s">
        <v>118</v>
      </c>
      <c r="P950">
        <v>0</v>
      </c>
      <c r="Q950">
        <f>QtyRemaining*EstMfgMin/60</f>
        <v>0</v>
      </c>
      <c r="U950" t="e">
        <f t="shared" si="30"/>
        <v>#REF!</v>
      </c>
      <c r="V950" s="5" t="e">
        <f t="shared" si="31"/>
        <v>#REF!</v>
      </c>
    </row>
    <row r="951" spans="1:22" x14ac:dyDescent="0.25">
      <c r="A951" s="2">
        <v>46080</v>
      </c>
      <c r="B951" s="2">
        <v>45922</v>
      </c>
      <c r="C951" t="s">
        <v>633</v>
      </c>
      <c r="D951">
        <v>9</v>
      </c>
      <c r="E951" t="s">
        <v>2211</v>
      </c>
      <c r="F951" t="s">
        <v>261</v>
      </c>
      <c r="G951" t="s">
        <v>2212</v>
      </c>
      <c r="H951" t="s">
        <v>2213</v>
      </c>
      <c r="I951" t="s">
        <v>83</v>
      </c>
      <c r="J951" s="3" t="s">
        <v>2216</v>
      </c>
      <c r="K951" t="s">
        <v>2217</v>
      </c>
      <c r="L951" s="4">
        <v>10</v>
      </c>
      <c r="M951" s="4">
        <v>0</v>
      </c>
      <c r="N951">
        <v>10</v>
      </c>
      <c r="O951" t="s">
        <v>176</v>
      </c>
      <c r="P951">
        <v>15</v>
      </c>
      <c r="Q951">
        <f>QtyRemaining*EstMfgMin/60</f>
        <v>2.5</v>
      </c>
      <c r="U951" t="e">
        <f t="shared" si="30"/>
        <v>#REF!</v>
      </c>
      <c r="V951" s="5" t="e">
        <f t="shared" si="31"/>
        <v>#REF!</v>
      </c>
    </row>
    <row r="952" spans="1:22" x14ac:dyDescent="0.25">
      <c r="A952" s="2">
        <v>46080</v>
      </c>
      <c r="B952" s="2">
        <v>45922</v>
      </c>
      <c r="C952" t="s">
        <v>633</v>
      </c>
      <c r="D952">
        <v>9</v>
      </c>
      <c r="E952" t="s">
        <v>2211</v>
      </c>
      <c r="F952" t="s">
        <v>261</v>
      </c>
      <c r="G952" t="s">
        <v>2212</v>
      </c>
      <c r="H952" t="s">
        <v>2213</v>
      </c>
      <c r="I952" t="s">
        <v>83</v>
      </c>
      <c r="J952" s="3" t="s">
        <v>2218</v>
      </c>
      <c r="K952" t="s">
        <v>2219</v>
      </c>
      <c r="L952" s="4">
        <v>10</v>
      </c>
      <c r="M952" s="4">
        <v>0</v>
      </c>
      <c r="N952">
        <v>10</v>
      </c>
      <c r="O952" t="s">
        <v>176</v>
      </c>
      <c r="P952">
        <v>15</v>
      </c>
      <c r="Q952">
        <f>QtyRemaining*EstMfgMin/60</f>
        <v>2.5</v>
      </c>
      <c r="U952" t="e">
        <f t="shared" si="30"/>
        <v>#REF!</v>
      </c>
      <c r="V952" s="5" t="e">
        <f t="shared" si="31"/>
        <v>#REF!</v>
      </c>
    </row>
    <row r="953" spans="1:22" x14ac:dyDescent="0.25">
      <c r="A953" s="2">
        <v>46080</v>
      </c>
      <c r="B953" s="2">
        <v>45922</v>
      </c>
      <c r="C953" t="s">
        <v>633</v>
      </c>
      <c r="D953">
        <v>9</v>
      </c>
      <c r="E953" t="s">
        <v>2211</v>
      </c>
      <c r="F953" t="s">
        <v>261</v>
      </c>
      <c r="G953" t="s">
        <v>2212</v>
      </c>
      <c r="H953" t="s">
        <v>2213</v>
      </c>
      <c r="I953" t="s">
        <v>83</v>
      </c>
      <c r="J953" s="3" t="s">
        <v>2220</v>
      </c>
      <c r="K953" t="s">
        <v>2221</v>
      </c>
      <c r="L953" s="4">
        <v>15</v>
      </c>
      <c r="M953" s="4">
        <v>0</v>
      </c>
      <c r="N953">
        <v>15</v>
      </c>
      <c r="O953" t="s">
        <v>176</v>
      </c>
      <c r="P953">
        <v>174</v>
      </c>
      <c r="Q953">
        <f>QtyRemaining*EstMfgMin/60</f>
        <v>43.5</v>
      </c>
      <c r="U953" t="e">
        <f t="shared" si="30"/>
        <v>#REF!</v>
      </c>
      <c r="V953" s="5" t="e">
        <f t="shared" si="31"/>
        <v>#REF!</v>
      </c>
    </row>
    <row r="954" spans="1:22" x14ac:dyDescent="0.25">
      <c r="A954" s="2">
        <v>46080</v>
      </c>
      <c r="B954" s="2">
        <v>45922</v>
      </c>
      <c r="C954" t="s">
        <v>633</v>
      </c>
      <c r="D954">
        <v>9</v>
      </c>
      <c r="E954" t="s">
        <v>2211</v>
      </c>
      <c r="F954" t="s">
        <v>261</v>
      </c>
      <c r="G954" t="s">
        <v>2212</v>
      </c>
      <c r="H954" t="s">
        <v>2213</v>
      </c>
      <c r="I954" t="s">
        <v>83</v>
      </c>
      <c r="J954" s="3" t="s">
        <v>2222</v>
      </c>
      <c r="K954" t="s">
        <v>2223</v>
      </c>
      <c r="L954" s="4">
        <v>15</v>
      </c>
      <c r="M954" s="4">
        <v>0</v>
      </c>
      <c r="N954">
        <v>15</v>
      </c>
      <c r="O954" t="s">
        <v>176</v>
      </c>
      <c r="P954">
        <v>180</v>
      </c>
      <c r="Q954">
        <f>QtyRemaining*EstMfgMin/60</f>
        <v>45</v>
      </c>
      <c r="U954" t="e">
        <f t="shared" si="30"/>
        <v>#REF!</v>
      </c>
      <c r="V954" s="5" t="e">
        <f t="shared" si="31"/>
        <v>#REF!</v>
      </c>
    </row>
    <row r="955" spans="1:22" x14ac:dyDescent="0.25">
      <c r="A955" s="2">
        <v>46080</v>
      </c>
      <c r="B955" s="2">
        <v>45922</v>
      </c>
      <c r="C955" t="s">
        <v>633</v>
      </c>
      <c r="D955">
        <v>9</v>
      </c>
      <c r="E955" t="s">
        <v>2211</v>
      </c>
      <c r="F955" t="s">
        <v>261</v>
      </c>
      <c r="G955" t="s">
        <v>2212</v>
      </c>
      <c r="H955" t="s">
        <v>2213</v>
      </c>
      <c r="I955" t="s">
        <v>83</v>
      </c>
      <c r="J955" s="3" t="s">
        <v>2224</v>
      </c>
      <c r="K955" t="s">
        <v>2223</v>
      </c>
      <c r="L955" s="4">
        <v>10</v>
      </c>
      <c r="M955" s="4">
        <v>0</v>
      </c>
      <c r="N955">
        <v>10</v>
      </c>
      <c r="O955" t="s">
        <v>176</v>
      </c>
      <c r="P955">
        <v>180</v>
      </c>
      <c r="Q955">
        <f>QtyRemaining*EstMfgMin/60</f>
        <v>30</v>
      </c>
      <c r="U955" t="e">
        <f t="shared" si="30"/>
        <v>#REF!</v>
      </c>
      <c r="V955" s="5" t="e">
        <f t="shared" si="31"/>
        <v>#REF!</v>
      </c>
    </row>
    <row r="956" spans="1:22" x14ac:dyDescent="0.25">
      <c r="A956" s="2">
        <v>46080</v>
      </c>
      <c r="B956" s="2">
        <v>45922</v>
      </c>
      <c r="C956" t="s">
        <v>633</v>
      </c>
      <c r="D956">
        <v>9</v>
      </c>
      <c r="E956" t="s">
        <v>2211</v>
      </c>
      <c r="F956" t="s">
        <v>261</v>
      </c>
      <c r="G956" t="s">
        <v>2212</v>
      </c>
      <c r="H956" t="s">
        <v>2213</v>
      </c>
      <c r="I956" t="s">
        <v>83</v>
      </c>
      <c r="J956" s="3" t="s">
        <v>2225</v>
      </c>
      <c r="K956" t="s">
        <v>2226</v>
      </c>
      <c r="L956" s="4">
        <v>10</v>
      </c>
      <c r="M956" s="4">
        <v>0</v>
      </c>
      <c r="N956">
        <v>10</v>
      </c>
      <c r="O956" t="s">
        <v>86</v>
      </c>
      <c r="P956">
        <v>10</v>
      </c>
      <c r="Q956">
        <f>QtyRemaining*EstMfgMin/60</f>
        <v>1.6666666666666667</v>
      </c>
      <c r="U956" t="e">
        <f t="shared" si="30"/>
        <v>#REF!</v>
      </c>
      <c r="V956" s="5" t="e">
        <f t="shared" si="31"/>
        <v>#REF!</v>
      </c>
    </row>
    <row r="957" spans="1:22" x14ac:dyDescent="0.25">
      <c r="A957" s="2">
        <v>46080</v>
      </c>
      <c r="B957" s="2">
        <v>45922</v>
      </c>
      <c r="C957" t="s">
        <v>633</v>
      </c>
      <c r="D957">
        <v>9</v>
      </c>
      <c r="E957" t="s">
        <v>2211</v>
      </c>
      <c r="F957" t="s">
        <v>261</v>
      </c>
      <c r="G957" t="s">
        <v>2212</v>
      </c>
      <c r="H957" t="s">
        <v>2213</v>
      </c>
      <c r="I957" t="s">
        <v>83</v>
      </c>
      <c r="J957" s="3" t="s">
        <v>2227</v>
      </c>
      <c r="K957" t="s">
        <v>2228</v>
      </c>
      <c r="L957" s="4">
        <v>15</v>
      </c>
      <c r="M957" s="4">
        <v>0</v>
      </c>
      <c r="N957">
        <v>15</v>
      </c>
      <c r="O957" t="s">
        <v>266</v>
      </c>
      <c r="P957">
        <v>20</v>
      </c>
      <c r="Q957">
        <f>QtyRemaining*EstMfgMin/60</f>
        <v>5</v>
      </c>
      <c r="U957" t="e">
        <f t="shared" si="30"/>
        <v>#REF!</v>
      </c>
      <c r="V957" s="5" t="e">
        <f t="shared" si="31"/>
        <v>#REF!</v>
      </c>
    </row>
    <row r="958" spans="1:22" x14ac:dyDescent="0.25">
      <c r="A958" s="2">
        <v>46080</v>
      </c>
      <c r="B958" s="2">
        <v>45922</v>
      </c>
      <c r="C958" t="s">
        <v>633</v>
      </c>
      <c r="D958">
        <v>9</v>
      </c>
      <c r="E958" t="s">
        <v>2211</v>
      </c>
      <c r="F958" t="s">
        <v>261</v>
      </c>
      <c r="G958" t="s">
        <v>2212</v>
      </c>
      <c r="H958" t="s">
        <v>2213</v>
      </c>
      <c r="I958" t="s">
        <v>83</v>
      </c>
      <c r="J958" s="3" t="s">
        <v>2229</v>
      </c>
      <c r="K958" t="s">
        <v>2230</v>
      </c>
      <c r="L958" s="4">
        <v>10</v>
      </c>
      <c r="M958" s="4">
        <v>0</v>
      </c>
      <c r="N958">
        <v>10</v>
      </c>
      <c r="O958" t="s">
        <v>94</v>
      </c>
      <c r="P958">
        <v>40</v>
      </c>
      <c r="Q958">
        <f>QtyRemaining*EstMfgMin/60</f>
        <v>6.666666666666667</v>
      </c>
      <c r="U958" t="e">
        <f t="shared" si="30"/>
        <v>#REF!</v>
      </c>
      <c r="V958" s="5" t="e">
        <f t="shared" si="31"/>
        <v>#REF!</v>
      </c>
    </row>
    <row r="959" spans="1:22" x14ac:dyDescent="0.25">
      <c r="A959" s="2">
        <v>46080</v>
      </c>
      <c r="B959" s="2">
        <v>45922</v>
      </c>
      <c r="C959" t="s">
        <v>633</v>
      </c>
      <c r="D959">
        <v>9</v>
      </c>
      <c r="E959" t="s">
        <v>2211</v>
      </c>
      <c r="F959" t="s">
        <v>261</v>
      </c>
      <c r="G959" t="s">
        <v>2212</v>
      </c>
      <c r="H959" t="s">
        <v>2213</v>
      </c>
      <c r="I959" t="s">
        <v>83</v>
      </c>
      <c r="J959" s="3" t="s">
        <v>2231</v>
      </c>
      <c r="K959" t="s">
        <v>2232</v>
      </c>
      <c r="L959" s="4">
        <v>10</v>
      </c>
      <c r="M959" s="4">
        <v>0</v>
      </c>
      <c r="N959">
        <v>10</v>
      </c>
      <c r="O959" t="s">
        <v>86</v>
      </c>
      <c r="P959">
        <v>15</v>
      </c>
      <c r="Q959">
        <f>QtyRemaining*EstMfgMin/60</f>
        <v>2.5</v>
      </c>
      <c r="U959" t="e">
        <f t="shared" si="30"/>
        <v>#REF!</v>
      </c>
      <c r="V959" s="5" t="e">
        <f t="shared" si="31"/>
        <v>#REF!</v>
      </c>
    </row>
    <row r="960" spans="1:22" x14ac:dyDescent="0.25">
      <c r="A960" s="2">
        <v>46080</v>
      </c>
      <c r="B960" s="2">
        <v>45922</v>
      </c>
      <c r="C960" t="s">
        <v>633</v>
      </c>
      <c r="D960">
        <v>9</v>
      </c>
      <c r="E960" t="s">
        <v>2211</v>
      </c>
      <c r="F960" t="s">
        <v>261</v>
      </c>
      <c r="G960" t="s">
        <v>2212</v>
      </c>
      <c r="H960" t="s">
        <v>2213</v>
      </c>
      <c r="I960" t="s">
        <v>83</v>
      </c>
      <c r="J960" s="3" t="s">
        <v>2233</v>
      </c>
      <c r="K960" t="s">
        <v>2232</v>
      </c>
      <c r="L960" s="4">
        <v>10</v>
      </c>
      <c r="M960" s="4">
        <v>0</v>
      </c>
      <c r="N960">
        <v>10</v>
      </c>
      <c r="O960" t="s">
        <v>86</v>
      </c>
      <c r="P960">
        <v>15</v>
      </c>
      <c r="Q960">
        <f>QtyRemaining*EstMfgMin/60</f>
        <v>2.5</v>
      </c>
      <c r="U960" t="e">
        <f t="shared" si="30"/>
        <v>#REF!</v>
      </c>
      <c r="V960" s="5" t="e">
        <f t="shared" si="31"/>
        <v>#REF!</v>
      </c>
    </row>
    <row r="961" spans="1:22" x14ac:dyDescent="0.25">
      <c r="A961" s="2">
        <v>46080</v>
      </c>
      <c r="B961" s="2">
        <v>45922</v>
      </c>
      <c r="C961" t="s">
        <v>633</v>
      </c>
      <c r="D961">
        <v>9</v>
      </c>
      <c r="E961" t="s">
        <v>2211</v>
      </c>
      <c r="F961" t="s">
        <v>261</v>
      </c>
      <c r="G961" t="s">
        <v>2212</v>
      </c>
      <c r="H961" t="s">
        <v>2213</v>
      </c>
      <c r="I961" t="s">
        <v>83</v>
      </c>
      <c r="J961" s="3" t="s">
        <v>2234</v>
      </c>
      <c r="K961" t="s">
        <v>2235</v>
      </c>
      <c r="L961" s="4">
        <v>10</v>
      </c>
      <c r="M961" s="4">
        <v>0</v>
      </c>
      <c r="N961">
        <v>10</v>
      </c>
      <c r="O961" t="s">
        <v>94</v>
      </c>
      <c r="P961">
        <v>55</v>
      </c>
      <c r="Q961">
        <f>QtyRemaining*EstMfgMin/60</f>
        <v>9.1666666666666661</v>
      </c>
      <c r="U961" t="e">
        <f t="shared" si="30"/>
        <v>#REF!</v>
      </c>
      <c r="V961" s="5" t="e">
        <f t="shared" si="31"/>
        <v>#REF!</v>
      </c>
    </row>
    <row r="962" spans="1:22" x14ac:dyDescent="0.25">
      <c r="A962" s="2">
        <v>46080</v>
      </c>
      <c r="B962" s="2">
        <v>45922</v>
      </c>
      <c r="C962" t="s">
        <v>633</v>
      </c>
      <c r="D962">
        <v>9</v>
      </c>
      <c r="E962" t="s">
        <v>2211</v>
      </c>
      <c r="F962" t="s">
        <v>261</v>
      </c>
      <c r="G962" t="s">
        <v>2212</v>
      </c>
      <c r="H962" t="s">
        <v>2213</v>
      </c>
      <c r="I962" t="s">
        <v>83</v>
      </c>
      <c r="J962" s="3" t="s">
        <v>2236</v>
      </c>
      <c r="K962" t="s">
        <v>2237</v>
      </c>
      <c r="L962" s="4">
        <v>10</v>
      </c>
      <c r="M962" s="4">
        <v>0</v>
      </c>
      <c r="N962">
        <v>10</v>
      </c>
      <c r="O962" t="s">
        <v>86</v>
      </c>
      <c r="P962">
        <v>25</v>
      </c>
      <c r="Q962">
        <f>QtyRemaining*EstMfgMin/60</f>
        <v>4.166666666666667</v>
      </c>
      <c r="U962" t="e">
        <f t="shared" si="30"/>
        <v>#REF!</v>
      </c>
      <c r="V962" s="5" t="e">
        <f t="shared" si="31"/>
        <v>#REF!</v>
      </c>
    </row>
    <row r="963" spans="1:22" x14ac:dyDescent="0.25">
      <c r="A963" s="2">
        <v>46080</v>
      </c>
      <c r="B963" s="2">
        <v>45922</v>
      </c>
      <c r="C963" t="s">
        <v>633</v>
      </c>
      <c r="D963">
        <v>9</v>
      </c>
      <c r="E963" t="s">
        <v>2211</v>
      </c>
      <c r="F963" t="s">
        <v>261</v>
      </c>
      <c r="G963" t="s">
        <v>2212</v>
      </c>
      <c r="H963" t="s">
        <v>2213</v>
      </c>
      <c r="I963" t="s">
        <v>83</v>
      </c>
      <c r="J963" s="3" t="s">
        <v>2238</v>
      </c>
      <c r="K963" t="s">
        <v>2237</v>
      </c>
      <c r="L963" s="4">
        <v>10</v>
      </c>
      <c r="M963" s="4">
        <v>0</v>
      </c>
      <c r="N963">
        <v>10</v>
      </c>
      <c r="O963" t="s">
        <v>86</v>
      </c>
      <c r="P963">
        <v>25</v>
      </c>
      <c r="Q963">
        <f>QtyRemaining*EstMfgMin/60</f>
        <v>4.166666666666667</v>
      </c>
      <c r="U963" t="e">
        <f t="shared" ref="U963:U1026" si="32">VLOOKUP(A963,Calendar,13,FALSE)</f>
        <v>#REF!</v>
      </c>
      <c r="V963" s="5" t="e">
        <f t="shared" ref="V963:V1026" si="33">VLOOKUP(A963,Calendar,14,FALSE)</f>
        <v>#REF!</v>
      </c>
    </row>
    <row r="964" spans="1:22" x14ac:dyDescent="0.25">
      <c r="A964" s="2">
        <v>46080</v>
      </c>
      <c r="B964" s="2">
        <v>45922</v>
      </c>
      <c r="C964" t="s">
        <v>633</v>
      </c>
      <c r="D964">
        <v>9</v>
      </c>
      <c r="E964" t="s">
        <v>2211</v>
      </c>
      <c r="F964" t="s">
        <v>261</v>
      </c>
      <c r="G964" t="s">
        <v>2212</v>
      </c>
      <c r="H964" t="s">
        <v>2213</v>
      </c>
      <c r="I964" t="s">
        <v>83</v>
      </c>
      <c r="J964" s="3" t="s">
        <v>2239</v>
      </c>
      <c r="K964" t="s">
        <v>2240</v>
      </c>
      <c r="L964" s="4">
        <v>10</v>
      </c>
      <c r="M964" s="4">
        <v>0</v>
      </c>
      <c r="N964">
        <v>10</v>
      </c>
      <c r="O964" t="s">
        <v>94</v>
      </c>
      <c r="P964">
        <v>45</v>
      </c>
      <c r="Q964">
        <f>QtyRemaining*EstMfgMin/60</f>
        <v>7.5</v>
      </c>
      <c r="U964" t="e">
        <f t="shared" si="32"/>
        <v>#REF!</v>
      </c>
      <c r="V964" s="5" t="e">
        <f t="shared" si="33"/>
        <v>#REF!</v>
      </c>
    </row>
    <row r="965" spans="1:22" x14ac:dyDescent="0.25">
      <c r="A965" s="2">
        <v>46080</v>
      </c>
      <c r="B965" s="2">
        <v>45922</v>
      </c>
      <c r="C965" t="s">
        <v>633</v>
      </c>
      <c r="D965">
        <v>9</v>
      </c>
      <c r="E965" t="s">
        <v>2211</v>
      </c>
      <c r="F965" t="s">
        <v>261</v>
      </c>
      <c r="G965" t="s">
        <v>2212</v>
      </c>
      <c r="H965" t="s">
        <v>2213</v>
      </c>
      <c r="I965" t="s">
        <v>83</v>
      </c>
      <c r="J965" s="3" t="s">
        <v>2241</v>
      </c>
      <c r="K965" t="s">
        <v>2242</v>
      </c>
      <c r="L965" s="4">
        <v>10</v>
      </c>
      <c r="M965" s="4">
        <v>0</v>
      </c>
      <c r="N965">
        <v>10</v>
      </c>
      <c r="O965" t="s">
        <v>457</v>
      </c>
      <c r="P965">
        <v>25</v>
      </c>
      <c r="Q965">
        <f>QtyRemaining*EstMfgMin/60</f>
        <v>4.166666666666667</v>
      </c>
      <c r="U965" t="e">
        <f t="shared" si="32"/>
        <v>#REF!</v>
      </c>
      <c r="V965" s="5" t="e">
        <f t="shared" si="33"/>
        <v>#REF!</v>
      </c>
    </row>
    <row r="966" spans="1:22" x14ac:dyDescent="0.25">
      <c r="A966" s="2">
        <v>46080</v>
      </c>
      <c r="B966" s="2">
        <v>45922</v>
      </c>
      <c r="C966" t="s">
        <v>633</v>
      </c>
      <c r="D966">
        <v>9</v>
      </c>
      <c r="E966" t="s">
        <v>2211</v>
      </c>
      <c r="F966" t="s">
        <v>261</v>
      </c>
      <c r="G966" t="s">
        <v>2212</v>
      </c>
      <c r="H966" t="s">
        <v>2213</v>
      </c>
      <c r="I966" t="s">
        <v>83</v>
      </c>
      <c r="J966" s="3" t="s">
        <v>2243</v>
      </c>
      <c r="K966" t="s">
        <v>2244</v>
      </c>
      <c r="L966" s="4">
        <v>10</v>
      </c>
      <c r="M966" s="4">
        <v>0</v>
      </c>
      <c r="N966">
        <v>10</v>
      </c>
      <c r="O966" t="s">
        <v>176</v>
      </c>
      <c r="P966">
        <v>10</v>
      </c>
      <c r="Q966">
        <f>QtyRemaining*EstMfgMin/60</f>
        <v>1.6666666666666667</v>
      </c>
      <c r="U966" t="e">
        <f t="shared" si="32"/>
        <v>#REF!</v>
      </c>
      <c r="V966" s="5" t="e">
        <f t="shared" si="33"/>
        <v>#REF!</v>
      </c>
    </row>
    <row r="967" spans="1:22" x14ac:dyDescent="0.25">
      <c r="A967" s="2">
        <v>46080</v>
      </c>
      <c r="B967" s="2">
        <v>45954</v>
      </c>
      <c r="C967" t="s">
        <v>478</v>
      </c>
      <c r="D967">
        <v>9</v>
      </c>
      <c r="E967" t="s">
        <v>2245</v>
      </c>
      <c r="F967" t="s">
        <v>261</v>
      </c>
      <c r="G967" t="s">
        <v>670</v>
      </c>
      <c r="H967" t="s">
        <v>2246</v>
      </c>
      <c r="I967" t="s">
        <v>83</v>
      </c>
      <c r="J967" s="3" t="s">
        <v>2247</v>
      </c>
      <c r="K967" t="s">
        <v>1108</v>
      </c>
      <c r="L967" s="4">
        <v>3700</v>
      </c>
      <c r="M967" s="4">
        <v>0</v>
      </c>
      <c r="N967">
        <v>3700</v>
      </c>
      <c r="O967" t="s">
        <v>118</v>
      </c>
      <c r="P967">
        <v>24</v>
      </c>
      <c r="Q967">
        <f>QtyRemaining*EstMfgMin/60</f>
        <v>1480</v>
      </c>
      <c r="U967" t="e">
        <f t="shared" si="32"/>
        <v>#REF!</v>
      </c>
      <c r="V967" s="5" t="e">
        <f t="shared" si="33"/>
        <v>#REF!</v>
      </c>
    </row>
    <row r="968" spans="1:22" x14ac:dyDescent="0.25">
      <c r="A968" s="2">
        <v>46080</v>
      </c>
      <c r="B968" s="2">
        <v>45961</v>
      </c>
      <c r="C968" t="s">
        <v>1168</v>
      </c>
      <c r="D968">
        <v>9</v>
      </c>
      <c r="E968" t="s">
        <v>2248</v>
      </c>
      <c r="F968" t="s">
        <v>283</v>
      </c>
      <c r="G968" t="s">
        <v>1170</v>
      </c>
      <c r="H968" t="s">
        <v>2249</v>
      </c>
      <c r="I968" t="s">
        <v>224</v>
      </c>
      <c r="J968" s="3" t="s">
        <v>2250</v>
      </c>
      <c r="K968" t="s">
        <v>2251</v>
      </c>
      <c r="L968" s="4">
        <v>25</v>
      </c>
      <c r="M968" s="4">
        <v>0</v>
      </c>
      <c r="N968">
        <v>25</v>
      </c>
      <c r="O968" t="s">
        <v>176</v>
      </c>
      <c r="P968">
        <v>70</v>
      </c>
      <c r="Q968">
        <f>QtyRemaining*EstMfgMin/60</f>
        <v>29.166666666666668</v>
      </c>
      <c r="U968" t="e">
        <f t="shared" si="32"/>
        <v>#REF!</v>
      </c>
      <c r="V968" s="5" t="e">
        <f t="shared" si="33"/>
        <v>#REF!</v>
      </c>
    </row>
    <row r="969" spans="1:22" x14ac:dyDescent="0.25">
      <c r="A969" s="2">
        <v>46080</v>
      </c>
      <c r="B969" s="2">
        <v>45967</v>
      </c>
      <c r="C969" t="s">
        <v>465</v>
      </c>
      <c r="D969">
        <v>9</v>
      </c>
      <c r="E969" t="s">
        <v>1384</v>
      </c>
      <c r="F969" t="s">
        <v>211</v>
      </c>
      <c r="G969" t="s">
        <v>467</v>
      </c>
      <c r="H969" t="s">
        <v>1385</v>
      </c>
      <c r="I969" t="s">
        <v>214</v>
      </c>
      <c r="J969" s="3" t="s">
        <v>2186</v>
      </c>
      <c r="K969" t="s">
        <v>2252</v>
      </c>
      <c r="L969" s="4">
        <v>5</v>
      </c>
      <c r="M969" s="4">
        <v>0</v>
      </c>
      <c r="N969">
        <v>5</v>
      </c>
      <c r="O969" t="s">
        <v>86</v>
      </c>
      <c r="P969">
        <v>14</v>
      </c>
      <c r="Q969">
        <f>QtyRemaining*EstMfgMin/60</f>
        <v>1.1666666666666667</v>
      </c>
      <c r="U969" t="e">
        <f t="shared" si="32"/>
        <v>#REF!</v>
      </c>
      <c r="V969" s="5" t="e">
        <f t="shared" si="33"/>
        <v>#REF!</v>
      </c>
    </row>
    <row r="970" spans="1:22" x14ac:dyDescent="0.25">
      <c r="A970" s="2">
        <v>46080</v>
      </c>
      <c r="B970" s="2">
        <v>45972</v>
      </c>
      <c r="C970" t="s">
        <v>485</v>
      </c>
      <c r="D970">
        <v>9</v>
      </c>
      <c r="E970" t="s">
        <v>504</v>
      </c>
      <c r="F970" t="s">
        <v>211</v>
      </c>
      <c r="G970" t="s">
        <v>487</v>
      </c>
      <c r="H970" t="s">
        <v>505</v>
      </c>
      <c r="I970" t="s">
        <v>83</v>
      </c>
      <c r="J970" s="3" t="s">
        <v>506</v>
      </c>
      <c r="K970" t="s">
        <v>507</v>
      </c>
      <c r="L970" s="4">
        <v>525</v>
      </c>
      <c r="M970" s="4">
        <v>0</v>
      </c>
      <c r="N970">
        <v>525</v>
      </c>
      <c r="O970" t="s">
        <v>508</v>
      </c>
      <c r="P970">
        <v>55</v>
      </c>
      <c r="Q970">
        <f>QtyRemaining*EstMfgMin/60</f>
        <v>481.25</v>
      </c>
      <c r="U970" t="e">
        <f t="shared" si="32"/>
        <v>#REF!</v>
      </c>
      <c r="V970" s="5" t="e">
        <f t="shared" si="33"/>
        <v>#REF!</v>
      </c>
    </row>
    <row r="971" spans="1:22" x14ac:dyDescent="0.25">
      <c r="A971" s="2">
        <v>46080</v>
      </c>
      <c r="B971" s="2">
        <v>45972</v>
      </c>
      <c r="C971" t="s">
        <v>485</v>
      </c>
      <c r="D971">
        <v>9</v>
      </c>
      <c r="E971" t="s">
        <v>504</v>
      </c>
      <c r="F971" t="s">
        <v>211</v>
      </c>
      <c r="G971" t="s">
        <v>487</v>
      </c>
      <c r="H971" t="s">
        <v>505</v>
      </c>
      <c r="I971" t="s">
        <v>83</v>
      </c>
      <c r="J971" s="3" t="s">
        <v>1613</v>
      </c>
      <c r="K971" t="s">
        <v>1614</v>
      </c>
      <c r="L971" s="4">
        <v>525</v>
      </c>
      <c r="M971" s="4">
        <v>0</v>
      </c>
      <c r="N971">
        <v>525</v>
      </c>
      <c r="O971" t="s">
        <v>508</v>
      </c>
      <c r="P971">
        <v>55</v>
      </c>
      <c r="Q971">
        <f>QtyRemaining*EstMfgMin/60</f>
        <v>481.25</v>
      </c>
      <c r="U971" t="e">
        <f t="shared" si="32"/>
        <v>#REF!</v>
      </c>
      <c r="V971" s="5" t="e">
        <f t="shared" si="33"/>
        <v>#REF!</v>
      </c>
    </row>
    <row r="972" spans="1:22" x14ac:dyDescent="0.25">
      <c r="A972" s="2">
        <v>46080</v>
      </c>
      <c r="B972" s="2">
        <v>45972</v>
      </c>
      <c r="C972" t="s">
        <v>485</v>
      </c>
      <c r="D972">
        <v>9</v>
      </c>
      <c r="E972" t="s">
        <v>1078</v>
      </c>
      <c r="F972" t="s">
        <v>211</v>
      </c>
      <c r="G972" t="s">
        <v>761</v>
      </c>
      <c r="H972" t="s">
        <v>1079</v>
      </c>
      <c r="I972" t="s">
        <v>214</v>
      </c>
      <c r="J972" s="3" t="s">
        <v>2253</v>
      </c>
      <c r="K972" t="s">
        <v>2254</v>
      </c>
      <c r="L972" s="4">
        <v>50</v>
      </c>
      <c r="M972" s="4">
        <v>0</v>
      </c>
      <c r="N972">
        <v>50</v>
      </c>
      <c r="O972" t="s">
        <v>1082</v>
      </c>
      <c r="P972">
        <v>8</v>
      </c>
      <c r="Q972">
        <f>QtyRemaining*EstMfgMin/60</f>
        <v>6.666666666666667</v>
      </c>
      <c r="U972" t="e">
        <f t="shared" si="32"/>
        <v>#REF!</v>
      </c>
      <c r="V972" s="5" t="e">
        <f t="shared" si="33"/>
        <v>#REF!</v>
      </c>
    </row>
    <row r="973" spans="1:22" x14ac:dyDescent="0.25">
      <c r="A973" s="2">
        <v>46080</v>
      </c>
      <c r="B973" s="2">
        <v>45972</v>
      </c>
      <c r="C973" t="s">
        <v>485</v>
      </c>
      <c r="D973">
        <v>9</v>
      </c>
      <c r="E973" t="s">
        <v>1078</v>
      </c>
      <c r="F973" t="s">
        <v>211</v>
      </c>
      <c r="G973" t="s">
        <v>761</v>
      </c>
      <c r="H973" t="s">
        <v>1079</v>
      </c>
      <c r="I973" t="s">
        <v>214</v>
      </c>
      <c r="J973" s="3" t="s">
        <v>2255</v>
      </c>
      <c r="K973" t="s">
        <v>2256</v>
      </c>
      <c r="L973" s="4">
        <v>50</v>
      </c>
      <c r="M973" s="4">
        <v>0</v>
      </c>
      <c r="N973">
        <v>50</v>
      </c>
      <c r="O973" t="s">
        <v>86</v>
      </c>
      <c r="P973">
        <v>5</v>
      </c>
      <c r="Q973">
        <f>QtyRemaining*EstMfgMin/60</f>
        <v>4.166666666666667</v>
      </c>
      <c r="U973" t="e">
        <f t="shared" si="32"/>
        <v>#REF!</v>
      </c>
      <c r="V973" s="5" t="e">
        <f t="shared" si="33"/>
        <v>#REF!</v>
      </c>
    </row>
    <row r="974" spans="1:22" x14ac:dyDescent="0.25">
      <c r="A974" s="2">
        <v>46080</v>
      </c>
      <c r="B974" s="2">
        <v>45975</v>
      </c>
      <c r="C974" t="s">
        <v>633</v>
      </c>
      <c r="D974">
        <v>9</v>
      </c>
      <c r="E974" t="s">
        <v>2257</v>
      </c>
      <c r="F974" t="s">
        <v>261</v>
      </c>
      <c r="G974" t="s">
        <v>262</v>
      </c>
      <c r="H974" t="s">
        <v>2258</v>
      </c>
      <c r="I974" t="s">
        <v>83</v>
      </c>
      <c r="J974" s="3" t="s">
        <v>2259</v>
      </c>
      <c r="K974" t="s">
        <v>131</v>
      </c>
      <c r="L974" s="4">
        <v>20</v>
      </c>
      <c r="M974" s="4">
        <v>0</v>
      </c>
      <c r="N974">
        <v>20</v>
      </c>
      <c r="O974" t="s">
        <v>86</v>
      </c>
      <c r="P974">
        <v>30</v>
      </c>
      <c r="Q974">
        <f>QtyRemaining*EstMfgMin/60</f>
        <v>10</v>
      </c>
      <c r="U974" t="e">
        <f t="shared" si="32"/>
        <v>#REF!</v>
      </c>
      <c r="V974" s="5" t="e">
        <f t="shared" si="33"/>
        <v>#REF!</v>
      </c>
    </row>
    <row r="975" spans="1:22" x14ac:dyDescent="0.25">
      <c r="A975" s="2">
        <v>46080</v>
      </c>
      <c r="B975" s="2">
        <v>45975</v>
      </c>
      <c r="C975" t="s">
        <v>465</v>
      </c>
      <c r="D975">
        <v>9</v>
      </c>
      <c r="E975" t="s">
        <v>872</v>
      </c>
      <c r="F975" t="s">
        <v>211</v>
      </c>
      <c r="G975" t="s">
        <v>467</v>
      </c>
      <c r="H975" t="s">
        <v>873</v>
      </c>
      <c r="I975" t="s">
        <v>214</v>
      </c>
      <c r="J975" s="3" t="s">
        <v>2260</v>
      </c>
      <c r="K975" t="s">
        <v>2261</v>
      </c>
      <c r="L975" s="4">
        <v>4</v>
      </c>
      <c r="M975" s="4">
        <v>0</v>
      </c>
      <c r="N975">
        <v>4</v>
      </c>
      <c r="O975" t="s">
        <v>266</v>
      </c>
      <c r="P975">
        <v>120</v>
      </c>
      <c r="Q975">
        <f>QtyRemaining*EstMfgMin/60</f>
        <v>8</v>
      </c>
      <c r="U975" t="e">
        <f t="shared" si="32"/>
        <v>#REF!</v>
      </c>
      <c r="V975" s="5" t="e">
        <f t="shared" si="33"/>
        <v>#REF!</v>
      </c>
    </row>
    <row r="976" spans="1:22" x14ac:dyDescent="0.25">
      <c r="A976" s="2">
        <v>46080</v>
      </c>
      <c r="B976" s="2">
        <v>45975</v>
      </c>
      <c r="C976" t="s">
        <v>465</v>
      </c>
      <c r="D976">
        <v>9</v>
      </c>
      <c r="E976" t="s">
        <v>872</v>
      </c>
      <c r="F976" t="s">
        <v>211</v>
      </c>
      <c r="G976" t="s">
        <v>467</v>
      </c>
      <c r="H976" t="s">
        <v>873</v>
      </c>
      <c r="I976" t="s">
        <v>214</v>
      </c>
      <c r="J976" s="3" t="s">
        <v>2262</v>
      </c>
      <c r="K976" t="s">
        <v>2263</v>
      </c>
      <c r="L976" s="4">
        <v>4</v>
      </c>
      <c r="M976" s="4">
        <v>0</v>
      </c>
      <c r="N976">
        <v>4</v>
      </c>
      <c r="O976" t="s">
        <v>94</v>
      </c>
      <c r="P976">
        <v>30</v>
      </c>
      <c r="Q976">
        <f>QtyRemaining*EstMfgMin/60</f>
        <v>2</v>
      </c>
      <c r="U976" t="e">
        <f t="shared" si="32"/>
        <v>#REF!</v>
      </c>
      <c r="V976" s="5" t="e">
        <f t="shared" si="33"/>
        <v>#REF!</v>
      </c>
    </row>
    <row r="977" spans="1:22" x14ac:dyDescent="0.25">
      <c r="A977" s="2">
        <v>46080</v>
      </c>
      <c r="B977" s="2">
        <v>45975</v>
      </c>
      <c r="C977" t="s">
        <v>465</v>
      </c>
      <c r="D977">
        <v>9</v>
      </c>
      <c r="E977" t="s">
        <v>872</v>
      </c>
      <c r="F977" t="s">
        <v>211</v>
      </c>
      <c r="G977" t="s">
        <v>467</v>
      </c>
      <c r="H977" t="s">
        <v>873</v>
      </c>
      <c r="I977" t="s">
        <v>214</v>
      </c>
      <c r="J977" s="3" t="s">
        <v>2264</v>
      </c>
      <c r="K977" t="s">
        <v>2265</v>
      </c>
      <c r="L977" s="4">
        <v>4</v>
      </c>
      <c r="M977" s="4">
        <v>0</v>
      </c>
      <c r="N977">
        <v>4</v>
      </c>
      <c r="O977" t="s">
        <v>94</v>
      </c>
      <c r="P977">
        <v>30</v>
      </c>
      <c r="Q977">
        <f>QtyRemaining*EstMfgMin/60</f>
        <v>2</v>
      </c>
      <c r="U977" t="e">
        <f t="shared" si="32"/>
        <v>#REF!</v>
      </c>
      <c r="V977" s="5" t="e">
        <f t="shared" si="33"/>
        <v>#REF!</v>
      </c>
    </row>
    <row r="978" spans="1:22" x14ac:dyDescent="0.25">
      <c r="A978" s="2">
        <v>46080</v>
      </c>
      <c r="B978" s="2">
        <v>45975</v>
      </c>
      <c r="C978" t="s">
        <v>465</v>
      </c>
      <c r="D978">
        <v>9</v>
      </c>
      <c r="E978" t="s">
        <v>872</v>
      </c>
      <c r="F978" t="s">
        <v>211</v>
      </c>
      <c r="G978" t="s">
        <v>467</v>
      </c>
      <c r="H978" t="s">
        <v>873</v>
      </c>
      <c r="I978" t="s">
        <v>214</v>
      </c>
      <c r="J978" s="3" t="s">
        <v>2266</v>
      </c>
      <c r="K978" t="s">
        <v>2267</v>
      </c>
      <c r="L978" s="4">
        <v>5</v>
      </c>
      <c r="M978" s="4">
        <v>0</v>
      </c>
      <c r="N978">
        <v>5</v>
      </c>
      <c r="O978" t="s">
        <v>86</v>
      </c>
      <c r="P978">
        <v>22</v>
      </c>
      <c r="Q978">
        <f>QtyRemaining*EstMfgMin/60</f>
        <v>1.8333333333333333</v>
      </c>
      <c r="U978" t="e">
        <f t="shared" si="32"/>
        <v>#REF!</v>
      </c>
      <c r="V978" s="5" t="e">
        <f t="shared" si="33"/>
        <v>#REF!</v>
      </c>
    </row>
    <row r="979" spans="1:22" x14ac:dyDescent="0.25">
      <c r="A979" s="2">
        <v>46080</v>
      </c>
      <c r="B979" s="2">
        <v>45993</v>
      </c>
      <c r="C979" t="s">
        <v>1168</v>
      </c>
      <c r="D979">
        <v>9</v>
      </c>
      <c r="E979" t="s">
        <v>2268</v>
      </c>
      <c r="F979" t="s">
        <v>283</v>
      </c>
      <c r="G979" t="s">
        <v>1170</v>
      </c>
      <c r="H979" t="s">
        <v>2269</v>
      </c>
      <c r="I979" t="s">
        <v>224</v>
      </c>
      <c r="J979" s="3" t="s">
        <v>2270</v>
      </c>
      <c r="K979" t="s">
        <v>2271</v>
      </c>
      <c r="L979" s="4">
        <v>10</v>
      </c>
      <c r="M979" s="4">
        <v>0</v>
      </c>
      <c r="N979">
        <v>10</v>
      </c>
      <c r="O979" t="s">
        <v>94</v>
      </c>
      <c r="P979">
        <v>60</v>
      </c>
      <c r="Q979">
        <f>QtyRemaining*EstMfgMin/60</f>
        <v>10</v>
      </c>
      <c r="U979" t="e">
        <f t="shared" si="32"/>
        <v>#REF!</v>
      </c>
      <c r="V979" s="5" t="e">
        <f t="shared" si="33"/>
        <v>#REF!</v>
      </c>
    </row>
    <row r="980" spans="1:22" x14ac:dyDescent="0.25">
      <c r="A980" s="2">
        <v>46080</v>
      </c>
      <c r="B980" s="2">
        <v>46006</v>
      </c>
      <c r="C980" t="s">
        <v>650</v>
      </c>
      <c r="D980">
        <v>9</v>
      </c>
      <c r="E980" t="s">
        <v>2272</v>
      </c>
      <c r="F980" t="s">
        <v>283</v>
      </c>
      <c r="G980" t="s">
        <v>652</v>
      </c>
      <c r="H980" t="s">
        <v>2273</v>
      </c>
      <c r="I980" t="s">
        <v>1087</v>
      </c>
      <c r="J980" s="3" t="s">
        <v>2124</v>
      </c>
      <c r="K980" t="s">
        <v>2125</v>
      </c>
      <c r="L980" s="4">
        <v>5</v>
      </c>
      <c r="M980" s="4">
        <v>0</v>
      </c>
      <c r="N980">
        <v>5</v>
      </c>
      <c r="O980" t="s">
        <v>2126</v>
      </c>
      <c r="P980">
        <v>40</v>
      </c>
      <c r="Q980">
        <f>QtyRemaining*EstMfgMin/60</f>
        <v>3.3333333333333335</v>
      </c>
      <c r="R980" t="s">
        <v>1062</v>
      </c>
      <c r="U980" t="e">
        <f t="shared" si="32"/>
        <v>#REF!</v>
      </c>
      <c r="V980" s="5" t="e">
        <f t="shared" si="33"/>
        <v>#REF!</v>
      </c>
    </row>
    <row r="981" spans="1:22" x14ac:dyDescent="0.25">
      <c r="A981" s="2">
        <v>46080</v>
      </c>
      <c r="B981" s="2">
        <v>46045</v>
      </c>
      <c r="C981" t="s">
        <v>556</v>
      </c>
      <c r="D981">
        <v>9</v>
      </c>
      <c r="E981" t="s">
        <v>2274</v>
      </c>
      <c r="F981" t="s">
        <v>283</v>
      </c>
      <c r="G981" t="s">
        <v>2275</v>
      </c>
      <c r="H981" t="s">
        <v>2276</v>
      </c>
      <c r="I981" t="s">
        <v>224</v>
      </c>
      <c r="J981" s="3" t="s">
        <v>2277</v>
      </c>
      <c r="K981" t="s">
        <v>2278</v>
      </c>
      <c r="L981" s="4">
        <v>4</v>
      </c>
      <c r="M981" s="4">
        <v>0</v>
      </c>
      <c r="N981">
        <v>4</v>
      </c>
      <c r="P981">
        <v>76</v>
      </c>
      <c r="Q981">
        <f>QtyRemaining*EstMfgMin/60</f>
        <v>5.0666666666666664</v>
      </c>
      <c r="U981" t="e">
        <f t="shared" si="32"/>
        <v>#REF!</v>
      </c>
      <c r="V981" s="5" t="e">
        <f t="shared" si="33"/>
        <v>#REF!</v>
      </c>
    </row>
    <row r="982" spans="1:22" x14ac:dyDescent="0.25">
      <c r="A982" s="2">
        <v>46080</v>
      </c>
      <c r="B982" s="2">
        <v>46050</v>
      </c>
      <c r="C982" t="s">
        <v>287</v>
      </c>
      <c r="D982">
        <v>9</v>
      </c>
      <c r="E982" t="s">
        <v>2279</v>
      </c>
      <c r="F982" t="s">
        <v>283</v>
      </c>
      <c r="G982" t="s">
        <v>2280</v>
      </c>
      <c r="H982" t="s">
        <v>2281</v>
      </c>
      <c r="I982" t="s">
        <v>155</v>
      </c>
      <c r="J982" s="3" t="s">
        <v>2282</v>
      </c>
      <c r="K982" t="s">
        <v>2283</v>
      </c>
      <c r="L982" s="4">
        <v>18</v>
      </c>
      <c r="M982" s="4">
        <v>0</v>
      </c>
      <c r="N982">
        <v>18</v>
      </c>
      <c r="O982" t="s">
        <v>2284</v>
      </c>
      <c r="P982">
        <v>4</v>
      </c>
      <c r="Q982">
        <f>QtyRemaining*EstMfgMin/60</f>
        <v>1.2</v>
      </c>
      <c r="U982" t="e">
        <f t="shared" si="32"/>
        <v>#REF!</v>
      </c>
      <c r="V982" s="5" t="e">
        <f t="shared" si="33"/>
        <v>#REF!</v>
      </c>
    </row>
    <row r="983" spans="1:22" x14ac:dyDescent="0.25">
      <c r="A983" s="2">
        <v>46080</v>
      </c>
      <c r="B983" s="2">
        <v>46050</v>
      </c>
      <c r="C983" t="s">
        <v>287</v>
      </c>
      <c r="D983">
        <v>9</v>
      </c>
      <c r="E983" t="s">
        <v>2279</v>
      </c>
      <c r="F983" t="s">
        <v>283</v>
      </c>
      <c r="G983" t="s">
        <v>2280</v>
      </c>
      <c r="H983" t="s">
        <v>2281</v>
      </c>
      <c r="I983" t="s">
        <v>155</v>
      </c>
      <c r="J983" s="3" t="s">
        <v>2285</v>
      </c>
      <c r="K983" t="s">
        <v>2286</v>
      </c>
      <c r="L983" s="4">
        <v>38</v>
      </c>
      <c r="M983" s="4">
        <v>0</v>
      </c>
      <c r="N983">
        <v>38</v>
      </c>
      <c r="O983" t="s">
        <v>2287</v>
      </c>
      <c r="P983">
        <v>4</v>
      </c>
      <c r="Q983">
        <f>QtyRemaining*EstMfgMin/60</f>
        <v>2.5333333333333332</v>
      </c>
      <c r="U983" t="e">
        <f t="shared" si="32"/>
        <v>#REF!</v>
      </c>
      <c r="V983" s="5" t="e">
        <f t="shared" si="33"/>
        <v>#REF!</v>
      </c>
    </row>
    <row r="984" spans="1:22" x14ac:dyDescent="0.25">
      <c r="A984" s="2">
        <v>46083</v>
      </c>
      <c r="B984" s="2">
        <v>45407</v>
      </c>
      <c r="C984" t="s">
        <v>570</v>
      </c>
      <c r="D984">
        <v>10</v>
      </c>
      <c r="E984" t="s">
        <v>1580</v>
      </c>
      <c r="F984" t="s">
        <v>261</v>
      </c>
      <c r="G984" t="s">
        <v>262</v>
      </c>
      <c r="H984" t="s">
        <v>1581</v>
      </c>
      <c r="I984" t="s">
        <v>45</v>
      </c>
      <c r="J984" s="3" t="s">
        <v>2288</v>
      </c>
      <c r="K984" t="s">
        <v>2289</v>
      </c>
      <c r="L984" s="4">
        <v>4</v>
      </c>
      <c r="M984" s="4">
        <v>3</v>
      </c>
      <c r="N984">
        <v>1</v>
      </c>
      <c r="O984" t="s">
        <v>118</v>
      </c>
      <c r="P984">
        <v>0</v>
      </c>
      <c r="Q984">
        <f>QtyRemaining*EstMfgMin/60</f>
        <v>0</v>
      </c>
      <c r="U984" t="e">
        <f t="shared" si="32"/>
        <v>#REF!</v>
      </c>
      <c r="V984" s="5" t="e">
        <f t="shared" si="33"/>
        <v>#REF!</v>
      </c>
    </row>
    <row r="985" spans="1:22" x14ac:dyDescent="0.25">
      <c r="A985" s="2">
        <v>46083</v>
      </c>
      <c r="B985" s="2">
        <v>45957</v>
      </c>
      <c r="C985" t="s">
        <v>485</v>
      </c>
      <c r="D985">
        <v>10</v>
      </c>
      <c r="E985" t="s">
        <v>1499</v>
      </c>
      <c r="F985" t="s">
        <v>211</v>
      </c>
      <c r="G985" t="s">
        <v>864</v>
      </c>
      <c r="H985" t="s">
        <v>1500</v>
      </c>
      <c r="I985" t="s">
        <v>214</v>
      </c>
      <c r="J985" s="3" t="s">
        <v>2290</v>
      </c>
      <c r="K985" t="s">
        <v>2291</v>
      </c>
      <c r="L985" s="4">
        <v>100</v>
      </c>
      <c r="M985" s="4">
        <v>0</v>
      </c>
      <c r="N985">
        <v>100</v>
      </c>
      <c r="O985" t="s">
        <v>514</v>
      </c>
      <c r="P985">
        <v>7</v>
      </c>
      <c r="Q985">
        <f>QtyRemaining*EstMfgMin/60</f>
        <v>11.666666666666666</v>
      </c>
      <c r="U985" t="e">
        <f t="shared" si="32"/>
        <v>#REF!</v>
      </c>
      <c r="V985" s="5" t="e">
        <f t="shared" si="33"/>
        <v>#REF!</v>
      </c>
    </row>
    <row r="986" spans="1:22" x14ac:dyDescent="0.25">
      <c r="A986" s="2">
        <v>46083</v>
      </c>
      <c r="B986" s="2">
        <v>45967</v>
      </c>
      <c r="C986" t="s">
        <v>485</v>
      </c>
      <c r="D986">
        <v>10</v>
      </c>
      <c r="E986" t="s">
        <v>1782</v>
      </c>
      <c r="F986" t="s">
        <v>211</v>
      </c>
      <c r="G986" t="s">
        <v>864</v>
      </c>
      <c r="H986" t="s">
        <v>1783</v>
      </c>
      <c r="I986" t="s">
        <v>214</v>
      </c>
      <c r="J986" s="3" t="s">
        <v>2292</v>
      </c>
      <c r="K986" t="s">
        <v>2293</v>
      </c>
      <c r="L986" s="4">
        <v>100</v>
      </c>
      <c r="M986" s="4">
        <v>0</v>
      </c>
      <c r="N986">
        <v>100</v>
      </c>
      <c r="O986" t="s">
        <v>211</v>
      </c>
      <c r="P986">
        <v>10</v>
      </c>
      <c r="Q986">
        <f>QtyRemaining*EstMfgMin/60</f>
        <v>16.666666666666668</v>
      </c>
      <c r="U986" t="e">
        <f t="shared" si="32"/>
        <v>#REF!</v>
      </c>
      <c r="V986" s="5" t="e">
        <f t="shared" si="33"/>
        <v>#REF!</v>
      </c>
    </row>
    <row r="987" spans="1:22" x14ac:dyDescent="0.25">
      <c r="A987" s="2">
        <v>46083</v>
      </c>
      <c r="B987" s="2">
        <v>45967</v>
      </c>
      <c r="C987" t="s">
        <v>485</v>
      </c>
      <c r="D987">
        <v>10</v>
      </c>
      <c r="E987" t="s">
        <v>1782</v>
      </c>
      <c r="F987" t="s">
        <v>211</v>
      </c>
      <c r="G987" t="s">
        <v>864</v>
      </c>
      <c r="H987" t="s">
        <v>1783</v>
      </c>
      <c r="I987" t="s">
        <v>214</v>
      </c>
      <c r="J987" s="3" t="s">
        <v>1784</v>
      </c>
      <c r="K987" t="s">
        <v>1785</v>
      </c>
      <c r="L987" s="4">
        <v>25</v>
      </c>
      <c r="M987" s="4">
        <v>0</v>
      </c>
      <c r="N987">
        <v>25</v>
      </c>
      <c r="O987" t="s">
        <v>514</v>
      </c>
      <c r="P987">
        <v>14</v>
      </c>
      <c r="Q987">
        <f>QtyRemaining*EstMfgMin/60</f>
        <v>5.833333333333333</v>
      </c>
      <c r="U987" t="e">
        <f t="shared" si="32"/>
        <v>#REF!</v>
      </c>
      <c r="V987" s="5" t="e">
        <f t="shared" si="33"/>
        <v>#REF!</v>
      </c>
    </row>
    <row r="988" spans="1:22" x14ac:dyDescent="0.25">
      <c r="A988" s="2">
        <v>46083</v>
      </c>
      <c r="B988" s="2">
        <v>45967</v>
      </c>
      <c r="C988" t="s">
        <v>485</v>
      </c>
      <c r="D988">
        <v>10</v>
      </c>
      <c r="E988" t="s">
        <v>1782</v>
      </c>
      <c r="F988" t="s">
        <v>211</v>
      </c>
      <c r="G988" t="s">
        <v>864</v>
      </c>
      <c r="H988" t="s">
        <v>1783</v>
      </c>
      <c r="I988" t="s">
        <v>214</v>
      </c>
      <c r="J988" s="3" t="s">
        <v>2294</v>
      </c>
      <c r="K988" t="s">
        <v>2295</v>
      </c>
      <c r="L988" s="4">
        <v>20</v>
      </c>
      <c r="M988" s="4">
        <v>0</v>
      </c>
      <c r="N988">
        <v>20</v>
      </c>
      <c r="O988" t="s">
        <v>868</v>
      </c>
      <c r="P988">
        <v>13</v>
      </c>
      <c r="Q988">
        <f>QtyRemaining*EstMfgMin/60</f>
        <v>4.333333333333333</v>
      </c>
      <c r="U988" t="e">
        <f t="shared" si="32"/>
        <v>#REF!</v>
      </c>
      <c r="V988" s="5" t="e">
        <f t="shared" si="33"/>
        <v>#REF!</v>
      </c>
    </row>
    <row r="989" spans="1:22" x14ac:dyDescent="0.25">
      <c r="A989" s="2">
        <v>46083</v>
      </c>
      <c r="B989" s="2">
        <v>45967</v>
      </c>
      <c r="C989" t="s">
        <v>485</v>
      </c>
      <c r="D989">
        <v>10</v>
      </c>
      <c r="E989" t="s">
        <v>1782</v>
      </c>
      <c r="F989" t="s">
        <v>211</v>
      </c>
      <c r="G989" t="s">
        <v>864</v>
      </c>
      <c r="H989" t="s">
        <v>1783</v>
      </c>
      <c r="I989" t="s">
        <v>214</v>
      </c>
      <c r="J989" s="3" t="s">
        <v>2296</v>
      </c>
      <c r="K989" t="s">
        <v>2297</v>
      </c>
      <c r="L989" s="4">
        <v>100</v>
      </c>
      <c r="M989" s="4">
        <v>0</v>
      </c>
      <c r="N989">
        <v>100</v>
      </c>
      <c r="O989" t="s">
        <v>176</v>
      </c>
      <c r="P989">
        <v>13</v>
      </c>
      <c r="Q989">
        <f>QtyRemaining*EstMfgMin/60</f>
        <v>21.666666666666668</v>
      </c>
      <c r="U989" t="e">
        <f t="shared" si="32"/>
        <v>#REF!</v>
      </c>
      <c r="V989" s="5" t="e">
        <f t="shared" si="33"/>
        <v>#REF!</v>
      </c>
    </row>
    <row r="990" spans="1:22" x14ac:dyDescent="0.25">
      <c r="A990" s="2">
        <v>46083</v>
      </c>
      <c r="B990" s="2">
        <v>45967</v>
      </c>
      <c r="C990" t="s">
        <v>485</v>
      </c>
      <c r="D990">
        <v>10</v>
      </c>
      <c r="E990" t="s">
        <v>1782</v>
      </c>
      <c r="F990" t="s">
        <v>211</v>
      </c>
      <c r="G990" t="s">
        <v>864</v>
      </c>
      <c r="H990" t="s">
        <v>1783</v>
      </c>
      <c r="I990" t="s">
        <v>214</v>
      </c>
      <c r="J990" s="3" t="s">
        <v>2298</v>
      </c>
      <c r="K990" t="s">
        <v>2299</v>
      </c>
      <c r="L990" s="4">
        <v>100</v>
      </c>
      <c r="M990" s="4">
        <v>0</v>
      </c>
      <c r="N990">
        <v>100</v>
      </c>
      <c r="O990" t="s">
        <v>176</v>
      </c>
      <c r="P990">
        <v>8</v>
      </c>
      <c r="Q990">
        <f>QtyRemaining*EstMfgMin/60</f>
        <v>13.333333333333334</v>
      </c>
      <c r="U990" t="e">
        <f t="shared" si="32"/>
        <v>#REF!</v>
      </c>
      <c r="V990" s="5" t="e">
        <f t="shared" si="33"/>
        <v>#REF!</v>
      </c>
    </row>
    <row r="991" spans="1:22" x14ac:dyDescent="0.25">
      <c r="A991" s="2">
        <v>46083</v>
      </c>
      <c r="B991" s="2">
        <v>45982</v>
      </c>
      <c r="C991" t="s">
        <v>523</v>
      </c>
      <c r="D991">
        <v>10</v>
      </c>
      <c r="E991" t="s">
        <v>2300</v>
      </c>
      <c r="F991" t="s">
        <v>261</v>
      </c>
      <c r="G991" t="s">
        <v>1242</v>
      </c>
      <c r="H991" t="s">
        <v>2301</v>
      </c>
      <c r="I991" t="s">
        <v>83</v>
      </c>
      <c r="J991" s="3" t="s">
        <v>2302</v>
      </c>
      <c r="K991" t="s">
        <v>2303</v>
      </c>
      <c r="L991" s="4">
        <v>10</v>
      </c>
      <c r="M991" s="4">
        <v>0</v>
      </c>
      <c r="N991">
        <v>10</v>
      </c>
      <c r="O991" t="s">
        <v>94</v>
      </c>
      <c r="P991">
        <v>769</v>
      </c>
      <c r="Q991">
        <f>QtyRemaining*EstMfgMin/60</f>
        <v>128.16666666666666</v>
      </c>
      <c r="U991" t="e">
        <f t="shared" si="32"/>
        <v>#REF!</v>
      </c>
      <c r="V991" s="5" t="e">
        <f t="shared" si="33"/>
        <v>#REF!</v>
      </c>
    </row>
    <row r="992" spans="1:22" x14ac:dyDescent="0.25">
      <c r="A992" s="2">
        <v>46083</v>
      </c>
      <c r="B992" s="2">
        <v>45982</v>
      </c>
      <c r="C992" t="s">
        <v>523</v>
      </c>
      <c r="D992">
        <v>10</v>
      </c>
      <c r="E992" t="s">
        <v>2300</v>
      </c>
      <c r="F992" t="s">
        <v>261</v>
      </c>
      <c r="G992" t="s">
        <v>1242</v>
      </c>
      <c r="H992" t="s">
        <v>2301</v>
      </c>
      <c r="I992" t="s">
        <v>83</v>
      </c>
      <c r="J992" s="3" t="s">
        <v>2304</v>
      </c>
      <c r="K992" t="s">
        <v>2305</v>
      </c>
      <c r="L992" s="4">
        <v>10</v>
      </c>
      <c r="M992" s="4">
        <v>0</v>
      </c>
      <c r="N992">
        <v>10</v>
      </c>
      <c r="O992" t="s">
        <v>86</v>
      </c>
      <c r="P992">
        <v>345</v>
      </c>
      <c r="Q992">
        <f>QtyRemaining*EstMfgMin/60</f>
        <v>57.5</v>
      </c>
      <c r="U992" t="e">
        <f t="shared" si="32"/>
        <v>#REF!</v>
      </c>
      <c r="V992" s="5" t="e">
        <f t="shared" si="33"/>
        <v>#REF!</v>
      </c>
    </row>
    <row r="993" spans="1:22" x14ac:dyDescent="0.25">
      <c r="A993" s="2">
        <v>46083</v>
      </c>
      <c r="B993" s="2">
        <v>45982</v>
      </c>
      <c r="C993" t="s">
        <v>523</v>
      </c>
      <c r="D993">
        <v>10</v>
      </c>
      <c r="E993" t="s">
        <v>2300</v>
      </c>
      <c r="F993" t="s">
        <v>261</v>
      </c>
      <c r="G993" t="s">
        <v>1242</v>
      </c>
      <c r="H993" t="s">
        <v>2301</v>
      </c>
      <c r="I993" t="s">
        <v>83</v>
      </c>
      <c r="J993" s="3" t="s">
        <v>2306</v>
      </c>
      <c r="K993" t="s">
        <v>2307</v>
      </c>
      <c r="L993" s="4">
        <v>10</v>
      </c>
      <c r="M993" s="4">
        <v>0</v>
      </c>
      <c r="N993">
        <v>10</v>
      </c>
      <c r="O993" t="s">
        <v>86</v>
      </c>
      <c r="P993">
        <v>421</v>
      </c>
      <c r="Q993">
        <f>QtyRemaining*EstMfgMin/60</f>
        <v>70.166666666666671</v>
      </c>
      <c r="U993" t="e">
        <f t="shared" si="32"/>
        <v>#REF!</v>
      </c>
      <c r="V993" s="5" t="e">
        <f t="shared" si="33"/>
        <v>#REF!</v>
      </c>
    </row>
    <row r="994" spans="1:22" x14ac:dyDescent="0.25">
      <c r="A994" s="2">
        <v>46083</v>
      </c>
      <c r="B994" s="2">
        <v>46002</v>
      </c>
      <c r="C994" t="s">
        <v>1168</v>
      </c>
      <c r="D994">
        <v>10</v>
      </c>
      <c r="E994" t="s">
        <v>2308</v>
      </c>
      <c r="F994" t="s">
        <v>283</v>
      </c>
      <c r="G994" t="s">
        <v>1170</v>
      </c>
      <c r="H994" t="s">
        <v>2309</v>
      </c>
      <c r="I994" t="s">
        <v>224</v>
      </c>
      <c r="J994" s="3" t="s">
        <v>2310</v>
      </c>
      <c r="K994" t="s">
        <v>2311</v>
      </c>
      <c r="L994" s="4">
        <v>3</v>
      </c>
      <c r="M994" s="4">
        <v>0</v>
      </c>
      <c r="N994">
        <v>3</v>
      </c>
      <c r="O994" t="s">
        <v>2312</v>
      </c>
      <c r="P994">
        <v>90</v>
      </c>
      <c r="Q994">
        <f>QtyRemaining*EstMfgMin/60</f>
        <v>4.5</v>
      </c>
      <c r="U994" t="e">
        <f t="shared" si="32"/>
        <v>#REF!</v>
      </c>
      <c r="V994" s="5" t="e">
        <f t="shared" si="33"/>
        <v>#REF!</v>
      </c>
    </row>
    <row r="995" spans="1:22" x14ac:dyDescent="0.25">
      <c r="A995" s="2">
        <v>46083</v>
      </c>
      <c r="B995" s="2">
        <v>46045</v>
      </c>
      <c r="C995" t="s">
        <v>232</v>
      </c>
      <c r="D995">
        <v>10</v>
      </c>
      <c r="E995" t="s">
        <v>2313</v>
      </c>
      <c r="F995" t="s">
        <v>211</v>
      </c>
      <c r="G995" t="s">
        <v>270</v>
      </c>
      <c r="H995" t="s">
        <v>2314</v>
      </c>
      <c r="I995" t="s">
        <v>214</v>
      </c>
      <c r="J995" s="3" t="s">
        <v>2315</v>
      </c>
      <c r="K995" t="s">
        <v>2316</v>
      </c>
      <c r="L995" s="4">
        <v>136</v>
      </c>
      <c r="M995" s="4">
        <v>0</v>
      </c>
      <c r="N995">
        <v>136</v>
      </c>
      <c r="O995" t="s">
        <v>176</v>
      </c>
      <c r="P995">
        <v>4</v>
      </c>
      <c r="Q995">
        <f>QtyRemaining*EstMfgMin/60</f>
        <v>9.0666666666666664</v>
      </c>
      <c r="U995" t="e">
        <f t="shared" si="32"/>
        <v>#REF!</v>
      </c>
      <c r="V995" s="5" t="e">
        <f t="shared" si="33"/>
        <v>#REF!</v>
      </c>
    </row>
    <row r="996" spans="1:22" x14ac:dyDescent="0.25">
      <c r="A996" s="2">
        <v>46083</v>
      </c>
      <c r="B996" s="2">
        <v>46045</v>
      </c>
      <c r="C996" t="s">
        <v>465</v>
      </c>
      <c r="D996">
        <v>10</v>
      </c>
      <c r="E996" t="s">
        <v>2317</v>
      </c>
      <c r="F996" t="s">
        <v>211</v>
      </c>
      <c r="G996" t="s">
        <v>467</v>
      </c>
      <c r="H996" t="s">
        <v>2318</v>
      </c>
      <c r="I996" t="s">
        <v>214</v>
      </c>
      <c r="J996" s="3" t="s">
        <v>2319</v>
      </c>
      <c r="K996" t="s">
        <v>2320</v>
      </c>
      <c r="L996" s="4">
        <v>3</v>
      </c>
      <c r="M996" s="4">
        <v>0</v>
      </c>
      <c r="N996">
        <v>3</v>
      </c>
      <c r="O996" t="s">
        <v>176</v>
      </c>
      <c r="P996">
        <v>34</v>
      </c>
      <c r="Q996">
        <f>QtyRemaining*EstMfgMin/60</f>
        <v>1.7</v>
      </c>
      <c r="U996" t="e">
        <f t="shared" si="32"/>
        <v>#REF!</v>
      </c>
      <c r="V996" s="5" t="e">
        <f t="shared" si="33"/>
        <v>#REF!</v>
      </c>
    </row>
    <row r="997" spans="1:22" x14ac:dyDescent="0.25">
      <c r="A997" s="2">
        <v>46083</v>
      </c>
      <c r="B997" s="2">
        <v>46051</v>
      </c>
      <c r="C997" t="s">
        <v>465</v>
      </c>
      <c r="D997">
        <v>10</v>
      </c>
      <c r="E997" t="s">
        <v>2321</v>
      </c>
      <c r="F997" t="s">
        <v>211</v>
      </c>
      <c r="G997" t="s">
        <v>467</v>
      </c>
      <c r="H997" t="s">
        <v>2322</v>
      </c>
      <c r="I997" t="s">
        <v>214</v>
      </c>
      <c r="J997" s="3" t="s">
        <v>2323</v>
      </c>
      <c r="K997" t="s">
        <v>2324</v>
      </c>
      <c r="L997" s="4">
        <v>1</v>
      </c>
      <c r="M997" s="4">
        <v>0</v>
      </c>
      <c r="N997">
        <v>1</v>
      </c>
      <c r="O997" t="s">
        <v>176</v>
      </c>
      <c r="P997">
        <v>50</v>
      </c>
      <c r="Q997">
        <f>QtyRemaining*EstMfgMin/60</f>
        <v>0.83333333333333337</v>
      </c>
      <c r="U997" t="e">
        <f t="shared" si="32"/>
        <v>#REF!</v>
      </c>
      <c r="V997" s="5" t="e">
        <f t="shared" si="33"/>
        <v>#REF!</v>
      </c>
    </row>
    <row r="998" spans="1:22" x14ac:dyDescent="0.25">
      <c r="A998" s="2">
        <v>46083</v>
      </c>
      <c r="B998" s="2">
        <v>46051</v>
      </c>
      <c r="C998" t="s">
        <v>465</v>
      </c>
      <c r="D998">
        <v>10</v>
      </c>
      <c r="E998" t="s">
        <v>2321</v>
      </c>
      <c r="F998" t="s">
        <v>211</v>
      </c>
      <c r="G998" t="s">
        <v>467</v>
      </c>
      <c r="H998" t="s">
        <v>2322</v>
      </c>
      <c r="I998" t="s">
        <v>214</v>
      </c>
      <c r="J998" s="3" t="s">
        <v>2325</v>
      </c>
      <c r="K998" t="s">
        <v>2326</v>
      </c>
      <c r="L998" s="4">
        <v>1</v>
      </c>
      <c r="M998" s="4">
        <v>0</v>
      </c>
      <c r="N998">
        <v>1</v>
      </c>
      <c r="O998" t="s">
        <v>176</v>
      </c>
      <c r="P998">
        <v>50</v>
      </c>
      <c r="Q998">
        <f>QtyRemaining*EstMfgMin/60</f>
        <v>0.83333333333333337</v>
      </c>
      <c r="U998" t="e">
        <f t="shared" si="32"/>
        <v>#REF!</v>
      </c>
      <c r="V998" s="5" t="e">
        <f t="shared" si="33"/>
        <v>#REF!</v>
      </c>
    </row>
    <row r="999" spans="1:22" x14ac:dyDescent="0.25">
      <c r="A999" s="2">
        <v>46083</v>
      </c>
      <c r="B999" s="2">
        <v>46051</v>
      </c>
      <c r="C999" t="s">
        <v>465</v>
      </c>
      <c r="D999">
        <v>10</v>
      </c>
      <c r="E999" t="s">
        <v>2321</v>
      </c>
      <c r="F999" t="s">
        <v>211</v>
      </c>
      <c r="G999" t="s">
        <v>467</v>
      </c>
      <c r="H999" t="s">
        <v>2322</v>
      </c>
      <c r="I999" t="s">
        <v>214</v>
      </c>
      <c r="J999" s="3" t="s">
        <v>2327</v>
      </c>
      <c r="K999" t="s">
        <v>2328</v>
      </c>
      <c r="L999" s="4">
        <v>1</v>
      </c>
      <c r="M999" s="4">
        <v>0</v>
      </c>
      <c r="N999">
        <v>1</v>
      </c>
      <c r="O999" t="s">
        <v>176</v>
      </c>
      <c r="P999">
        <v>50</v>
      </c>
      <c r="Q999">
        <f>QtyRemaining*EstMfgMin/60</f>
        <v>0.83333333333333337</v>
      </c>
      <c r="U999" t="e">
        <f t="shared" si="32"/>
        <v>#REF!</v>
      </c>
      <c r="V999" s="5" t="e">
        <f t="shared" si="33"/>
        <v>#REF!</v>
      </c>
    </row>
    <row r="1000" spans="1:22" x14ac:dyDescent="0.25">
      <c r="A1000" s="2">
        <v>46083</v>
      </c>
      <c r="B1000" s="2">
        <v>46051</v>
      </c>
      <c r="C1000" t="s">
        <v>465</v>
      </c>
      <c r="D1000">
        <v>10</v>
      </c>
      <c r="E1000" t="s">
        <v>2321</v>
      </c>
      <c r="F1000" t="s">
        <v>211</v>
      </c>
      <c r="G1000" t="s">
        <v>467</v>
      </c>
      <c r="H1000" t="s">
        <v>2322</v>
      </c>
      <c r="I1000" t="s">
        <v>214</v>
      </c>
      <c r="J1000" s="3" t="s">
        <v>2329</v>
      </c>
      <c r="K1000" t="s">
        <v>2330</v>
      </c>
      <c r="L1000" s="4">
        <v>1</v>
      </c>
      <c r="M1000" s="4">
        <v>0</v>
      </c>
      <c r="N1000">
        <v>1</v>
      </c>
      <c r="O1000" t="s">
        <v>176</v>
      </c>
      <c r="P1000">
        <v>45</v>
      </c>
      <c r="Q1000">
        <f>QtyRemaining*EstMfgMin/60</f>
        <v>0.75</v>
      </c>
      <c r="U1000" t="e">
        <f t="shared" si="32"/>
        <v>#REF!</v>
      </c>
      <c r="V1000" s="5" t="e">
        <f t="shared" si="33"/>
        <v>#REF!</v>
      </c>
    </row>
    <row r="1001" spans="1:22" x14ac:dyDescent="0.25">
      <c r="A1001" s="2">
        <v>46083</v>
      </c>
      <c r="B1001" s="2">
        <v>46051</v>
      </c>
      <c r="C1001" t="s">
        <v>465</v>
      </c>
      <c r="D1001">
        <v>10</v>
      </c>
      <c r="E1001" t="s">
        <v>2321</v>
      </c>
      <c r="F1001" t="s">
        <v>211</v>
      </c>
      <c r="G1001" t="s">
        <v>467</v>
      </c>
      <c r="H1001" t="s">
        <v>2322</v>
      </c>
      <c r="I1001" t="s">
        <v>214</v>
      </c>
      <c r="J1001" s="3" t="s">
        <v>2331</v>
      </c>
      <c r="K1001" t="s">
        <v>2332</v>
      </c>
      <c r="L1001" s="4">
        <v>1</v>
      </c>
      <c r="M1001" s="4">
        <v>0</v>
      </c>
      <c r="N1001">
        <v>1</v>
      </c>
      <c r="O1001" t="s">
        <v>176</v>
      </c>
      <c r="P1001">
        <v>45</v>
      </c>
      <c r="Q1001">
        <f>QtyRemaining*EstMfgMin/60</f>
        <v>0.75</v>
      </c>
      <c r="U1001" t="e">
        <f t="shared" si="32"/>
        <v>#REF!</v>
      </c>
      <c r="V1001" s="5" t="e">
        <f t="shared" si="33"/>
        <v>#REF!</v>
      </c>
    </row>
    <row r="1002" spans="1:22" x14ac:dyDescent="0.25">
      <c r="A1002" s="2">
        <v>46083</v>
      </c>
      <c r="B1002" s="2">
        <v>46051</v>
      </c>
      <c r="C1002" t="s">
        <v>465</v>
      </c>
      <c r="D1002">
        <v>10</v>
      </c>
      <c r="E1002" t="s">
        <v>2321</v>
      </c>
      <c r="F1002" t="s">
        <v>211</v>
      </c>
      <c r="G1002" t="s">
        <v>467</v>
      </c>
      <c r="H1002" t="s">
        <v>2322</v>
      </c>
      <c r="I1002" t="s">
        <v>214</v>
      </c>
      <c r="J1002" s="3" t="s">
        <v>2333</v>
      </c>
      <c r="K1002" t="s">
        <v>2334</v>
      </c>
      <c r="L1002" s="4">
        <v>1</v>
      </c>
      <c r="M1002" s="4">
        <v>0</v>
      </c>
      <c r="N1002">
        <v>1</v>
      </c>
      <c r="O1002" t="s">
        <v>176</v>
      </c>
      <c r="P1002">
        <v>30</v>
      </c>
      <c r="Q1002">
        <f>QtyRemaining*EstMfgMin/60</f>
        <v>0.5</v>
      </c>
      <c r="U1002" t="e">
        <f t="shared" si="32"/>
        <v>#REF!</v>
      </c>
      <c r="V1002" s="5" t="e">
        <f t="shared" si="33"/>
        <v>#REF!</v>
      </c>
    </row>
    <row r="1003" spans="1:22" x14ac:dyDescent="0.25">
      <c r="A1003" s="2">
        <v>46083</v>
      </c>
      <c r="B1003" s="2">
        <v>46051</v>
      </c>
      <c r="C1003" t="s">
        <v>465</v>
      </c>
      <c r="D1003">
        <v>10</v>
      </c>
      <c r="E1003" t="s">
        <v>2321</v>
      </c>
      <c r="F1003" t="s">
        <v>211</v>
      </c>
      <c r="G1003" t="s">
        <v>467</v>
      </c>
      <c r="H1003" t="s">
        <v>2322</v>
      </c>
      <c r="I1003" t="s">
        <v>214</v>
      </c>
      <c r="J1003" s="3" t="s">
        <v>2335</v>
      </c>
      <c r="K1003" t="s">
        <v>2336</v>
      </c>
      <c r="L1003" s="4">
        <v>1</v>
      </c>
      <c r="M1003" s="4">
        <v>0</v>
      </c>
      <c r="N1003">
        <v>1</v>
      </c>
      <c r="O1003" t="s">
        <v>176</v>
      </c>
      <c r="P1003">
        <v>45</v>
      </c>
      <c r="Q1003">
        <f>QtyRemaining*EstMfgMin/60</f>
        <v>0.75</v>
      </c>
      <c r="U1003" t="e">
        <f t="shared" si="32"/>
        <v>#REF!</v>
      </c>
      <c r="V1003" s="5" t="e">
        <f t="shared" si="33"/>
        <v>#REF!</v>
      </c>
    </row>
    <row r="1004" spans="1:22" x14ac:dyDescent="0.25">
      <c r="A1004" s="2">
        <v>46083</v>
      </c>
      <c r="B1004" s="2">
        <v>46051</v>
      </c>
      <c r="C1004" t="s">
        <v>465</v>
      </c>
      <c r="D1004">
        <v>10</v>
      </c>
      <c r="E1004" t="s">
        <v>2321</v>
      </c>
      <c r="F1004" t="s">
        <v>211</v>
      </c>
      <c r="G1004" t="s">
        <v>467</v>
      </c>
      <c r="H1004" t="s">
        <v>2322</v>
      </c>
      <c r="I1004" t="s">
        <v>214</v>
      </c>
      <c r="J1004" s="3" t="s">
        <v>2337</v>
      </c>
      <c r="K1004" t="s">
        <v>2338</v>
      </c>
      <c r="L1004" s="4">
        <v>1</v>
      </c>
      <c r="M1004" s="4">
        <v>0</v>
      </c>
      <c r="N1004">
        <v>1</v>
      </c>
      <c r="O1004" t="s">
        <v>176</v>
      </c>
      <c r="P1004">
        <v>40</v>
      </c>
      <c r="Q1004">
        <f>QtyRemaining*EstMfgMin/60</f>
        <v>0.66666666666666663</v>
      </c>
      <c r="U1004" t="e">
        <f t="shared" si="32"/>
        <v>#REF!</v>
      </c>
      <c r="V1004" s="5" t="e">
        <f t="shared" si="33"/>
        <v>#REF!</v>
      </c>
    </row>
    <row r="1005" spans="1:22" x14ac:dyDescent="0.25">
      <c r="A1005" s="2">
        <v>46083</v>
      </c>
      <c r="B1005" s="2">
        <v>46051</v>
      </c>
      <c r="C1005" t="s">
        <v>465</v>
      </c>
      <c r="D1005">
        <v>10</v>
      </c>
      <c r="E1005" t="s">
        <v>2321</v>
      </c>
      <c r="F1005" t="s">
        <v>211</v>
      </c>
      <c r="G1005" t="s">
        <v>467</v>
      </c>
      <c r="H1005" t="s">
        <v>2322</v>
      </c>
      <c r="I1005" t="s">
        <v>214</v>
      </c>
      <c r="J1005" s="3" t="s">
        <v>2339</v>
      </c>
      <c r="K1005" t="s">
        <v>2340</v>
      </c>
      <c r="L1005" s="4">
        <v>1</v>
      </c>
      <c r="M1005" s="4">
        <v>0</v>
      </c>
      <c r="N1005">
        <v>1</v>
      </c>
      <c r="O1005" t="s">
        <v>176</v>
      </c>
      <c r="P1005">
        <v>30</v>
      </c>
      <c r="Q1005">
        <f>QtyRemaining*EstMfgMin/60</f>
        <v>0.5</v>
      </c>
      <c r="U1005" t="e">
        <f t="shared" si="32"/>
        <v>#REF!</v>
      </c>
      <c r="V1005" s="5" t="e">
        <f t="shared" si="33"/>
        <v>#REF!</v>
      </c>
    </row>
    <row r="1006" spans="1:22" x14ac:dyDescent="0.25">
      <c r="A1006" s="2">
        <v>46083</v>
      </c>
      <c r="B1006" s="2">
        <v>46051</v>
      </c>
      <c r="C1006" t="s">
        <v>465</v>
      </c>
      <c r="D1006">
        <v>10</v>
      </c>
      <c r="E1006" t="s">
        <v>2321</v>
      </c>
      <c r="F1006" t="s">
        <v>211</v>
      </c>
      <c r="G1006" t="s">
        <v>467</v>
      </c>
      <c r="H1006" t="s">
        <v>2322</v>
      </c>
      <c r="I1006" t="s">
        <v>214</v>
      </c>
      <c r="J1006" s="3" t="s">
        <v>2341</v>
      </c>
      <c r="K1006" t="s">
        <v>2342</v>
      </c>
      <c r="L1006" s="4">
        <v>1</v>
      </c>
      <c r="M1006" s="4">
        <v>0</v>
      </c>
      <c r="N1006">
        <v>1</v>
      </c>
      <c r="O1006" t="s">
        <v>176</v>
      </c>
      <c r="P1006">
        <v>59</v>
      </c>
      <c r="Q1006">
        <f>QtyRemaining*EstMfgMin/60</f>
        <v>0.98333333333333328</v>
      </c>
      <c r="U1006" t="e">
        <f t="shared" si="32"/>
        <v>#REF!</v>
      </c>
      <c r="V1006" s="5" t="e">
        <f t="shared" si="33"/>
        <v>#REF!</v>
      </c>
    </row>
    <row r="1007" spans="1:22" x14ac:dyDescent="0.25">
      <c r="A1007" s="2">
        <v>46084</v>
      </c>
      <c r="B1007" s="2">
        <v>45754</v>
      </c>
      <c r="C1007" t="s">
        <v>221</v>
      </c>
      <c r="D1007">
        <v>10</v>
      </c>
      <c r="E1007" t="s">
        <v>601</v>
      </c>
      <c r="F1007" t="s">
        <v>211</v>
      </c>
      <c r="G1007" t="s">
        <v>519</v>
      </c>
      <c r="H1007" t="s">
        <v>602</v>
      </c>
      <c r="I1007" t="s">
        <v>83</v>
      </c>
      <c r="J1007" s="3" t="s">
        <v>2343</v>
      </c>
      <c r="K1007" t="s">
        <v>2344</v>
      </c>
      <c r="L1007" s="4">
        <v>14</v>
      </c>
      <c r="M1007" s="4">
        <v>0</v>
      </c>
      <c r="N1007">
        <v>14</v>
      </c>
      <c r="O1007" t="s">
        <v>176</v>
      </c>
      <c r="P1007">
        <v>0</v>
      </c>
      <c r="Q1007">
        <f>QtyRemaining*EstMfgMin/60</f>
        <v>0</v>
      </c>
      <c r="U1007" t="e">
        <f t="shared" si="32"/>
        <v>#REF!</v>
      </c>
      <c r="V1007" s="5" t="e">
        <f t="shared" si="33"/>
        <v>#REF!</v>
      </c>
    </row>
    <row r="1008" spans="1:22" x14ac:dyDescent="0.25">
      <c r="A1008" s="2">
        <v>46084</v>
      </c>
      <c r="B1008" s="2">
        <v>45754</v>
      </c>
      <c r="C1008" t="s">
        <v>221</v>
      </c>
      <c r="D1008">
        <v>10</v>
      </c>
      <c r="E1008" t="s">
        <v>601</v>
      </c>
      <c r="F1008" t="s">
        <v>211</v>
      </c>
      <c r="G1008" t="s">
        <v>519</v>
      </c>
      <c r="H1008" t="s">
        <v>602</v>
      </c>
      <c r="I1008" t="s">
        <v>83</v>
      </c>
      <c r="J1008" s="3" t="s">
        <v>2345</v>
      </c>
      <c r="K1008" t="s">
        <v>2346</v>
      </c>
      <c r="L1008" s="4">
        <v>14</v>
      </c>
      <c r="M1008" s="4">
        <v>0</v>
      </c>
      <c r="N1008">
        <v>14</v>
      </c>
      <c r="O1008" t="s">
        <v>176</v>
      </c>
      <c r="P1008">
        <v>0</v>
      </c>
      <c r="Q1008">
        <f>QtyRemaining*EstMfgMin/60</f>
        <v>0</v>
      </c>
      <c r="U1008" t="e">
        <f t="shared" si="32"/>
        <v>#REF!</v>
      </c>
      <c r="V1008" s="5" t="e">
        <f t="shared" si="33"/>
        <v>#REF!</v>
      </c>
    </row>
    <row r="1009" spans="1:22" x14ac:dyDescent="0.25">
      <c r="A1009" s="2">
        <v>46084</v>
      </c>
      <c r="B1009" s="2">
        <v>45754</v>
      </c>
      <c r="C1009" t="s">
        <v>221</v>
      </c>
      <c r="D1009">
        <v>10</v>
      </c>
      <c r="E1009" t="s">
        <v>601</v>
      </c>
      <c r="F1009" t="s">
        <v>211</v>
      </c>
      <c r="G1009" t="s">
        <v>519</v>
      </c>
      <c r="H1009" t="s">
        <v>602</v>
      </c>
      <c r="I1009" t="s">
        <v>83</v>
      </c>
      <c r="J1009" s="3" t="s">
        <v>2347</v>
      </c>
      <c r="K1009" t="s">
        <v>2348</v>
      </c>
      <c r="L1009" s="4">
        <v>14</v>
      </c>
      <c r="M1009" s="4">
        <v>0</v>
      </c>
      <c r="N1009">
        <v>14</v>
      </c>
      <c r="O1009" t="s">
        <v>176</v>
      </c>
      <c r="P1009">
        <v>0</v>
      </c>
      <c r="Q1009">
        <f>QtyRemaining*EstMfgMin/60</f>
        <v>0</v>
      </c>
      <c r="U1009" t="e">
        <f t="shared" si="32"/>
        <v>#REF!</v>
      </c>
      <c r="V1009" s="5" t="e">
        <f t="shared" si="33"/>
        <v>#REF!</v>
      </c>
    </row>
    <row r="1010" spans="1:22" x14ac:dyDescent="0.25">
      <c r="A1010" s="2">
        <v>46084</v>
      </c>
      <c r="B1010" s="2">
        <v>45754</v>
      </c>
      <c r="C1010" t="s">
        <v>221</v>
      </c>
      <c r="D1010">
        <v>10</v>
      </c>
      <c r="E1010" t="s">
        <v>601</v>
      </c>
      <c r="F1010" t="s">
        <v>211</v>
      </c>
      <c r="G1010" t="s">
        <v>519</v>
      </c>
      <c r="H1010" t="s">
        <v>602</v>
      </c>
      <c r="I1010" t="s">
        <v>83</v>
      </c>
      <c r="J1010" s="3" t="s">
        <v>2349</v>
      </c>
      <c r="K1010" t="s">
        <v>2348</v>
      </c>
      <c r="L1010" s="4">
        <v>14</v>
      </c>
      <c r="M1010" s="4">
        <v>0</v>
      </c>
      <c r="N1010">
        <v>14</v>
      </c>
      <c r="O1010" t="s">
        <v>176</v>
      </c>
      <c r="P1010">
        <v>0</v>
      </c>
      <c r="Q1010">
        <f>QtyRemaining*EstMfgMin/60</f>
        <v>0</v>
      </c>
      <c r="U1010" t="e">
        <f t="shared" si="32"/>
        <v>#REF!</v>
      </c>
      <c r="V1010" s="5" t="e">
        <f t="shared" si="33"/>
        <v>#REF!</v>
      </c>
    </row>
    <row r="1011" spans="1:22" x14ac:dyDescent="0.25">
      <c r="A1011" s="2">
        <v>46084</v>
      </c>
      <c r="B1011" s="2">
        <v>45754</v>
      </c>
      <c r="C1011" t="s">
        <v>221</v>
      </c>
      <c r="D1011">
        <v>10</v>
      </c>
      <c r="E1011" t="s">
        <v>601</v>
      </c>
      <c r="F1011" t="s">
        <v>211</v>
      </c>
      <c r="G1011" t="s">
        <v>519</v>
      </c>
      <c r="H1011" t="s">
        <v>602</v>
      </c>
      <c r="I1011" t="s">
        <v>83</v>
      </c>
      <c r="J1011" s="3" t="s">
        <v>2350</v>
      </c>
      <c r="K1011" t="s">
        <v>2351</v>
      </c>
      <c r="L1011" s="4">
        <v>14</v>
      </c>
      <c r="M1011" s="4">
        <v>0</v>
      </c>
      <c r="N1011">
        <v>14</v>
      </c>
      <c r="O1011" t="s">
        <v>86</v>
      </c>
      <c r="P1011">
        <v>0</v>
      </c>
      <c r="Q1011">
        <f>QtyRemaining*EstMfgMin/60</f>
        <v>0</v>
      </c>
      <c r="U1011" t="e">
        <f t="shared" si="32"/>
        <v>#REF!</v>
      </c>
      <c r="V1011" s="5" t="e">
        <f t="shared" si="33"/>
        <v>#REF!</v>
      </c>
    </row>
    <row r="1012" spans="1:22" x14ac:dyDescent="0.25">
      <c r="A1012" s="2">
        <v>46084</v>
      </c>
      <c r="B1012" s="2">
        <v>45754</v>
      </c>
      <c r="C1012" t="s">
        <v>221</v>
      </c>
      <c r="D1012">
        <v>10</v>
      </c>
      <c r="E1012" t="s">
        <v>601</v>
      </c>
      <c r="F1012" t="s">
        <v>211</v>
      </c>
      <c r="G1012" t="s">
        <v>519</v>
      </c>
      <c r="H1012" t="s">
        <v>602</v>
      </c>
      <c r="I1012" t="s">
        <v>83</v>
      </c>
      <c r="J1012" s="3" t="s">
        <v>2352</v>
      </c>
      <c r="K1012" t="s">
        <v>2353</v>
      </c>
      <c r="L1012" s="4">
        <v>14</v>
      </c>
      <c r="M1012" s="4">
        <v>0</v>
      </c>
      <c r="N1012">
        <v>14</v>
      </c>
      <c r="O1012" t="s">
        <v>176</v>
      </c>
      <c r="P1012">
        <v>0</v>
      </c>
      <c r="Q1012">
        <f>QtyRemaining*EstMfgMin/60</f>
        <v>0</v>
      </c>
      <c r="U1012" t="e">
        <f t="shared" si="32"/>
        <v>#REF!</v>
      </c>
      <c r="V1012" s="5" t="e">
        <f t="shared" si="33"/>
        <v>#REF!</v>
      </c>
    </row>
    <row r="1013" spans="1:22" x14ac:dyDescent="0.25">
      <c r="A1013" s="2">
        <v>46084</v>
      </c>
      <c r="B1013" s="2">
        <v>45754</v>
      </c>
      <c r="C1013" t="s">
        <v>221</v>
      </c>
      <c r="D1013">
        <v>10</v>
      </c>
      <c r="E1013" t="s">
        <v>601</v>
      </c>
      <c r="F1013" t="s">
        <v>211</v>
      </c>
      <c r="G1013" t="s">
        <v>519</v>
      </c>
      <c r="H1013" t="s">
        <v>602</v>
      </c>
      <c r="I1013" t="s">
        <v>83</v>
      </c>
      <c r="J1013" s="3" t="s">
        <v>2354</v>
      </c>
      <c r="K1013" t="s">
        <v>2355</v>
      </c>
      <c r="L1013" s="4">
        <v>14</v>
      </c>
      <c r="M1013" s="4">
        <v>0</v>
      </c>
      <c r="N1013">
        <v>14</v>
      </c>
      <c r="O1013" t="s">
        <v>94</v>
      </c>
      <c r="P1013">
        <v>0</v>
      </c>
      <c r="Q1013">
        <f>QtyRemaining*EstMfgMin/60</f>
        <v>0</v>
      </c>
      <c r="U1013" t="e">
        <f t="shared" si="32"/>
        <v>#REF!</v>
      </c>
      <c r="V1013" s="5" t="e">
        <f t="shared" si="33"/>
        <v>#REF!</v>
      </c>
    </row>
    <row r="1014" spans="1:22" x14ac:dyDescent="0.25">
      <c r="A1014" s="2">
        <v>46084</v>
      </c>
      <c r="B1014" s="2">
        <v>45754</v>
      </c>
      <c r="C1014" t="s">
        <v>221</v>
      </c>
      <c r="D1014">
        <v>10</v>
      </c>
      <c r="E1014" t="s">
        <v>601</v>
      </c>
      <c r="F1014" t="s">
        <v>211</v>
      </c>
      <c r="G1014" t="s">
        <v>519</v>
      </c>
      <c r="H1014" t="s">
        <v>602</v>
      </c>
      <c r="I1014" t="s">
        <v>83</v>
      </c>
      <c r="J1014" s="3" t="s">
        <v>2356</v>
      </c>
      <c r="K1014" t="s">
        <v>2357</v>
      </c>
      <c r="L1014" s="4">
        <v>14</v>
      </c>
      <c r="M1014" s="4">
        <v>0</v>
      </c>
      <c r="N1014">
        <v>14</v>
      </c>
      <c r="O1014" t="s">
        <v>118</v>
      </c>
      <c r="P1014">
        <v>0</v>
      </c>
      <c r="Q1014">
        <f>QtyRemaining*EstMfgMin/60</f>
        <v>0</v>
      </c>
      <c r="U1014" t="e">
        <f t="shared" si="32"/>
        <v>#REF!</v>
      </c>
      <c r="V1014" s="5" t="e">
        <f t="shared" si="33"/>
        <v>#REF!</v>
      </c>
    </row>
    <row r="1015" spans="1:22" x14ac:dyDescent="0.25">
      <c r="A1015" s="2">
        <v>46084</v>
      </c>
      <c r="B1015" s="2">
        <v>45754</v>
      </c>
      <c r="C1015" t="s">
        <v>221</v>
      </c>
      <c r="D1015">
        <v>10</v>
      </c>
      <c r="E1015" t="s">
        <v>601</v>
      </c>
      <c r="F1015" t="s">
        <v>211</v>
      </c>
      <c r="G1015" t="s">
        <v>519</v>
      </c>
      <c r="H1015" t="s">
        <v>602</v>
      </c>
      <c r="I1015" t="s">
        <v>83</v>
      </c>
      <c r="J1015" s="3" t="s">
        <v>2358</v>
      </c>
      <c r="K1015" t="s">
        <v>2359</v>
      </c>
      <c r="L1015" s="4">
        <v>14</v>
      </c>
      <c r="M1015" s="4">
        <v>0</v>
      </c>
      <c r="N1015">
        <v>14</v>
      </c>
      <c r="O1015" t="s">
        <v>176</v>
      </c>
      <c r="P1015">
        <v>0</v>
      </c>
      <c r="Q1015">
        <f>QtyRemaining*EstMfgMin/60</f>
        <v>0</v>
      </c>
      <c r="U1015" t="e">
        <f t="shared" si="32"/>
        <v>#REF!</v>
      </c>
      <c r="V1015" s="5" t="e">
        <f t="shared" si="33"/>
        <v>#REF!</v>
      </c>
    </row>
    <row r="1016" spans="1:22" x14ac:dyDescent="0.25">
      <c r="A1016" s="2">
        <v>46084</v>
      </c>
      <c r="B1016" s="2">
        <v>45754</v>
      </c>
      <c r="C1016" t="s">
        <v>221</v>
      </c>
      <c r="D1016">
        <v>10</v>
      </c>
      <c r="E1016" t="s">
        <v>601</v>
      </c>
      <c r="F1016" t="s">
        <v>211</v>
      </c>
      <c r="G1016" t="s">
        <v>519</v>
      </c>
      <c r="H1016" t="s">
        <v>602</v>
      </c>
      <c r="I1016" t="s">
        <v>83</v>
      </c>
      <c r="J1016" s="3" t="s">
        <v>2360</v>
      </c>
      <c r="K1016" t="s">
        <v>2361</v>
      </c>
      <c r="L1016" s="4">
        <v>14</v>
      </c>
      <c r="M1016" s="4">
        <v>0</v>
      </c>
      <c r="N1016">
        <v>14</v>
      </c>
      <c r="O1016" t="s">
        <v>86</v>
      </c>
      <c r="P1016">
        <v>0</v>
      </c>
      <c r="Q1016">
        <f>QtyRemaining*EstMfgMin/60</f>
        <v>0</v>
      </c>
      <c r="U1016" t="e">
        <f t="shared" si="32"/>
        <v>#REF!</v>
      </c>
      <c r="V1016" s="5" t="e">
        <f t="shared" si="33"/>
        <v>#REF!</v>
      </c>
    </row>
    <row r="1017" spans="1:22" x14ac:dyDescent="0.25">
      <c r="A1017" s="2">
        <v>46084</v>
      </c>
      <c r="B1017" s="2">
        <v>45754</v>
      </c>
      <c r="C1017" t="s">
        <v>221</v>
      </c>
      <c r="D1017">
        <v>10</v>
      </c>
      <c r="E1017" t="s">
        <v>601</v>
      </c>
      <c r="F1017" t="s">
        <v>211</v>
      </c>
      <c r="G1017" t="s">
        <v>519</v>
      </c>
      <c r="H1017" t="s">
        <v>602</v>
      </c>
      <c r="I1017" t="s">
        <v>83</v>
      </c>
      <c r="J1017" s="3" t="s">
        <v>2362</v>
      </c>
      <c r="K1017" t="s">
        <v>2361</v>
      </c>
      <c r="L1017" s="4">
        <v>14</v>
      </c>
      <c r="M1017" s="4">
        <v>0</v>
      </c>
      <c r="N1017">
        <v>14</v>
      </c>
      <c r="O1017" t="s">
        <v>86</v>
      </c>
      <c r="P1017">
        <v>0</v>
      </c>
      <c r="Q1017">
        <f>QtyRemaining*EstMfgMin/60</f>
        <v>0</v>
      </c>
      <c r="U1017" t="e">
        <f t="shared" si="32"/>
        <v>#REF!</v>
      </c>
      <c r="V1017" s="5" t="e">
        <f t="shared" si="33"/>
        <v>#REF!</v>
      </c>
    </row>
    <row r="1018" spans="1:22" x14ac:dyDescent="0.25">
      <c r="A1018" s="2">
        <v>46084</v>
      </c>
      <c r="B1018" s="2">
        <v>45754</v>
      </c>
      <c r="C1018" t="s">
        <v>221</v>
      </c>
      <c r="D1018">
        <v>10</v>
      </c>
      <c r="E1018" t="s">
        <v>601</v>
      </c>
      <c r="F1018" t="s">
        <v>211</v>
      </c>
      <c r="G1018" t="s">
        <v>519</v>
      </c>
      <c r="H1018" t="s">
        <v>602</v>
      </c>
      <c r="I1018" t="s">
        <v>83</v>
      </c>
      <c r="J1018" s="3" t="s">
        <v>2363</v>
      </c>
      <c r="K1018" t="s">
        <v>2364</v>
      </c>
      <c r="L1018" s="4">
        <v>14</v>
      </c>
      <c r="M1018" s="4">
        <v>0</v>
      </c>
      <c r="N1018">
        <v>14</v>
      </c>
      <c r="O1018" t="s">
        <v>86</v>
      </c>
      <c r="P1018">
        <v>0</v>
      </c>
      <c r="Q1018">
        <f>QtyRemaining*EstMfgMin/60</f>
        <v>0</v>
      </c>
      <c r="U1018" t="e">
        <f t="shared" si="32"/>
        <v>#REF!</v>
      </c>
      <c r="V1018" s="5" t="e">
        <f t="shared" si="33"/>
        <v>#REF!</v>
      </c>
    </row>
    <row r="1019" spans="1:22" x14ac:dyDescent="0.25">
      <c r="A1019" s="2">
        <v>46084</v>
      </c>
      <c r="B1019" s="2">
        <v>45904</v>
      </c>
      <c r="C1019" t="s">
        <v>1191</v>
      </c>
      <c r="D1019">
        <v>10</v>
      </c>
      <c r="E1019" t="s">
        <v>2365</v>
      </c>
      <c r="F1019" t="s">
        <v>211</v>
      </c>
      <c r="G1019" t="s">
        <v>1679</v>
      </c>
      <c r="H1019" t="s">
        <v>2366</v>
      </c>
      <c r="I1019" t="s">
        <v>214</v>
      </c>
      <c r="J1019" s="3" t="s">
        <v>2367</v>
      </c>
      <c r="K1019" t="s">
        <v>2368</v>
      </c>
      <c r="L1019" s="4">
        <v>139</v>
      </c>
      <c r="M1019" s="4">
        <v>0</v>
      </c>
      <c r="N1019">
        <v>139</v>
      </c>
      <c r="O1019" t="s">
        <v>457</v>
      </c>
      <c r="P1019">
        <v>6</v>
      </c>
      <c r="Q1019">
        <f>QtyRemaining*EstMfgMin/60</f>
        <v>13.9</v>
      </c>
      <c r="U1019" t="e">
        <f t="shared" si="32"/>
        <v>#REF!</v>
      </c>
      <c r="V1019" s="5" t="e">
        <f t="shared" si="33"/>
        <v>#REF!</v>
      </c>
    </row>
    <row r="1020" spans="1:22" x14ac:dyDescent="0.25">
      <c r="A1020" s="2">
        <v>46084</v>
      </c>
      <c r="B1020" s="2">
        <v>45958</v>
      </c>
      <c r="C1020" t="s">
        <v>633</v>
      </c>
      <c r="D1020">
        <v>10</v>
      </c>
      <c r="E1020" t="s">
        <v>2369</v>
      </c>
      <c r="F1020" t="s">
        <v>261</v>
      </c>
      <c r="G1020" t="s">
        <v>262</v>
      </c>
      <c r="H1020" t="s">
        <v>2370</v>
      </c>
      <c r="I1020" t="s">
        <v>83</v>
      </c>
      <c r="J1020" s="3" t="s">
        <v>2371</v>
      </c>
      <c r="K1020" t="s">
        <v>2372</v>
      </c>
      <c r="L1020" s="4">
        <v>345</v>
      </c>
      <c r="M1020" s="4">
        <v>0</v>
      </c>
      <c r="N1020">
        <v>345</v>
      </c>
      <c r="O1020" t="s">
        <v>94</v>
      </c>
      <c r="P1020">
        <v>240</v>
      </c>
      <c r="Q1020">
        <f>QtyRemaining*EstMfgMin/60</f>
        <v>1380</v>
      </c>
      <c r="U1020" t="e">
        <f t="shared" si="32"/>
        <v>#REF!</v>
      </c>
      <c r="V1020" s="5" t="e">
        <f t="shared" si="33"/>
        <v>#REF!</v>
      </c>
    </row>
    <row r="1021" spans="1:22" x14ac:dyDescent="0.25">
      <c r="A1021" s="2">
        <v>46084</v>
      </c>
      <c r="B1021" s="2">
        <v>45965</v>
      </c>
      <c r="C1021" t="s">
        <v>570</v>
      </c>
      <c r="D1021">
        <v>10</v>
      </c>
      <c r="E1021" t="s">
        <v>2373</v>
      </c>
      <c r="F1021" t="s">
        <v>261</v>
      </c>
      <c r="G1021" t="s">
        <v>529</v>
      </c>
      <c r="H1021" t="s">
        <v>2374</v>
      </c>
      <c r="I1021" t="s">
        <v>83</v>
      </c>
      <c r="J1021" s="3" t="s">
        <v>2375</v>
      </c>
      <c r="K1021" t="s">
        <v>2376</v>
      </c>
      <c r="L1021" s="4">
        <v>65</v>
      </c>
      <c r="M1021" s="4">
        <v>0</v>
      </c>
      <c r="N1021">
        <v>65</v>
      </c>
      <c r="O1021" t="s">
        <v>176</v>
      </c>
      <c r="P1021">
        <v>140</v>
      </c>
      <c r="Q1021">
        <f>QtyRemaining*EstMfgMin/60</f>
        <v>151.66666666666666</v>
      </c>
      <c r="U1021" t="e">
        <f t="shared" si="32"/>
        <v>#REF!</v>
      </c>
      <c r="V1021" s="5" t="e">
        <f t="shared" si="33"/>
        <v>#REF!</v>
      </c>
    </row>
    <row r="1022" spans="1:22" x14ac:dyDescent="0.25">
      <c r="A1022" s="2">
        <v>46084</v>
      </c>
      <c r="B1022" s="2">
        <v>45965</v>
      </c>
      <c r="C1022" t="s">
        <v>570</v>
      </c>
      <c r="D1022">
        <v>10</v>
      </c>
      <c r="E1022" t="s">
        <v>2373</v>
      </c>
      <c r="F1022" t="s">
        <v>261</v>
      </c>
      <c r="G1022" t="s">
        <v>529</v>
      </c>
      <c r="H1022" t="s">
        <v>2374</v>
      </c>
      <c r="I1022" t="s">
        <v>83</v>
      </c>
      <c r="J1022" s="3" t="s">
        <v>2377</v>
      </c>
      <c r="K1022" t="s">
        <v>2378</v>
      </c>
      <c r="L1022" s="4">
        <v>65</v>
      </c>
      <c r="M1022" s="4">
        <v>0</v>
      </c>
      <c r="N1022">
        <v>65</v>
      </c>
      <c r="O1022" t="s">
        <v>176</v>
      </c>
      <c r="P1022">
        <v>56</v>
      </c>
      <c r="Q1022">
        <f>QtyRemaining*EstMfgMin/60</f>
        <v>60.666666666666664</v>
      </c>
      <c r="U1022" t="e">
        <f t="shared" si="32"/>
        <v>#REF!</v>
      </c>
      <c r="V1022" s="5" t="e">
        <f t="shared" si="33"/>
        <v>#REF!</v>
      </c>
    </row>
    <row r="1023" spans="1:22" x14ac:dyDescent="0.25">
      <c r="A1023" s="2">
        <v>46084</v>
      </c>
      <c r="B1023" s="2">
        <v>45975</v>
      </c>
      <c r="C1023" t="s">
        <v>485</v>
      </c>
      <c r="D1023">
        <v>10</v>
      </c>
      <c r="E1023" t="s">
        <v>2379</v>
      </c>
      <c r="F1023" t="s">
        <v>211</v>
      </c>
      <c r="G1023" t="s">
        <v>864</v>
      </c>
      <c r="H1023" t="s">
        <v>2380</v>
      </c>
      <c r="I1023" t="s">
        <v>214</v>
      </c>
      <c r="J1023" s="3" t="s">
        <v>2381</v>
      </c>
      <c r="K1023" t="s">
        <v>2382</v>
      </c>
      <c r="L1023" s="4">
        <v>60</v>
      </c>
      <c r="M1023" s="4">
        <v>0</v>
      </c>
      <c r="N1023">
        <v>60</v>
      </c>
      <c r="O1023" t="s">
        <v>211</v>
      </c>
      <c r="P1023">
        <v>7</v>
      </c>
      <c r="Q1023">
        <f>QtyRemaining*EstMfgMin/60</f>
        <v>7</v>
      </c>
      <c r="U1023" t="e">
        <f t="shared" si="32"/>
        <v>#REF!</v>
      </c>
      <c r="V1023" s="5" t="e">
        <f t="shared" si="33"/>
        <v>#REF!</v>
      </c>
    </row>
    <row r="1024" spans="1:22" x14ac:dyDescent="0.25">
      <c r="A1024" s="2">
        <v>46084</v>
      </c>
      <c r="B1024" s="2">
        <v>45975</v>
      </c>
      <c r="C1024" t="s">
        <v>485</v>
      </c>
      <c r="D1024">
        <v>10</v>
      </c>
      <c r="E1024" t="s">
        <v>2379</v>
      </c>
      <c r="F1024" t="s">
        <v>211</v>
      </c>
      <c r="G1024" t="s">
        <v>864</v>
      </c>
      <c r="H1024" t="s">
        <v>2380</v>
      </c>
      <c r="I1024" t="s">
        <v>214</v>
      </c>
      <c r="J1024" s="3" t="s">
        <v>2383</v>
      </c>
      <c r="K1024" t="s">
        <v>2384</v>
      </c>
      <c r="L1024" s="4">
        <v>125</v>
      </c>
      <c r="M1024" s="4">
        <v>0</v>
      </c>
      <c r="N1024">
        <v>125</v>
      </c>
      <c r="O1024" t="s">
        <v>86</v>
      </c>
      <c r="P1024">
        <v>11</v>
      </c>
      <c r="Q1024">
        <f>QtyRemaining*EstMfgMin/60</f>
        <v>22.916666666666668</v>
      </c>
      <c r="U1024" t="e">
        <f t="shared" si="32"/>
        <v>#REF!</v>
      </c>
      <c r="V1024" s="5" t="e">
        <f t="shared" si="33"/>
        <v>#REF!</v>
      </c>
    </row>
    <row r="1025" spans="1:22" x14ac:dyDescent="0.25">
      <c r="A1025" s="2">
        <v>46084</v>
      </c>
      <c r="B1025" s="2">
        <v>45975</v>
      </c>
      <c r="C1025" t="s">
        <v>485</v>
      </c>
      <c r="D1025">
        <v>10</v>
      </c>
      <c r="E1025" t="s">
        <v>2379</v>
      </c>
      <c r="F1025" t="s">
        <v>211</v>
      </c>
      <c r="G1025" t="s">
        <v>864</v>
      </c>
      <c r="H1025" t="s">
        <v>2380</v>
      </c>
      <c r="I1025" t="s">
        <v>214</v>
      </c>
      <c r="J1025" s="3" t="s">
        <v>2385</v>
      </c>
      <c r="K1025" t="s">
        <v>2386</v>
      </c>
      <c r="L1025" s="4">
        <v>100</v>
      </c>
      <c r="M1025" s="4">
        <v>0</v>
      </c>
      <c r="N1025">
        <v>100</v>
      </c>
      <c r="O1025" t="s">
        <v>86</v>
      </c>
      <c r="P1025">
        <v>10</v>
      </c>
      <c r="Q1025">
        <f>QtyRemaining*EstMfgMin/60</f>
        <v>16.666666666666668</v>
      </c>
      <c r="U1025" t="e">
        <f t="shared" si="32"/>
        <v>#REF!</v>
      </c>
      <c r="V1025" s="5" t="e">
        <f t="shared" si="33"/>
        <v>#REF!</v>
      </c>
    </row>
    <row r="1026" spans="1:22" x14ac:dyDescent="0.25">
      <c r="A1026" s="2">
        <v>46084</v>
      </c>
      <c r="B1026" s="2">
        <v>45975</v>
      </c>
      <c r="C1026" t="s">
        <v>485</v>
      </c>
      <c r="D1026">
        <v>10</v>
      </c>
      <c r="E1026" t="s">
        <v>2379</v>
      </c>
      <c r="F1026" t="s">
        <v>211</v>
      </c>
      <c r="G1026" t="s">
        <v>864</v>
      </c>
      <c r="H1026" t="s">
        <v>2380</v>
      </c>
      <c r="I1026" t="s">
        <v>214</v>
      </c>
      <c r="J1026" s="3" t="s">
        <v>2387</v>
      </c>
      <c r="K1026" t="s">
        <v>2388</v>
      </c>
      <c r="L1026" s="4">
        <v>25</v>
      </c>
      <c r="M1026" s="4">
        <v>0</v>
      </c>
      <c r="N1026">
        <v>25</v>
      </c>
      <c r="O1026" t="s">
        <v>868</v>
      </c>
      <c r="P1026">
        <v>35</v>
      </c>
      <c r="Q1026">
        <f>QtyRemaining*EstMfgMin/60</f>
        <v>14.583333333333334</v>
      </c>
      <c r="U1026" t="e">
        <f t="shared" si="32"/>
        <v>#REF!</v>
      </c>
      <c r="V1026" s="5" t="e">
        <f t="shared" si="33"/>
        <v>#REF!</v>
      </c>
    </row>
    <row r="1027" spans="1:22" x14ac:dyDescent="0.25">
      <c r="A1027" s="2">
        <v>46084</v>
      </c>
      <c r="B1027" s="2">
        <v>45980</v>
      </c>
      <c r="C1027" t="s">
        <v>274</v>
      </c>
      <c r="D1027">
        <v>10</v>
      </c>
      <c r="E1027" t="s">
        <v>2389</v>
      </c>
      <c r="F1027" t="s">
        <v>211</v>
      </c>
      <c r="G1027" t="s">
        <v>276</v>
      </c>
      <c r="H1027" t="s">
        <v>2390</v>
      </c>
      <c r="I1027" t="s">
        <v>155</v>
      </c>
      <c r="J1027" s="3" t="s">
        <v>2391</v>
      </c>
      <c r="K1027" t="s">
        <v>2392</v>
      </c>
      <c r="L1027" s="4">
        <v>15</v>
      </c>
      <c r="M1027" s="4">
        <v>0</v>
      </c>
      <c r="N1027">
        <v>15</v>
      </c>
      <c r="O1027" t="s">
        <v>2393</v>
      </c>
      <c r="P1027">
        <v>0</v>
      </c>
      <c r="Q1027">
        <f>QtyRemaining*EstMfgMin/60</f>
        <v>0</v>
      </c>
      <c r="R1027" t="s">
        <v>2394</v>
      </c>
      <c r="U1027" t="e">
        <f t="shared" ref="U1027:U1090" si="34">VLOOKUP(A1027,Calendar,13,FALSE)</f>
        <v>#REF!</v>
      </c>
      <c r="V1027" s="5" t="e">
        <f t="shared" ref="V1027:V1090" si="35">VLOOKUP(A1027,Calendar,14,FALSE)</f>
        <v>#REF!</v>
      </c>
    </row>
    <row r="1028" spans="1:22" x14ac:dyDescent="0.25">
      <c r="A1028" s="2">
        <v>46084</v>
      </c>
      <c r="B1028" s="2">
        <v>45980</v>
      </c>
      <c r="C1028" t="s">
        <v>274</v>
      </c>
      <c r="D1028">
        <v>10</v>
      </c>
      <c r="E1028" t="s">
        <v>2389</v>
      </c>
      <c r="F1028" t="s">
        <v>211</v>
      </c>
      <c r="G1028" t="s">
        <v>276</v>
      </c>
      <c r="H1028" t="s">
        <v>2390</v>
      </c>
      <c r="I1028" t="s">
        <v>83</v>
      </c>
      <c r="J1028" s="3" t="s">
        <v>707</v>
      </c>
      <c r="K1028" t="s">
        <v>708</v>
      </c>
      <c r="L1028" s="4">
        <v>15</v>
      </c>
      <c r="M1028" s="4">
        <v>0</v>
      </c>
      <c r="N1028">
        <v>15</v>
      </c>
      <c r="O1028" t="s">
        <v>146</v>
      </c>
      <c r="P1028">
        <v>35</v>
      </c>
      <c r="Q1028">
        <f>QtyRemaining*EstMfgMin/60</f>
        <v>8.75</v>
      </c>
      <c r="U1028" t="e">
        <f t="shared" si="34"/>
        <v>#REF!</v>
      </c>
      <c r="V1028" s="5" t="e">
        <f t="shared" si="35"/>
        <v>#REF!</v>
      </c>
    </row>
    <row r="1029" spans="1:22" x14ac:dyDescent="0.25">
      <c r="A1029" s="2">
        <v>46084</v>
      </c>
      <c r="B1029" s="2">
        <v>45980</v>
      </c>
      <c r="C1029" t="s">
        <v>274</v>
      </c>
      <c r="D1029">
        <v>10</v>
      </c>
      <c r="E1029" t="s">
        <v>2389</v>
      </c>
      <c r="F1029" t="s">
        <v>211</v>
      </c>
      <c r="G1029" t="s">
        <v>276</v>
      </c>
      <c r="H1029" t="s">
        <v>2390</v>
      </c>
      <c r="I1029" t="s">
        <v>83</v>
      </c>
      <c r="J1029" s="3" t="s">
        <v>2395</v>
      </c>
      <c r="K1029" t="s">
        <v>2396</v>
      </c>
      <c r="L1029" s="4">
        <v>15</v>
      </c>
      <c r="M1029" s="4">
        <v>0</v>
      </c>
      <c r="N1029">
        <v>15</v>
      </c>
      <c r="O1029" t="s">
        <v>86</v>
      </c>
      <c r="P1029">
        <v>30</v>
      </c>
      <c r="Q1029">
        <f>QtyRemaining*EstMfgMin/60</f>
        <v>7.5</v>
      </c>
      <c r="U1029" t="e">
        <f t="shared" si="34"/>
        <v>#REF!</v>
      </c>
      <c r="V1029" s="5" t="e">
        <f t="shared" si="35"/>
        <v>#REF!</v>
      </c>
    </row>
    <row r="1030" spans="1:22" x14ac:dyDescent="0.25">
      <c r="A1030" s="2">
        <v>46084</v>
      </c>
      <c r="B1030" s="2">
        <v>45980</v>
      </c>
      <c r="C1030" t="s">
        <v>274</v>
      </c>
      <c r="D1030">
        <v>10</v>
      </c>
      <c r="E1030" t="s">
        <v>2389</v>
      </c>
      <c r="F1030" t="s">
        <v>211</v>
      </c>
      <c r="G1030" t="s">
        <v>276</v>
      </c>
      <c r="H1030" t="s">
        <v>2390</v>
      </c>
      <c r="I1030" t="s">
        <v>83</v>
      </c>
      <c r="J1030" s="3" t="s">
        <v>2397</v>
      </c>
      <c r="K1030" t="s">
        <v>2398</v>
      </c>
      <c r="L1030" s="4">
        <v>15</v>
      </c>
      <c r="M1030" s="4">
        <v>0</v>
      </c>
      <c r="N1030">
        <v>15</v>
      </c>
      <c r="O1030" t="s">
        <v>2399</v>
      </c>
      <c r="P1030">
        <v>0</v>
      </c>
      <c r="Q1030">
        <f>QtyRemaining*EstMfgMin/60</f>
        <v>0</v>
      </c>
      <c r="U1030" t="e">
        <f t="shared" si="34"/>
        <v>#REF!</v>
      </c>
      <c r="V1030" s="5" t="e">
        <f t="shared" si="35"/>
        <v>#REF!</v>
      </c>
    </row>
    <row r="1031" spans="1:22" x14ac:dyDescent="0.25">
      <c r="A1031" s="2">
        <v>46084</v>
      </c>
      <c r="B1031" s="2">
        <v>45980</v>
      </c>
      <c r="C1031" t="s">
        <v>274</v>
      </c>
      <c r="D1031">
        <v>10</v>
      </c>
      <c r="E1031" t="s">
        <v>2389</v>
      </c>
      <c r="F1031" t="s">
        <v>211</v>
      </c>
      <c r="G1031" t="s">
        <v>276</v>
      </c>
      <c r="H1031" t="s">
        <v>2390</v>
      </c>
      <c r="I1031" t="s">
        <v>83</v>
      </c>
      <c r="J1031" s="3" t="s">
        <v>709</v>
      </c>
      <c r="K1031" t="s">
        <v>710</v>
      </c>
      <c r="L1031" s="4">
        <v>15</v>
      </c>
      <c r="M1031" s="4">
        <v>0</v>
      </c>
      <c r="N1031">
        <v>15</v>
      </c>
      <c r="O1031" t="s">
        <v>86</v>
      </c>
      <c r="P1031">
        <v>100</v>
      </c>
      <c r="Q1031">
        <f>QtyRemaining*EstMfgMin/60</f>
        <v>25</v>
      </c>
      <c r="U1031" t="e">
        <f t="shared" si="34"/>
        <v>#REF!</v>
      </c>
      <c r="V1031" s="5" t="e">
        <f t="shared" si="35"/>
        <v>#REF!</v>
      </c>
    </row>
    <row r="1032" spans="1:22" x14ac:dyDescent="0.25">
      <c r="A1032" s="2">
        <v>46084</v>
      </c>
      <c r="B1032" s="2">
        <v>45980</v>
      </c>
      <c r="C1032" t="s">
        <v>274</v>
      </c>
      <c r="D1032">
        <v>10</v>
      </c>
      <c r="E1032" t="s">
        <v>2389</v>
      </c>
      <c r="F1032" t="s">
        <v>211</v>
      </c>
      <c r="G1032" t="s">
        <v>276</v>
      </c>
      <c r="H1032" t="s">
        <v>2390</v>
      </c>
      <c r="I1032" t="s">
        <v>83</v>
      </c>
      <c r="J1032" s="3" t="s">
        <v>2400</v>
      </c>
      <c r="K1032" t="s">
        <v>2401</v>
      </c>
      <c r="L1032" s="4">
        <v>15</v>
      </c>
      <c r="M1032" s="4">
        <v>0</v>
      </c>
      <c r="N1032">
        <v>15</v>
      </c>
      <c r="O1032" t="s">
        <v>266</v>
      </c>
      <c r="P1032">
        <v>240</v>
      </c>
      <c r="Q1032">
        <f>QtyRemaining*EstMfgMin/60</f>
        <v>60</v>
      </c>
      <c r="U1032" t="e">
        <f t="shared" si="34"/>
        <v>#REF!</v>
      </c>
      <c r="V1032" s="5" t="e">
        <f t="shared" si="35"/>
        <v>#REF!</v>
      </c>
    </row>
    <row r="1033" spans="1:22" x14ac:dyDescent="0.25">
      <c r="A1033" s="2">
        <v>46084</v>
      </c>
      <c r="B1033" s="2">
        <v>46010</v>
      </c>
      <c r="C1033" t="s">
        <v>465</v>
      </c>
      <c r="D1033">
        <v>10</v>
      </c>
      <c r="E1033" t="s">
        <v>2176</v>
      </c>
      <c r="F1033" t="s">
        <v>211</v>
      </c>
      <c r="G1033" t="s">
        <v>467</v>
      </c>
      <c r="H1033" t="s">
        <v>2177</v>
      </c>
      <c r="I1033" t="s">
        <v>214</v>
      </c>
      <c r="J1033" s="3" t="s">
        <v>2402</v>
      </c>
      <c r="K1033" t="s">
        <v>2403</v>
      </c>
      <c r="L1033" s="4">
        <v>5</v>
      </c>
      <c r="M1033" s="4">
        <v>0</v>
      </c>
      <c r="N1033">
        <v>5</v>
      </c>
      <c r="O1033" t="s">
        <v>94</v>
      </c>
      <c r="P1033">
        <v>48</v>
      </c>
      <c r="Q1033">
        <f>QtyRemaining*EstMfgMin/60</f>
        <v>4</v>
      </c>
      <c r="U1033" t="e">
        <f t="shared" si="34"/>
        <v>#REF!</v>
      </c>
      <c r="V1033" s="5" t="e">
        <f t="shared" si="35"/>
        <v>#REF!</v>
      </c>
    </row>
    <row r="1034" spans="1:22" x14ac:dyDescent="0.25">
      <c r="A1034" s="2">
        <v>46084</v>
      </c>
      <c r="B1034" s="2">
        <v>46010</v>
      </c>
      <c r="C1034" t="s">
        <v>465</v>
      </c>
      <c r="D1034">
        <v>10</v>
      </c>
      <c r="E1034" t="s">
        <v>2176</v>
      </c>
      <c r="F1034" t="s">
        <v>211</v>
      </c>
      <c r="G1034" t="s">
        <v>467</v>
      </c>
      <c r="H1034" t="s">
        <v>2177</v>
      </c>
      <c r="I1034" t="s">
        <v>214</v>
      </c>
      <c r="J1034" s="3" t="s">
        <v>879</v>
      </c>
      <c r="K1034" t="s">
        <v>880</v>
      </c>
      <c r="L1034" s="4">
        <v>1</v>
      </c>
      <c r="M1034" s="4">
        <v>0</v>
      </c>
      <c r="N1034">
        <v>1</v>
      </c>
      <c r="O1034" t="s">
        <v>266</v>
      </c>
      <c r="P1034">
        <v>90</v>
      </c>
      <c r="Q1034">
        <f>QtyRemaining*EstMfgMin/60</f>
        <v>1.5</v>
      </c>
      <c r="U1034" t="e">
        <f t="shared" si="34"/>
        <v>#REF!</v>
      </c>
      <c r="V1034" s="5" t="e">
        <f t="shared" si="35"/>
        <v>#REF!</v>
      </c>
    </row>
    <row r="1035" spans="1:22" x14ac:dyDescent="0.25">
      <c r="A1035" s="2">
        <v>46084</v>
      </c>
      <c r="B1035" s="2">
        <v>46010</v>
      </c>
      <c r="C1035" t="s">
        <v>465</v>
      </c>
      <c r="D1035">
        <v>10</v>
      </c>
      <c r="E1035" t="s">
        <v>2176</v>
      </c>
      <c r="F1035" t="s">
        <v>211</v>
      </c>
      <c r="G1035" t="s">
        <v>467</v>
      </c>
      <c r="H1035" t="s">
        <v>2177</v>
      </c>
      <c r="I1035" t="s">
        <v>214</v>
      </c>
      <c r="J1035" s="3" t="s">
        <v>1109</v>
      </c>
      <c r="K1035" t="s">
        <v>1110</v>
      </c>
      <c r="L1035" s="4">
        <v>5</v>
      </c>
      <c r="M1035" s="4">
        <v>0</v>
      </c>
      <c r="N1035">
        <v>5</v>
      </c>
      <c r="O1035" t="s">
        <v>86</v>
      </c>
      <c r="P1035">
        <v>90</v>
      </c>
      <c r="Q1035">
        <f>QtyRemaining*EstMfgMin/60</f>
        <v>7.5</v>
      </c>
      <c r="U1035" t="e">
        <f t="shared" si="34"/>
        <v>#REF!</v>
      </c>
      <c r="V1035" s="5" t="e">
        <f t="shared" si="35"/>
        <v>#REF!</v>
      </c>
    </row>
    <row r="1036" spans="1:22" x14ac:dyDescent="0.25">
      <c r="A1036" s="2">
        <v>46084</v>
      </c>
      <c r="B1036" s="2">
        <v>46051</v>
      </c>
      <c r="C1036" t="s">
        <v>1168</v>
      </c>
      <c r="D1036">
        <v>10</v>
      </c>
      <c r="E1036" t="s">
        <v>2404</v>
      </c>
      <c r="F1036" t="s">
        <v>283</v>
      </c>
      <c r="G1036" t="s">
        <v>1170</v>
      </c>
      <c r="H1036" t="s">
        <v>2405</v>
      </c>
      <c r="I1036" t="s">
        <v>224</v>
      </c>
      <c r="J1036" s="3" t="s">
        <v>2406</v>
      </c>
      <c r="K1036" t="s">
        <v>2407</v>
      </c>
      <c r="L1036" s="4">
        <v>20</v>
      </c>
      <c r="M1036" s="4">
        <v>0</v>
      </c>
      <c r="N1036">
        <v>20</v>
      </c>
      <c r="O1036" t="s">
        <v>176</v>
      </c>
      <c r="P1036">
        <v>90</v>
      </c>
      <c r="Q1036">
        <f>QtyRemaining*EstMfgMin/60</f>
        <v>30</v>
      </c>
      <c r="U1036" t="e">
        <f t="shared" si="34"/>
        <v>#REF!</v>
      </c>
      <c r="V1036" s="5" t="e">
        <f t="shared" si="35"/>
        <v>#REF!</v>
      </c>
    </row>
    <row r="1037" spans="1:22" x14ac:dyDescent="0.25">
      <c r="A1037" s="2">
        <v>46084</v>
      </c>
      <c r="B1037" s="2">
        <v>46051</v>
      </c>
      <c r="C1037" t="s">
        <v>1168</v>
      </c>
      <c r="D1037">
        <v>10</v>
      </c>
      <c r="E1037" t="s">
        <v>2408</v>
      </c>
      <c r="F1037" t="s">
        <v>283</v>
      </c>
      <c r="G1037" t="s">
        <v>1170</v>
      </c>
      <c r="H1037" t="s">
        <v>2409</v>
      </c>
      <c r="I1037" t="s">
        <v>224</v>
      </c>
      <c r="J1037" s="3" t="s">
        <v>1794</v>
      </c>
      <c r="K1037" t="s">
        <v>2410</v>
      </c>
      <c r="L1037" s="4">
        <v>20</v>
      </c>
      <c r="M1037" s="4">
        <v>0</v>
      </c>
      <c r="N1037">
        <v>20</v>
      </c>
      <c r="O1037" t="s">
        <v>94</v>
      </c>
      <c r="P1037">
        <v>74</v>
      </c>
      <c r="Q1037">
        <f>QtyRemaining*EstMfgMin/60</f>
        <v>24.666666666666668</v>
      </c>
      <c r="U1037" t="e">
        <f t="shared" si="34"/>
        <v>#REF!</v>
      </c>
      <c r="V1037" s="5" t="e">
        <f t="shared" si="35"/>
        <v>#REF!</v>
      </c>
    </row>
    <row r="1038" spans="1:22" x14ac:dyDescent="0.25">
      <c r="A1038" s="2">
        <v>46085</v>
      </c>
      <c r="B1038" s="2">
        <v>45940</v>
      </c>
      <c r="C1038" t="s">
        <v>633</v>
      </c>
      <c r="D1038">
        <v>10</v>
      </c>
      <c r="E1038" t="s">
        <v>2411</v>
      </c>
      <c r="F1038" t="s">
        <v>261</v>
      </c>
      <c r="G1038" t="s">
        <v>262</v>
      </c>
      <c r="H1038" t="s">
        <v>2412</v>
      </c>
      <c r="I1038" t="s">
        <v>45</v>
      </c>
      <c r="J1038" s="3" t="s">
        <v>2413</v>
      </c>
      <c r="K1038" t="s">
        <v>2414</v>
      </c>
      <c r="L1038" s="4">
        <v>25</v>
      </c>
      <c r="M1038" s="4">
        <v>0</v>
      </c>
      <c r="N1038">
        <v>25</v>
      </c>
      <c r="O1038" t="s">
        <v>457</v>
      </c>
      <c r="P1038">
        <v>0</v>
      </c>
      <c r="Q1038">
        <f>QtyRemaining*EstMfgMin/60</f>
        <v>0</v>
      </c>
      <c r="U1038" t="e">
        <f t="shared" si="34"/>
        <v>#REF!</v>
      </c>
      <c r="V1038" s="5" t="e">
        <f t="shared" si="35"/>
        <v>#REF!</v>
      </c>
    </row>
    <row r="1039" spans="1:22" x14ac:dyDescent="0.25">
      <c r="A1039" s="2">
        <v>46085</v>
      </c>
      <c r="B1039" s="2">
        <v>45957</v>
      </c>
      <c r="C1039" t="s">
        <v>232</v>
      </c>
      <c r="D1039">
        <v>10</v>
      </c>
      <c r="E1039" t="s">
        <v>1562</v>
      </c>
      <c r="F1039" t="s">
        <v>211</v>
      </c>
      <c r="G1039" t="s">
        <v>1184</v>
      </c>
      <c r="H1039" t="s">
        <v>1563</v>
      </c>
      <c r="I1039" t="s">
        <v>83</v>
      </c>
      <c r="J1039" s="3" t="s">
        <v>1564</v>
      </c>
      <c r="K1039" t="s">
        <v>1565</v>
      </c>
      <c r="L1039" s="4">
        <v>26</v>
      </c>
      <c r="M1039" s="4">
        <v>0</v>
      </c>
      <c r="N1039">
        <v>26</v>
      </c>
      <c r="O1039" t="s">
        <v>1566</v>
      </c>
      <c r="P1039">
        <v>125</v>
      </c>
      <c r="Q1039">
        <f>QtyRemaining*EstMfgMin/60</f>
        <v>54.166666666666664</v>
      </c>
      <c r="U1039" t="e">
        <f t="shared" si="34"/>
        <v>#REF!</v>
      </c>
      <c r="V1039" s="5" t="e">
        <f t="shared" si="35"/>
        <v>#REF!</v>
      </c>
    </row>
    <row r="1040" spans="1:22" x14ac:dyDescent="0.25">
      <c r="A1040" s="2">
        <v>46085</v>
      </c>
      <c r="B1040" s="2">
        <v>45971</v>
      </c>
      <c r="C1040" t="s">
        <v>478</v>
      </c>
      <c r="D1040">
        <v>10</v>
      </c>
      <c r="E1040" t="s">
        <v>2415</v>
      </c>
      <c r="F1040" t="s">
        <v>261</v>
      </c>
      <c r="G1040" t="s">
        <v>1021</v>
      </c>
      <c r="H1040" t="s">
        <v>2416</v>
      </c>
      <c r="I1040" t="s">
        <v>83</v>
      </c>
      <c r="J1040" s="3" t="s">
        <v>2417</v>
      </c>
      <c r="K1040" t="s">
        <v>2418</v>
      </c>
      <c r="L1040" s="4">
        <v>1</v>
      </c>
      <c r="M1040" s="4">
        <v>0</v>
      </c>
      <c r="N1040">
        <v>1</v>
      </c>
      <c r="O1040" t="s">
        <v>118</v>
      </c>
      <c r="P1040">
        <v>138</v>
      </c>
      <c r="Q1040">
        <f>QtyRemaining*EstMfgMin/60</f>
        <v>2.2999999999999998</v>
      </c>
      <c r="U1040" t="e">
        <f t="shared" si="34"/>
        <v>#REF!</v>
      </c>
      <c r="V1040" s="5" t="e">
        <f t="shared" si="35"/>
        <v>#REF!</v>
      </c>
    </row>
    <row r="1041" spans="1:22" x14ac:dyDescent="0.25">
      <c r="A1041" s="2">
        <v>46085</v>
      </c>
      <c r="B1041" s="2">
        <v>45971</v>
      </c>
      <c r="C1041" t="s">
        <v>478</v>
      </c>
      <c r="D1041">
        <v>10</v>
      </c>
      <c r="E1041" t="s">
        <v>2415</v>
      </c>
      <c r="F1041" t="s">
        <v>261</v>
      </c>
      <c r="G1041" t="s">
        <v>1021</v>
      </c>
      <c r="H1041" t="s">
        <v>2416</v>
      </c>
      <c r="I1041" t="s">
        <v>83</v>
      </c>
      <c r="J1041" s="3" t="s">
        <v>2417</v>
      </c>
      <c r="K1041" t="s">
        <v>2418</v>
      </c>
      <c r="L1041" s="4">
        <v>11</v>
      </c>
      <c r="M1041" s="4">
        <v>0</v>
      </c>
      <c r="N1041">
        <v>11</v>
      </c>
      <c r="O1041" t="s">
        <v>118</v>
      </c>
      <c r="P1041">
        <v>138</v>
      </c>
      <c r="Q1041">
        <f>QtyRemaining*EstMfgMin/60</f>
        <v>25.3</v>
      </c>
      <c r="U1041" t="e">
        <f t="shared" si="34"/>
        <v>#REF!</v>
      </c>
      <c r="V1041" s="5" t="e">
        <f t="shared" si="35"/>
        <v>#REF!</v>
      </c>
    </row>
    <row r="1042" spans="1:22" x14ac:dyDescent="0.25">
      <c r="A1042" s="2">
        <v>46085</v>
      </c>
      <c r="B1042" s="2">
        <v>45982</v>
      </c>
      <c r="C1042" t="s">
        <v>465</v>
      </c>
      <c r="D1042">
        <v>10</v>
      </c>
      <c r="E1042" t="s">
        <v>1619</v>
      </c>
      <c r="F1042" t="s">
        <v>211</v>
      </c>
      <c r="G1042" t="s">
        <v>467</v>
      </c>
      <c r="H1042" t="s">
        <v>1620</v>
      </c>
      <c r="I1042" t="s">
        <v>214</v>
      </c>
      <c r="J1042" s="3" t="s">
        <v>2419</v>
      </c>
      <c r="K1042" t="s">
        <v>2420</v>
      </c>
      <c r="L1042" s="4">
        <v>4</v>
      </c>
      <c r="M1042" s="4">
        <v>0</v>
      </c>
      <c r="N1042">
        <v>4</v>
      </c>
      <c r="O1042" t="s">
        <v>176</v>
      </c>
      <c r="P1042">
        <v>24</v>
      </c>
      <c r="Q1042">
        <f>QtyRemaining*EstMfgMin/60</f>
        <v>1.6</v>
      </c>
      <c r="U1042" t="e">
        <f t="shared" si="34"/>
        <v>#REF!</v>
      </c>
      <c r="V1042" s="5" t="e">
        <f t="shared" si="35"/>
        <v>#REF!</v>
      </c>
    </row>
    <row r="1043" spans="1:22" x14ac:dyDescent="0.25">
      <c r="A1043" s="2">
        <v>46085</v>
      </c>
      <c r="B1043" s="2">
        <v>46003</v>
      </c>
      <c r="C1043" t="s">
        <v>478</v>
      </c>
      <c r="D1043">
        <v>10</v>
      </c>
      <c r="E1043" t="s">
        <v>2421</v>
      </c>
      <c r="F1043" t="s">
        <v>261</v>
      </c>
      <c r="G1043" t="s">
        <v>670</v>
      </c>
      <c r="H1043" t="s">
        <v>2422</v>
      </c>
      <c r="I1043" t="s">
        <v>83</v>
      </c>
      <c r="J1043" s="3" t="s">
        <v>2423</v>
      </c>
      <c r="K1043" t="s">
        <v>2424</v>
      </c>
      <c r="L1043" s="4">
        <v>75</v>
      </c>
      <c r="M1043" s="4">
        <v>0</v>
      </c>
      <c r="N1043">
        <v>75</v>
      </c>
      <c r="O1043" t="s">
        <v>266</v>
      </c>
      <c r="P1043">
        <v>12</v>
      </c>
      <c r="Q1043">
        <f>QtyRemaining*EstMfgMin/60</f>
        <v>15</v>
      </c>
      <c r="U1043" t="e">
        <f t="shared" si="34"/>
        <v>#REF!</v>
      </c>
      <c r="V1043" s="5" t="e">
        <f t="shared" si="35"/>
        <v>#REF!</v>
      </c>
    </row>
    <row r="1044" spans="1:22" x14ac:dyDescent="0.25">
      <c r="A1044" s="2">
        <v>46085</v>
      </c>
      <c r="B1044" s="2">
        <v>46045</v>
      </c>
      <c r="C1044" t="s">
        <v>485</v>
      </c>
      <c r="D1044">
        <v>10</v>
      </c>
      <c r="E1044" t="s">
        <v>2425</v>
      </c>
      <c r="F1044" t="s">
        <v>211</v>
      </c>
      <c r="G1044" t="s">
        <v>1217</v>
      </c>
      <c r="H1044" t="s">
        <v>2426</v>
      </c>
      <c r="I1044" t="s">
        <v>214</v>
      </c>
      <c r="J1044" s="3" t="s">
        <v>1790</v>
      </c>
      <c r="K1044" t="s">
        <v>2427</v>
      </c>
      <c r="L1044" s="4">
        <v>25</v>
      </c>
      <c r="M1044" s="4">
        <v>0</v>
      </c>
      <c r="N1044">
        <v>25</v>
      </c>
      <c r="O1044" t="s">
        <v>151</v>
      </c>
      <c r="P1044">
        <v>15</v>
      </c>
      <c r="Q1044">
        <f>QtyRemaining*EstMfgMin/60</f>
        <v>6.25</v>
      </c>
      <c r="U1044" t="e">
        <f t="shared" si="34"/>
        <v>#REF!</v>
      </c>
      <c r="V1044" s="5" t="e">
        <f t="shared" si="35"/>
        <v>#REF!</v>
      </c>
    </row>
    <row r="1045" spans="1:22" x14ac:dyDescent="0.25">
      <c r="A1045" s="2">
        <v>46086</v>
      </c>
      <c r="B1045" s="2">
        <v>45953</v>
      </c>
      <c r="C1045" t="s">
        <v>633</v>
      </c>
      <c r="D1045">
        <v>10</v>
      </c>
      <c r="E1045" t="s">
        <v>2428</v>
      </c>
      <c r="F1045" t="s">
        <v>261</v>
      </c>
      <c r="G1045" t="s">
        <v>262</v>
      </c>
      <c r="H1045" t="s">
        <v>2429</v>
      </c>
      <c r="I1045" t="s">
        <v>83</v>
      </c>
      <c r="J1045" s="3" t="s">
        <v>2430</v>
      </c>
      <c r="K1045" t="s">
        <v>1637</v>
      </c>
      <c r="L1045" s="4">
        <v>14</v>
      </c>
      <c r="M1045" s="4">
        <v>0</v>
      </c>
      <c r="N1045">
        <v>14</v>
      </c>
      <c r="O1045" t="s">
        <v>643</v>
      </c>
      <c r="P1045">
        <v>12</v>
      </c>
      <c r="Q1045">
        <f>QtyRemaining*EstMfgMin/60</f>
        <v>2.8</v>
      </c>
      <c r="U1045" t="e">
        <f t="shared" si="34"/>
        <v>#REF!</v>
      </c>
      <c r="V1045" s="5" t="e">
        <f t="shared" si="35"/>
        <v>#REF!</v>
      </c>
    </row>
    <row r="1046" spans="1:22" x14ac:dyDescent="0.25">
      <c r="A1046" s="2">
        <v>46086</v>
      </c>
      <c r="B1046" s="2">
        <v>45972</v>
      </c>
      <c r="C1046" t="s">
        <v>485</v>
      </c>
      <c r="D1046">
        <v>10</v>
      </c>
      <c r="E1046" t="s">
        <v>1078</v>
      </c>
      <c r="F1046" t="s">
        <v>211</v>
      </c>
      <c r="G1046" t="s">
        <v>761</v>
      </c>
      <c r="H1046" t="s">
        <v>1079</v>
      </c>
      <c r="I1046" t="s">
        <v>214</v>
      </c>
      <c r="J1046" s="3" t="s">
        <v>2431</v>
      </c>
      <c r="K1046" t="s">
        <v>2432</v>
      </c>
      <c r="L1046" s="4">
        <v>100</v>
      </c>
      <c r="M1046" s="4">
        <v>0</v>
      </c>
      <c r="N1046">
        <v>100</v>
      </c>
      <c r="O1046" t="s">
        <v>457</v>
      </c>
      <c r="P1046">
        <v>12</v>
      </c>
      <c r="Q1046">
        <f>QtyRemaining*EstMfgMin/60</f>
        <v>20</v>
      </c>
      <c r="U1046" t="e">
        <f t="shared" si="34"/>
        <v>#REF!</v>
      </c>
      <c r="V1046" s="5" t="e">
        <f t="shared" si="35"/>
        <v>#REF!</v>
      </c>
    </row>
    <row r="1047" spans="1:22" x14ac:dyDescent="0.25">
      <c r="A1047" s="2">
        <v>46086</v>
      </c>
      <c r="B1047" s="2">
        <v>45972</v>
      </c>
      <c r="C1047" t="s">
        <v>485</v>
      </c>
      <c r="D1047">
        <v>10</v>
      </c>
      <c r="E1047" t="s">
        <v>1078</v>
      </c>
      <c r="F1047" t="s">
        <v>211</v>
      </c>
      <c r="G1047" t="s">
        <v>761</v>
      </c>
      <c r="H1047" t="s">
        <v>1079</v>
      </c>
      <c r="I1047" t="s">
        <v>214</v>
      </c>
      <c r="J1047" s="3" t="s">
        <v>2433</v>
      </c>
      <c r="K1047" t="s">
        <v>2432</v>
      </c>
      <c r="L1047" s="4">
        <v>100</v>
      </c>
      <c r="M1047" s="4">
        <v>0</v>
      </c>
      <c r="N1047">
        <v>100</v>
      </c>
      <c r="O1047" t="s">
        <v>457</v>
      </c>
      <c r="P1047">
        <v>12</v>
      </c>
      <c r="Q1047">
        <f>QtyRemaining*EstMfgMin/60</f>
        <v>20</v>
      </c>
      <c r="U1047" t="e">
        <f t="shared" si="34"/>
        <v>#REF!</v>
      </c>
      <c r="V1047" s="5" t="e">
        <f t="shared" si="35"/>
        <v>#REF!</v>
      </c>
    </row>
    <row r="1048" spans="1:22" x14ac:dyDescent="0.25">
      <c r="A1048" s="2">
        <v>46086</v>
      </c>
      <c r="B1048" s="2">
        <v>45972</v>
      </c>
      <c r="C1048" t="s">
        <v>485</v>
      </c>
      <c r="D1048">
        <v>10</v>
      </c>
      <c r="E1048" t="s">
        <v>1078</v>
      </c>
      <c r="F1048" t="s">
        <v>211</v>
      </c>
      <c r="G1048" t="s">
        <v>761</v>
      </c>
      <c r="H1048" t="s">
        <v>1079</v>
      </c>
      <c r="I1048" t="s">
        <v>214</v>
      </c>
      <c r="J1048" s="3" t="s">
        <v>2434</v>
      </c>
      <c r="K1048" t="s">
        <v>2435</v>
      </c>
      <c r="L1048" s="4">
        <v>35</v>
      </c>
      <c r="M1048" s="4">
        <v>0</v>
      </c>
      <c r="N1048">
        <v>35</v>
      </c>
      <c r="O1048" t="s">
        <v>1082</v>
      </c>
      <c r="P1048">
        <v>24</v>
      </c>
      <c r="Q1048">
        <f>QtyRemaining*EstMfgMin/60</f>
        <v>14</v>
      </c>
      <c r="U1048" t="e">
        <f t="shared" si="34"/>
        <v>#REF!</v>
      </c>
      <c r="V1048" s="5" t="e">
        <f t="shared" si="35"/>
        <v>#REF!</v>
      </c>
    </row>
    <row r="1049" spans="1:22" x14ac:dyDescent="0.25">
      <c r="A1049" s="2">
        <v>46086</v>
      </c>
      <c r="B1049" s="2">
        <v>45972</v>
      </c>
      <c r="C1049" t="s">
        <v>485</v>
      </c>
      <c r="D1049">
        <v>10</v>
      </c>
      <c r="E1049" t="s">
        <v>1078</v>
      </c>
      <c r="F1049" t="s">
        <v>211</v>
      </c>
      <c r="G1049" t="s">
        <v>761</v>
      </c>
      <c r="H1049" t="s">
        <v>1079</v>
      </c>
      <c r="I1049" t="s">
        <v>214</v>
      </c>
      <c r="J1049" s="3" t="s">
        <v>2436</v>
      </c>
      <c r="K1049" t="s">
        <v>2437</v>
      </c>
      <c r="L1049" s="4">
        <v>20</v>
      </c>
      <c r="M1049" s="4">
        <v>0</v>
      </c>
      <c r="N1049">
        <v>20</v>
      </c>
      <c r="O1049" t="s">
        <v>176</v>
      </c>
      <c r="P1049">
        <v>20</v>
      </c>
      <c r="Q1049">
        <f>QtyRemaining*EstMfgMin/60</f>
        <v>6.666666666666667</v>
      </c>
      <c r="U1049" t="e">
        <f t="shared" si="34"/>
        <v>#REF!</v>
      </c>
      <c r="V1049" s="5" t="e">
        <f t="shared" si="35"/>
        <v>#REF!</v>
      </c>
    </row>
    <row r="1050" spans="1:22" x14ac:dyDescent="0.25">
      <c r="A1050" s="2">
        <v>46086</v>
      </c>
      <c r="B1050" s="2">
        <v>45972</v>
      </c>
      <c r="C1050" t="s">
        <v>485</v>
      </c>
      <c r="D1050">
        <v>10</v>
      </c>
      <c r="E1050" t="s">
        <v>1078</v>
      </c>
      <c r="F1050" t="s">
        <v>211</v>
      </c>
      <c r="G1050" t="s">
        <v>761</v>
      </c>
      <c r="H1050" t="s">
        <v>1079</v>
      </c>
      <c r="I1050" t="s">
        <v>214</v>
      </c>
      <c r="J1050" s="3" t="s">
        <v>1786</v>
      </c>
      <c r="K1050" t="s">
        <v>1787</v>
      </c>
      <c r="L1050" s="4">
        <v>10</v>
      </c>
      <c r="M1050" s="4">
        <v>0</v>
      </c>
      <c r="N1050">
        <v>10</v>
      </c>
      <c r="O1050" t="s">
        <v>765</v>
      </c>
      <c r="P1050">
        <v>13</v>
      </c>
      <c r="Q1050">
        <f>QtyRemaining*EstMfgMin/60</f>
        <v>2.1666666666666665</v>
      </c>
      <c r="U1050" t="e">
        <f t="shared" si="34"/>
        <v>#REF!</v>
      </c>
      <c r="V1050" s="5" t="e">
        <f t="shared" si="35"/>
        <v>#REF!</v>
      </c>
    </row>
    <row r="1051" spans="1:22" x14ac:dyDescent="0.25">
      <c r="A1051" s="2">
        <v>46086</v>
      </c>
      <c r="B1051" s="2">
        <v>45972</v>
      </c>
      <c r="C1051" t="s">
        <v>485</v>
      </c>
      <c r="D1051">
        <v>10</v>
      </c>
      <c r="E1051" t="s">
        <v>1078</v>
      </c>
      <c r="F1051" t="s">
        <v>211</v>
      </c>
      <c r="G1051" t="s">
        <v>761</v>
      </c>
      <c r="H1051" t="s">
        <v>1079</v>
      </c>
      <c r="I1051" t="s">
        <v>214</v>
      </c>
      <c r="J1051" s="3" t="s">
        <v>2438</v>
      </c>
      <c r="K1051" t="s">
        <v>2439</v>
      </c>
      <c r="L1051" s="4">
        <v>30</v>
      </c>
      <c r="M1051" s="4">
        <v>0</v>
      </c>
      <c r="N1051">
        <v>30</v>
      </c>
      <c r="O1051" t="s">
        <v>1082</v>
      </c>
      <c r="P1051">
        <v>20</v>
      </c>
      <c r="Q1051">
        <f>QtyRemaining*EstMfgMin/60</f>
        <v>10</v>
      </c>
      <c r="U1051" t="e">
        <f t="shared" si="34"/>
        <v>#REF!</v>
      </c>
      <c r="V1051" s="5" t="e">
        <f t="shared" si="35"/>
        <v>#REF!</v>
      </c>
    </row>
    <row r="1052" spans="1:22" x14ac:dyDescent="0.25">
      <c r="A1052" s="2">
        <v>46086</v>
      </c>
      <c r="B1052" s="2">
        <v>45972</v>
      </c>
      <c r="C1052" t="s">
        <v>485</v>
      </c>
      <c r="D1052">
        <v>10</v>
      </c>
      <c r="E1052" t="s">
        <v>1078</v>
      </c>
      <c r="F1052" t="s">
        <v>211</v>
      </c>
      <c r="G1052" t="s">
        <v>761</v>
      </c>
      <c r="H1052" t="s">
        <v>1079</v>
      </c>
      <c r="I1052" t="s">
        <v>214</v>
      </c>
      <c r="J1052" s="3" t="s">
        <v>1788</v>
      </c>
      <c r="K1052" t="s">
        <v>1789</v>
      </c>
      <c r="L1052" s="4">
        <v>30</v>
      </c>
      <c r="M1052" s="4">
        <v>0</v>
      </c>
      <c r="N1052">
        <v>30</v>
      </c>
      <c r="O1052" t="s">
        <v>765</v>
      </c>
      <c r="P1052">
        <v>16</v>
      </c>
      <c r="Q1052">
        <f>QtyRemaining*EstMfgMin/60</f>
        <v>8</v>
      </c>
      <c r="U1052" t="e">
        <f t="shared" si="34"/>
        <v>#REF!</v>
      </c>
      <c r="V1052" s="5" t="e">
        <f t="shared" si="35"/>
        <v>#REF!</v>
      </c>
    </row>
    <row r="1053" spans="1:22" x14ac:dyDescent="0.25">
      <c r="A1053" s="2">
        <v>46086</v>
      </c>
      <c r="B1053" s="2">
        <v>45982</v>
      </c>
      <c r="C1053" t="s">
        <v>523</v>
      </c>
      <c r="D1053">
        <v>10</v>
      </c>
      <c r="E1053" t="s">
        <v>2440</v>
      </c>
      <c r="F1053" t="s">
        <v>261</v>
      </c>
      <c r="G1053" t="s">
        <v>1242</v>
      </c>
      <c r="H1053" t="s">
        <v>2441</v>
      </c>
      <c r="I1053" t="s">
        <v>83</v>
      </c>
      <c r="J1053" s="3" t="s">
        <v>2442</v>
      </c>
      <c r="K1053" t="s">
        <v>2443</v>
      </c>
      <c r="L1053" s="4">
        <v>21</v>
      </c>
      <c r="M1053" s="4">
        <v>0</v>
      </c>
      <c r="N1053">
        <v>21</v>
      </c>
      <c r="O1053" t="s">
        <v>94</v>
      </c>
      <c r="P1053">
        <v>1025</v>
      </c>
      <c r="Q1053">
        <f>QtyRemaining*EstMfgMin/60</f>
        <v>358.75</v>
      </c>
      <c r="U1053" t="e">
        <f t="shared" si="34"/>
        <v>#REF!</v>
      </c>
      <c r="V1053" s="5" t="e">
        <f t="shared" si="35"/>
        <v>#REF!</v>
      </c>
    </row>
    <row r="1054" spans="1:22" x14ac:dyDescent="0.25">
      <c r="A1054" s="2">
        <v>46086</v>
      </c>
      <c r="B1054" s="2">
        <v>45982</v>
      </c>
      <c r="C1054" t="s">
        <v>523</v>
      </c>
      <c r="D1054">
        <v>10</v>
      </c>
      <c r="E1054" t="s">
        <v>2440</v>
      </c>
      <c r="F1054" t="s">
        <v>261</v>
      </c>
      <c r="G1054" t="s">
        <v>1242</v>
      </c>
      <c r="H1054" t="s">
        <v>2441</v>
      </c>
      <c r="I1054" t="s">
        <v>83</v>
      </c>
      <c r="J1054" s="3" t="s">
        <v>2444</v>
      </c>
      <c r="K1054" t="s">
        <v>2445</v>
      </c>
      <c r="L1054" s="4">
        <v>21</v>
      </c>
      <c r="M1054" s="4">
        <v>0</v>
      </c>
      <c r="N1054">
        <v>21</v>
      </c>
      <c r="O1054" t="s">
        <v>86</v>
      </c>
      <c r="P1054">
        <v>514</v>
      </c>
      <c r="Q1054">
        <f>QtyRemaining*EstMfgMin/60</f>
        <v>179.9</v>
      </c>
      <c r="U1054" t="e">
        <f t="shared" si="34"/>
        <v>#REF!</v>
      </c>
      <c r="V1054" s="5" t="e">
        <f t="shared" si="35"/>
        <v>#REF!</v>
      </c>
    </row>
    <row r="1055" spans="1:22" x14ac:dyDescent="0.25">
      <c r="A1055" s="2">
        <v>46086</v>
      </c>
      <c r="B1055" s="2">
        <v>45993</v>
      </c>
      <c r="C1055" t="s">
        <v>465</v>
      </c>
      <c r="D1055">
        <v>10</v>
      </c>
      <c r="E1055" t="s">
        <v>2446</v>
      </c>
      <c r="F1055" t="s">
        <v>211</v>
      </c>
      <c r="G1055" t="s">
        <v>467</v>
      </c>
      <c r="H1055" t="s">
        <v>2447</v>
      </c>
      <c r="I1055" t="s">
        <v>214</v>
      </c>
      <c r="J1055" s="3" t="s">
        <v>2448</v>
      </c>
      <c r="K1055" t="s">
        <v>2449</v>
      </c>
      <c r="L1055" s="4">
        <v>1</v>
      </c>
      <c r="M1055" s="4">
        <v>0</v>
      </c>
      <c r="N1055">
        <v>1</v>
      </c>
      <c r="O1055" t="s">
        <v>176</v>
      </c>
      <c r="P1055">
        <v>54</v>
      </c>
      <c r="Q1055">
        <f>QtyRemaining*EstMfgMin/60</f>
        <v>0.9</v>
      </c>
      <c r="U1055" t="e">
        <f t="shared" si="34"/>
        <v>#REF!</v>
      </c>
      <c r="V1055" s="5" t="e">
        <f t="shared" si="35"/>
        <v>#REF!</v>
      </c>
    </row>
    <row r="1056" spans="1:22" x14ac:dyDescent="0.25">
      <c r="A1056" s="2">
        <v>46086</v>
      </c>
      <c r="B1056" s="2">
        <v>46013</v>
      </c>
      <c r="C1056" t="s">
        <v>478</v>
      </c>
      <c r="D1056">
        <v>10</v>
      </c>
      <c r="E1056" t="s">
        <v>2450</v>
      </c>
      <c r="F1056" t="s">
        <v>261</v>
      </c>
      <c r="G1056" t="s">
        <v>2451</v>
      </c>
      <c r="H1056" t="s">
        <v>2452</v>
      </c>
      <c r="I1056" t="s">
        <v>45</v>
      </c>
      <c r="J1056" s="3" t="s">
        <v>2453</v>
      </c>
      <c r="K1056" t="s">
        <v>482</v>
      </c>
      <c r="L1056" s="4">
        <v>11</v>
      </c>
      <c r="M1056" s="4">
        <v>0</v>
      </c>
      <c r="N1056">
        <v>11</v>
      </c>
      <c r="O1056" t="s">
        <v>2454</v>
      </c>
      <c r="P1056">
        <v>0</v>
      </c>
      <c r="Q1056">
        <f>QtyRemaining*EstMfgMin/60</f>
        <v>0</v>
      </c>
      <c r="U1056" t="e">
        <f t="shared" si="34"/>
        <v>#REF!</v>
      </c>
      <c r="V1056" s="5" t="e">
        <f t="shared" si="35"/>
        <v>#REF!</v>
      </c>
    </row>
    <row r="1057" spans="1:22" x14ac:dyDescent="0.25">
      <c r="A1057" s="2">
        <v>46086</v>
      </c>
      <c r="B1057" s="2">
        <v>46013</v>
      </c>
      <c r="C1057" t="s">
        <v>478</v>
      </c>
      <c r="D1057">
        <v>10</v>
      </c>
      <c r="E1057" t="s">
        <v>2450</v>
      </c>
      <c r="F1057" t="s">
        <v>261</v>
      </c>
      <c r="G1057" t="s">
        <v>2451</v>
      </c>
      <c r="H1057" t="s">
        <v>2452</v>
      </c>
      <c r="I1057" t="s">
        <v>874</v>
      </c>
      <c r="J1057" s="3" t="s">
        <v>875</v>
      </c>
      <c r="K1057" t="s">
        <v>1049</v>
      </c>
      <c r="L1057" s="4">
        <v>1</v>
      </c>
      <c r="M1057" s="4">
        <v>0</v>
      </c>
      <c r="N1057">
        <v>1</v>
      </c>
      <c r="P1057">
        <v>0</v>
      </c>
      <c r="Q1057">
        <f>QtyRemaining*EstMfgMin/60</f>
        <v>0</v>
      </c>
      <c r="U1057" t="e">
        <f t="shared" si="34"/>
        <v>#REF!</v>
      </c>
      <c r="V1057" s="5" t="e">
        <f t="shared" si="35"/>
        <v>#REF!</v>
      </c>
    </row>
    <row r="1058" spans="1:22" x14ac:dyDescent="0.25">
      <c r="A1058" s="2">
        <v>46086</v>
      </c>
      <c r="B1058" s="2">
        <v>46013</v>
      </c>
      <c r="C1058" t="s">
        <v>478</v>
      </c>
      <c r="D1058">
        <v>10</v>
      </c>
      <c r="E1058" t="s">
        <v>2455</v>
      </c>
      <c r="F1058" t="s">
        <v>261</v>
      </c>
      <c r="G1058" t="s">
        <v>2451</v>
      </c>
      <c r="H1058" t="s">
        <v>2456</v>
      </c>
      <c r="I1058" t="s">
        <v>45</v>
      </c>
      <c r="J1058" s="3" t="s">
        <v>2457</v>
      </c>
      <c r="K1058" t="s">
        <v>482</v>
      </c>
      <c r="L1058" s="4">
        <v>11</v>
      </c>
      <c r="M1058" s="4">
        <v>0</v>
      </c>
      <c r="N1058">
        <v>11</v>
      </c>
      <c r="O1058" t="s">
        <v>2458</v>
      </c>
      <c r="P1058">
        <v>0</v>
      </c>
      <c r="Q1058">
        <f>QtyRemaining*EstMfgMin/60</f>
        <v>0</v>
      </c>
      <c r="U1058" t="e">
        <f t="shared" si="34"/>
        <v>#REF!</v>
      </c>
      <c r="V1058" s="5" t="e">
        <f t="shared" si="35"/>
        <v>#REF!</v>
      </c>
    </row>
    <row r="1059" spans="1:22" x14ac:dyDescent="0.25">
      <c r="A1059" s="2">
        <v>46086</v>
      </c>
      <c r="B1059" s="2">
        <v>46013</v>
      </c>
      <c r="C1059" t="s">
        <v>478</v>
      </c>
      <c r="D1059">
        <v>10</v>
      </c>
      <c r="E1059" t="s">
        <v>2455</v>
      </c>
      <c r="F1059" t="s">
        <v>261</v>
      </c>
      <c r="G1059" t="s">
        <v>2451</v>
      </c>
      <c r="H1059" t="s">
        <v>2456</v>
      </c>
      <c r="I1059" t="s">
        <v>874</v>
      </c>
      <c r="J1059" s="3" t="s">
        <v>875</v>
      </c>
      <c r="K1059" t="s">
        <v>1049</v>
      </c>
      <c r="L1059" s="4">
        <v>1</v>
      </c>
      <c r="M1059" s="4">
        <v>0</v>
      </c>
      <c r="N1059">
        <v>1</v>
      </c>
      <c r="P1059">
        <v>0</v>
      </c>
      <c r="Q1059">
        <f>QtyRemaining*EstMfgMin/60</f>
        <v>0</v>
      </c>
      <c r="U1059" t="e">
        <f t="shared" si="34"/>
        <v>#REF!</v>
      </c>
      <c r="V1059" s="5" t="e">
        <f t="shared" si="35"/>
        <v>#REF!</v>
      </c>
    </row>
    <row r="1060" spans="1:22" x14ac:dyDescent="0.25">
      <c r="A1060" s="2">
        <v>46087</v>
      </c>
      <c r="B1060" s="2">
        <v>45772</v>
      </c>
      <c r="C1060" t="s">
        <v>232</v>
      </c>
      <c r="D1060">
        <v>10</v>
      </c>
      <c r="E1060" t="s">
        <v>2459</v>
      </c>
      <c r="F1060" t="s">
        <v>211</v>
      </c>
      <c r="G1060" t="s">
        <v>270</v>
      </c>
      <c r="H1060" t="s">
        <v>2460</v>
      </c>
      <c r="I1060" t="s">
        <v>214</v>
      </c>
      <c r="J1060" s="3" t="s">
        <v>2461</v>
      </c>
      <c r="K1060" t="s">
        <v>2462</v>
      </c>
      <c r="L1060" s="4">
        <v>30</v>
      </c>
      <c r="M1060" s="4">
        <v>0</v>
      </c>
      <c r="N1060">
        <v>30</v>
      </c>
      <c r="O1060" t="s">
        <v>176</v>
      </c>
      <c r="P1060">
        <v>4</v>
      </c>
      <c r="Q1060">
        <f>QtyRemaining*EstMfgMin/60</f>
        <v>2</v>
      </c>
      <c r="U1060" t="e">
        <f t="shared" si="34"/>
        <v>#REF!</v>
      </c>
      <c r="V1060" s="5" t="e">
        <f t="shared" si="35"/>
        <v>#REF!</v>
      </c>
    </row>
    <row r="1061" spans="1:22" x14ac:dyDescent="0.25">
      <c r="A1061" s="2">
        <v>46087</v>
      </c>
      <c r="B1061" s="2">
        <v>45797</v>
      </c>
      <c r="C1061" t="s">
        <v>232</v>
      </c>
      <c r="D1061">
        <v>10</v>
      </c>
      <c r="E1061" t="s">
        <v>1179</v>
      </c>
      <c r="F1061" t="s">
        <v>211</v>
      </c>
      <c r="G1061" t="s">
        <v>270</v>
      </c>
      <c r="H1061" t="s">
        <v>1180</v>
      </c>
      <c r="I1061" t="s">
        <v>214</v>
      </c>
      <c r="J1061" s="3" t="s">
        <v>1181</v>
      </c>
      <c r="K1061" t="s">
        <v>1182</v>
      </c>
      <c r="L1061" s="4">
        <v>25</v>
      </c>
      <c r="M1061" s="4">
        <v>0</v>
      </c>
      <c r="N1061">
        <v>25</v>
      </c>
      <c r="O1061" t="s">
        <v>457</v>
      </c>
      <c r="P1061">
        <v>25</v>
      </c>
      <c r="Q1061">
        <f>QtyRemaining*EstMfgMin/60</f>
        <v>10.416666666666666</v>
      </c>
      <c r="U1061" t="e">
        <f t="shared" si="34"/>
        <v>#REF!</v>
      </c>
      <c r="V1061" s="5" t="e">
        <f t="shared" si="35"/>
        <v>#REF!</v>
      </c>
    </row>
    <row r="1062" spans="1:22" x14ac:dyDescent="0.25">
      <c r="A1062" s="2">
        <v>46087</v>
      </c>
      <c r="B1062" s="2">
        <v>45818</v>
      </c>
      <c r="C1062" t="s">
        <v>550</v>
      </c>
      <c r="D1062">
        <v>10</v>
      </c>
      <c r="E1062" t="s">
        <v>2463</v>
      </c>
      <c r="F1062" t="s">
        <v>261</v>
      </c>
      <c r="G1062" t="s">
        <v>552</v>
      </c>
      <c r="H1062" t="s">
        <v>2464</v>
      </c>
      <c r="I1062" t="s">
        <v>45</v>
      </c>
      <c r="J1062" s="3" t="s">
        <v>2465</v>
      </c>
      <c r="K1062" t="s">
        <v>2466</v>
      </c>
      <c r="L1062" s="4">
        <v>33</v>
      </c>
      <c r="M1062" s="4">
        <v>7</v>
      </c>
      <c r="N1062">
        <v>26</v>
      </c>
      <c r="P1062">
        <v>0</v>
      </c>
      <c r="Q1062">
        <f>QtyRemaining*EstMfgMin/60</f>
        <v>0</v>
      </c>
      <c r="U1062" t="e">
        <f t="shared" si="34"/>
        <v>#REF!</v>
      </c>
      <c r="V1062" s="5" t="e">
        <f t="shared" si="35"/>
        <v>#REF!</v>
      </c>
    </row>
    <row r="1063" spans="1:22" x14ac:dyDescent="0.25">
      <c r="A1063" s="2">
        <v>46087</v>
      </c>
      <c r="B1063" s="2">
        <v>45818</v>
      </c>
      <c r="C1063" t="s">
        <v>550</v>
      </c>
      <c r="D1063">
        <v>10</v>
      </c>
      <c r="E1063" t="s">
        <v>2463</v>
      </c>
      <c r="F1063" t="s">
        <v>261</v>
      </c>
      <c r="G1063" t="s">
        <v>552</v>
      </c>
      <c r="H1063" t="s">
        <v>2464</v>
      </c>
      <c r="I1063" t="s">
        <v>45</v>
      </c>
      <c r="J1063" s="3" t="s">
        <v>2467</v>
      </c>
      <c r="K1063" t="s">
        <v>2468</v>
      </c>
      <c r="L1063" s="4">
        <v>19</v>
      </c>
      <c r="M1063" s="4">
        <v>0</v>
      </c>
      <c r="N1063">
        <v>19</v>
      </c>
      <c r="P1063">
        <v>0</v>
      </c>
      <c r="Q1063">
        <f>QtyRemaining*EstMfgMin/60</f>
        <v>0</v>
      </c>
      <c r="U1063" t="e">
        <f t="shared" si="34"/>
        <v>#REF!</v>
      </c>
      <c r="V1063" s="5" t="e">
        <f t="shared" si="35"/>
        <v>#REF!</v>
      </c>
    </row>
    <row r="1064" spans="1:22" x14ac:dyDescent="0.25">
      <c r="A1064" s="2">
        <v>46087</v>
      </c>
      <c r="B1064" s="2">
        <v>46002</v>
      </c>
      <c r="C1064" t="s">
        <v>650</v>
      </c>
      <c r="D1064">
        <v>10</v>
      </c>
      <c r="E1064" t="s">
        <v>2469</v>
      </c>
      <c r="F1064" t="s">
        <v>283</v>
      </c>
      <c r="G1064" t="s">
        <v>652</v>
      </c>
      <c r="H1064" t="s">
        <v>2470</v>
      </c>
      <c r="I1064" t="s">
        <v>1087</v>
      </c>
      <c r="J1064" s="3" t="s">
        <v>2471</v>
      </c>
      <c r="K1064" t="s">
        <v>2472</v>
      </c>
      <c r="L1064" s="4">
        <v>1</v>
      </c>
      <c r="M1064" s="4">
        <v>0</v>
      </c>
      <c r="N1064">
        <v>1</v>
      </c>
      <c r="O1064" t="s">
        <v>1090</v>
      </c>
      <c r="P1064">
        <v>62</v>
      </c>
      <c r="Q1064">
        <f>QtyRemaining*EstMfgMin/60</f>
        <v>1.0333333333333334</v>
      </c>
      <c r="R1064" t="s">
        <v>1062</v>
      </c>
      <c r="U1064" t="e">
        <f t="shared" si="34"/>
        <v>#REF!</v>
      </c>
      <c r="V1064" s="5" t="e">
        <f t="shared" si="35"/>
        <v>#REF!</v>
      </c>
    </row>
    <row r="1065" spans="1:22" x14ac:dyDescent="0.25">
      <c r="A1065" s="2">
        <v>46090</v>
      </c>
      <c r="B1065" s="2">
        <v>45351</v>
      </c>
      <c r="C1065" t="s">
        <v>478</v>
      </c>
      <c r="D1065">
        <v>11</v>
      </c>
      <c r="E1065" t="s">
        <v>2473</v>
      </c>
      <c r="F1065" t="s">
        <v>261</v>
      </c>
      <c r="G1065" t="s">
        <v>510</v>
      </c>
      <c r="H1065" t="s">
        <v>2474</v>
      </c>
      <c r="I1065" t="s">
        <v>122</v>
      </c>
      <c r="J1065" s="3" t="s">
        <v>2475</v>
      </c>
      <c r="K1065" t="s">
        <v>2476</v>
      </c>
      <c r="L1065" s="4">
        <v>40</v>
      </c>
      <c r="M1065" s="4">
        <v>0</v>
      </c>
      <c r="N1065">
        <v>40</v>
      </c>
      <c r="O1065" t="s">
        <v>2477</v>
      </c>
      <c r="P1065">
        <v>262</v>
      </c>
      <c r="Q1065">
        <f>QtyRemaining*EstMfgMin/60</f>
        <v>174.66666666666666</v>
      </c>
      <c r="U1065" t="e">
        <f t="shared" si="34"/>
        <v>#REF!</v>
      </c>
      <c r="V1065" s="5" t="e">
        <f t="shared" si="35"/>
        <v>#REF!</v>
      </c>
    </row>
    <row r="1066" spans="1:22" x14ac:dyDescent="0.25">
      <c r="A1066" s="2">
        <v>46090</v>
      </c>
      <c r="B1066" s="2">
        <v>45351</v>
      </c>
      <c r="C1066" t="s">
        <v>478</v>
      </c>
      <c r="D1066">
        <v>11</v>
      </c>
      <c r="E1066" t="s">
        <v>2473</v>
      </c>
      <c r="F1066" t="s">
        <v>261</v>
      </c>
      <c r="G1066" t="s">
        <v>510</v>
      </c>
      <c r="H1066" t="s">
        <v>2474</v>
      </c>
      <c r="I1066" t="s">
        <v>122</v>
      </c>
      <c r="J1066" s="3" t="s">
        <v>2475</v>
      </c>
      <c r="K1066" t="s">
        <v>2476</v>
      </c>
      <c r="L1066" s="4">
        <v>34</v>
      </c>
      <c r="M1066" s="4">
        <v>0</v>
      </c>
      <c r="N1066">
        <v>34</v>
      </c>
      <c r="O1066" t="s">
        <v>2477</v>
      </c>
      <c r="P1066">
        <v>262</v>
      </c>
      <c r="Q1066">
        <f>QtyRemaining*EstMfgMin/60</f>
        <v>148.46666666666667</v>
      </c>
      <c r="U1066" t="e">
        <f t="shared" si="34"/>
        <v>#REF!</v>
      </c>
      <c r="V1066" s="5" t="e">
        <f t="shared" si="35"/>
        <v>#REF!</v>
      </c>
    </row>
    <row r="1067" spans="1:22" x14ac:dyDescent="0.25">
      <c r="A1067" s="2">
        <v>46090</v>
      </c>
      <c r="B1067" s="2">
        <v>45351</v>
      </c>
      <c r="C1067" t="s">
        <v>478</v>
      </c>
      <c r="D1067">
        <v>11</v>
      </c>
      <c r="E1067" t="s">
        <v>2473</v>
      </c>
      <c r="F1067" t="s">
        <v>261</v>
      </c>
      <c r="G1067" t="s">
        <v>510</v>
      </c>
      <c r="H1067" t="s">
        <v>2474</v>
      </c>
      <c r="I1067" t="s">
        <v>874</v>
      </c>
      <c r="J1067" s="3" t="s">
        <v>2478</v>
      </c>
      <c r="K1067" t="s">
        <v>2479</v>
      </c>
      <c r="L1067" s="4">
        <v>1</v>
      </c>
      <c r="M1067" s="4">
        <v>0</v>
      </c>
      <c r="N1067">
        <v>1</v>
      </c>
      <c r="P1067">
        <v>0</v>
      </c>
      <c r="Q1067">
        <f>QtyRemaining*EstMfgMin/60</f>
        <v>0</v>
      </c>
      <c r="U1067" t="e">
        <f t="shared" si="34"/>
        <v>#REF!</v>
      </c>
      <c r="V1067" s="5" t="e">
        <f t="shared" si="35"/>
        <v>#REF!</v>
      </c>
    </row>
    <row r="1068" spans="1:22" x14ac:dyDescent="0.25">
      <c r="A1068" s="2">
        <v>46090</v>
      </c>
      <c r="B1068" s="2">
        <v>45700</v>
      </c>
      <c r="C1068" t="s">
        <v>523</v>
      </c>
      <c r="D1068">
        <v>11</v>
      </c>
      <c r="E1068" t="s">
        <v>524</v>
      </c>
      <c r="F1068" t="s">
        <v>261</v>
      </c>
      <c r="G1068" t="s">
        <v>525</v>
      </c>
      <c r="H1068" t="s">
        <v>526</v>
      </c>
      <c r="I1068" t="s">
        <v>83</v>
      </c>
      <c r="J1068" s="3" t="s">
        <v>1142</v>
      </c>
      <c r="K1068" t="s">
        <v>1141</v>
      </c>
      <c r="L1068" s="4">
        <v>10</v>
      </c>
      <c r="M1068" s="4">
        <v>0</v>
      </c>
      <c r="N1068">
        <v>10</v>
      </c>
      <c r="O1068" t="s">
        <v>118</v>
      </c>
      <c r="P1068">
        <v>105</v>
      </c>
      <c r="Q1068">
        <f>QtyRemaining*EstMfgMin/60</f>
        <v>17.5</v>
      </c>
      <c r="U1068" t="e">
        <f t="shared" si="34"/>
        <v>#REF!</v>
      </c>
      <c r="V1068" s="5" t="e">
        <f t="shared" si="35"/>
        <v>#REF!</v>
      </c>
    </row>
    <row r="1069" spans="1:22" x14ac:dyDescent="0.25">
      <c r="A1069" s="2">
        <v>46090</v>
      </c>
      <c r="B1069" s="2">
        <v>45700</v>
      </c>
      <c r="C1069" t="s">
        <v>523</v>
      </c>
      <c r="D1069">
        <v>11</v>
      </c>
      <c r="E1069" t="s">
        <v>524</v>
      </c>
      <c r="F1069" t="s">
        <v>261</v>
      </c>
      <c r="G1069" t="s">
        <v>525</v>
      </c>
      <c r="H1069" t="s">
        <v>526</v>
      </c>
      <c r="I1069" t="s">
        <v>83</v>
      </c>
      <c r="J1069" s="3" t="s">
        <v>1143</v>
      </c>
      <c r="K1069" t="s">
        <v>1141</v>
      </c>
      <c r="L1069" s="4">
        <v>10</v>
      </c>
      <c r="M1069" s="4">
        <v>0</v>
      </c>
      <c r="N1069">
        <v>10</v>
      </c>
      <c r="O1069" t="s">
        <v>118</v>
      </c>
      <c r="P1069">
        <v>105</v>
      </c>
      <c r="Q1069">
        <f>QtyRemaining*EstMfgMin/60</f>
        <v>17.5</v>
      </c>
      <c r="U1069" t="e">
        <f t="shared" si="34"/>
        <v>#REF!</v>
      </c>
      <c r="V1069" s="5" t="e">
        <f t="shared" si="35"/>
        <v>#REF!</v>
      </c>
    </row>
    <row r="1070" spans="1:22" x14ac:dyDescent="0.25">
      <c r="A1070" s="2">
        <v>46090</v>
      </c>
      <c r="B1070" s="2">
        <v>45700</v>
      </c>
      <c r="C1070" t="s">
        <v>523</v>
      </c>
      <c r="D1070">
        <v>11</v>
      </c>
      <c r="E1070" t="s">
        <v>524</v>
      </c>
      <c r="F1070" t="s">
        <v>261</v>
      </c>
      <c r="G1070" t="s">
        <v>525</v>
      </c>
      <c r="H1070" t="s">
        <v>526</v>
      </c>
      <c r="I1070" t="s">
        <v>83</v>
      </c>
      <c r="J1070" s="3" t="s">
        <v>1144</v>
      </c>
      <c r="K1070" t="s">
        <v>1141</v>
      </c>
      <c r="L1070" s="4">
        <v>10</v>
      </c>
      <c r="M1070" s="4">
        <v>0</v>
      </c>
      <c r="N1070">
        <v>10</v>
      </c>
      <c r="O1070" t="s">
        <v>118</v>
      </c>
      <c r="P1070">
        <v>105</v>
      </c>
      <c r="Q1070">
        <f>QtyRemaining*EstMfgMin/60</f>
        <v>17.5</v>
      </c>
      <c r="U1070" t="e">
        <f t="shared" si="34"/>
        <v>#REF!</v>
      </c>
      <c r="V1070" s="5" t="e">
        <f t="shared" si="35"/>
        <v>#REF!</v>
      </c>
    </row>
    <row r="1071" spans="1:22" x14ac:dyDescent="0.25">
      <c r="A1071" s="2">
        <v>46090</v>
      </c>
      <c r="B1071" s="2">
        <v>45700</v>
      </c>
      <c r="C1071" t="s">
        <v>523</v>
      </c>
      <c r="D1071">
        <v>11</v>
      </c>
      <c r="E1071" t="s">
        <v>524</v>
      </c>
      <c r="F1071" t="s">
        <v>261</v>
      </c>
      <c r="G1071" t="s">
        <v>525</v>
      </c>
      <c r="H1071" t="s">
        <v>526</v>
      </c>
      <c r="I1071" t="s">
        <v>83</v>
      </c>
      <c r="J1071" s="3" t="s">
        <v>1145</v>
      </c>
      <c r="K1071" t="s">
        <v>1141</v>
      </c>
      <c r="L1071" s="4">
        <v>10</v>
      </c>
      <c r="M1071" s="4">
        <v>0</v>
      </c>
      <c r="N1071">
        <v>10</v>
      </c>
      <c r="O1071" t="s">
        <v>118</v>
      </c>
      <c r="P1071">
        <v>105</v>
      </c>
      <c r="Q1071">
        <f>QtyRemaining*EstMfgMin/60</f>
        <v>17.5</v>
      </c>
      <c r="U1071" t="e">
        <f t="shared" si="34"/>
        <v>#REF!</v>
      </c>
      <c r="V1071" s="5" t="e">
        <f t="shared" si="35"/>
        <v>#REF!</v>
      </c>
    </row>
    <row r="1072" spans="1:22" x14ac:dyDescent="0.25">
      <c r="A1072" s="2">
        <v>46090</v>
      </c>
      <c r="B1072" s="2">
        <v>45813</v>
      </c>
      <c r="C1072" t="s">
        <v>232</v>
      </c>
      <c r="D1072">
        <v>11</v>
      </c>
      <c r="E1072" t="s">
        <v>2480</v>
      </c>
      <c r="F1072" t="s">
        <v>211</v>
      </c>
      <c r="G1072" t="s">
        <v>270</v>
      </c>
      <c r="H1072" t="s">
        <v>2481</v>
      </c>
      <c r="I1072" t="s">
        <v>214</v>
      </c>
      <c r="J1072" s="3" t="s">
        <v>2482</v>
      </c>
      <c r="K1072" t="s">
        <v>2483</v>
      </c>
      <c r="L1072" s="4">
        <v>25</v>
      </c>
      <c r="M1072" s="4">
        <v>0</v>
      </c>
      <c r="N1072">
        <v>25</v>
      </c>
      <c r="P1072">
        <v>6</v>
      </c>
      <c r="Q1072">
        <f>QtyRemaining*EstMfgMin/60</f>
        <v>2.5</v>
      </c>
      <c r="U1072" t="e">
        <f t="shared" si="34"/>
        <v>#REF!</v>
      </c>
      <c r="V1072" s="5" t="e">
        <f t="shared" si="35"/>
        <v>#REF!</v>
      </c>
    </row>
    <row r="1073" spans="1:22" x14ac:dyDescent="0.25">
      <c r="A1073" s="2">
        <v>46090</v>
      </c>
      <c r="B1073" s="2">
        <v>45904</v>
      </c>
      <c r="C1073" t="s">
        <v>633</v>
      </c>
      <c r="D1073">
        <v>11</v>
      </c>
      <c r="E1073" t="s">
        <v>2484</v>
      </c>
      <c r="F1073" t="s">
        <v>261</v>
      </c>
      <c r="G1073" t="s">
        <v>262</v>
      </c>
      <c r="H1073" t="s">
        <v>2485</v>
      </c>
      <c r="I1073" t="s">
        <v>155</v>
      </c>
      <c r="J1073" s="3" t="s">
        <v>1861</v>
      </c>
      <c r="K1073" t="s">
        <v>124</v>
      </c>
      <c r="L1073" s="4">
        <v>66</v>
      </c>
      <c r="M1073" s="4">
        <v>0</v>
      </c>
      <c r="N1073">
        <v>66</v>
      </c>
      <c r="O1073" t="s">
        <v>643</v>
      </c>
      <c r="P1073">
        <v>60</v>
      </c>
      <c r="Q1073">
        <f>QtyRemaining*EstMfgMin/60</f>
        <v>66</v>
      </c>
      <c r="R1073" t="s">
        <v>2486</v>
      </c>
      <c r="U1073" t="e">
        <f t="shared" si="34"/>
        <v>#REF!</v>
      </c>
      <c r="V1073" s="5" t="e">
        <f t="shared" si="35"/>
        <v>#REF!</v>
      </c>
    </row>
    <row r="1074" spans="1:22" x14ac:dyDescent="0.25">
      <c r="A1074" s="2">
        <v>46090</v>
      </c>
      <c r="B1074" s="2">
        <v>45967</v>
      </c>
      <c r="C1074" t="s">
        <v>232</v>
      </c>
      <c r="D1074">
        <v>11</v>
      </c>
      <c r="E1074" t="s">
        <v>2487</v>
      </c>
      <c r="F1074" t="s">
        <v>211</v>
      </c>
      <c r="G1074" t="s">
        <v>1184</v>
      </c>
      <c r="H1074" t="s">
        <v>2488</v>
      </c>
      <c r="I1074" t="s">
        <v>83</v>
      </c>
      <c r="J1074" s="3" t="s">
        <v>1564</v>
      </c>
      <c r="K1074" t="s">
        <v>1565</v>
      </c>
      <c r="L1074" s="4">
        <v>10</v>
      </c>
      <c r="M1074" s="4">
        <v>0</v>
      </c>
      <c r="N1074">
        <v>10</v>
      </c>
      <c r="O1074" t="s">
        <v>1566</v>
      </c>
      <c r="P1074">
        <v>125</v>
      </c>
      <c r="Q1074">
        <f>QtyRemaining*EstMfgMin/60</f>
        <v>20.833333333333332</v>
      </c>
      <c r="U1074" t="e">
        <f t="shared" si="34"/>
        <v>#REF!</v>
      </c>
      <c r="V1074" s="5" t="e">
        <f t="shared" si="35"/>
        <v>#REF!</v>
      </c>
    </row>
    <row r="1075" spans="1:22" x14ac:dyDescent="0.25">
      <c r="A1075" s="2">
        <v>46090</v>
      </c>
      <c r="B1075" s="2">
        <v>46027</v>
      </c>
      <c r="C1075" t="s">
        <v>685</v>
      </c>
      <c r="D1075">
        <v>11</v>
      </c>
      <c r="E1075" t="s">
        <v>2489</v>
      </c>
      <c r="F1075" t="s">
        <v>261</v>
      </c>
      <c r="G1075" t="s">
        <v>262</v>
      </c>
      <c r="H1075" t="s">
        <v>2490</v>
      </c>
      <c r="I1075" t="s">
        <v>45</v>
      </c>
      <c r="J1075" s="3" t="s">
        <v>2491</v>
      </c>
      <c r="K1075" t="s">
        <v>2492</v>
      </c>
      <c r="L1075" s="4">
        <v>10</v>
      </c>
      <c r="M1075" s="4">
        <v>0</v>
      </c>
      <c r="N1075">
        <v>10</v>
      </c>
      <c r="O1075" t="s">
        <v>86</v>
      </c>
      <c r="P1075">
        <v>0</v>
      </c>
      <c r="Q1075">
        <f>QtyRemaining*EstMfgMin/60</f>
        <v>0</v>
      </c>
      <c r="U1075" t="e">
        <f t="shared" si="34"/>
        <v>#REF!</v>
      </c>
      <c r="V1075" s="5" t="e">
        <f t="shared" si="35"/>
        <v>#REF!</v>
      </c>
    </row>
    <row r="1076" spans="1:22" x14ac:dyDescent="0.25">
      <c r="A1076" s="2">
        <v>46090</v>
      </c>
      <c r="B1076" s="2">
        <v>46036</v>
      </c>
      <c r="C1076" t="s">
        <v>465</v>
      </c>
      <c r="D1076">
        <v>11</v>
      </c>
      <c r="E1076" t="s">
        <v>1506</v>
      </c>
      <c r="F1076" t="s">
        <v>211</v>
      </c>
      <c r="G1076" t="s">
        <v>467</v>
      </c>
      <c r="H1076" t="s">
        <v>1507</v>
      </c>
      <c r="I1076" t="s">
        <v>214</v>
      </c>
      <c r="J1076" s="3" t="s">
        <v>2493</v>
      </c>
      <c r="K1076" t="s">
        <v>2494</v>
      </c>
      <c r="L1076" s="4">
        <v>5</v>
      </c>
      <c r="M1076" s="4">
        <v>0</v>
      </c>
      <c r="N1076">
        <v>5</v>
      </c>
      <c r="O1076" t="s">
        <v>86</v>
      </c>
      <c r="P1076">
        <v>37</v>
      </c>
      <c r="Q1076">
        <f>QtyRemaining*EstMfgMin/60</f>
        <v>3.0833333333333335</v>
      </c>
      <c r="U1076" t="e">
        <f t="shared" si="34"/>
        <v>#REF!</v>
      </c>
      <c r="V1076" s="5" t="e">
        <f t="shared" si="35"/>
        <v>#REF!</v>
      </c>
    </row>
    <row r="1077" spans="1:22" x14ac:dyDescent="0.25">
      <c r="A1077" s="2">
        <v>46091</v>
      </c>
      <c r="B1077" s="2">
        <v>45632</v>
      </c>
      <c r="C1077" t="s">
        <v>478</v>
      </c>
      <c r="D1077">
        <v>11</v>
      </c>
      <c r="E1077" t="s">
        <v>1137</v>
      </c>
      <c r="F1077" t="s">
        <v>261</v>
      </c>
      <c r="G1077" t="s">
        <v>510</v>
      </c>
      <c r="H1077" t="s">
        <v>1138</v>
      </c>
      <c r="I1077" t="s">
        <v>122</v>
      </c>
      <c r="J1077" s="3" t="s">
        <v>512</v>
      </c>
      <c r="K1077" t="s">
        <v>513</v>
      </c>
      <c r="L1077" s="4">
        <v>5</v>
      </c>
      <c r="M1077" s="4">
        <v>0</v>
      </c>
      <c r="N1077">
        <v>5</v>
      </c>
      <c r="O1077" t="s">
        <v>1139</v>
      </c>
      <c r="P1077">
        <v>1394</v>
      </c>
      <c r="Q1077">
        <f>QtyRemaining*EstMfgMin/60</f>
        <v>116.16666666666667</v>
      </c>
      <c r="U1077" t="e">
        <f t="shared" si="34"/>
        <v>#REF!</v>
      </c>
      <c r="V1077" s="5" t="e">
        <f t="shared" si="35"/>
        <v>#REF!</v>
      </c>
    </row>
    <row r="1078" spans="1:22" x14ac:dyDescent="0.25">
      <c r="A1078" s="2">
        <v>46091</v>
      </c>
      <c r="B1078" s="2">
        <v>45812</v>
      </c>
      <c r="C1078" t="s">
        <v>232</v>
      </c>
      <c r="D1078">
        <v>11</v>
      </c>
      <c r="E1078" t="s">
        <v>2495</v>
      </c>
      <c r="F1078" t="s">
        <v>211</v>
      </c>
      <c r="G1078" t="s">
        <v>270</v>
      </c>
      <c r="H1078" t="s">
        <v>2496</v>
      </c>
      <c r="I1078" t="s">
        <v>214</v>
      </c>
      <c r="J1078" s="3" t="s">
        <v>2497</v>
      </c>
      <c r="K1078" t="s">
        <v>2498</v>
      </c>
      <c r="L1078" s="4">
        <v>50</v>
      </c>
      <c r="M1078" s="4">
        <v>0</v>
      </c>
      <c r="N1078">
        <v>50</v>
      </c>
      <c r="O1078" t="s">
        <v>176</v>
      </c>
      <c r="P1078">
        <v>11</v>
      </c>
      <c r="Q1078">
        <f>QtyRemaining*EstMfgMin/60</f>
        <v>9.1666666666666661</v>
      </c>
      <c r="U1078" t="e">
        <f t="shared" si="34"/>
        <v>#REF!</v>
      </c>
      <c r="V1078" s="5" t="e">
        <f t="shared" si="35"/>
        <v>#REF!</v>
      </c>
    </row>
    <row r="1079" spans="1:22" x14ac:dyDescent="0.25">
      <c r="A1079" s="2">
        <v>46091</v>
      </c>
      <c r="B1079" s="2">
        <v>45912</v>
      </c>
      <c r="C1079" t="s">
        <v>485</v>
      </c>
      <c r="D1079">
        <v>11</v>
      </c>
      <c r="E1079" t="s">
        <v>2499</v>
      </c>
      <c r="F1079" t="s">
        <v>211</v>
      </c>
      <c r="G1079" t="s">
        <v>864</v>
      </c>
      <c r="H1079" t="s">
        <v>2500</v>
      </c>
      <c r="I1079" t="s">
        <v>214</v>
      </c>
      <c r="J1079" s="3" t="s">
        <v>2501</v>
      </c>
      <c r="K1079" t="s">
        <v>2502</v>
      </c>
      <c r="L1079" s="4">
        <v>20</v>
      </c>
      <c r="M1079" s="4">
        <v>0</v>
      </c>
      <c r="N1079">
        <v>20</v>
      </c>
      <c r="O1079" t="s">
        <v>211</v>
      </c>
      <c r="P1079">
        <v>5</v>
      </c>
      <c r="Q1079">
        <f>QtyRemaining*EstMfgMin/60</f>
        <v>1.6666666666666667</v>
      </c>
      <c r="U1079" t="e">
        <f t="shared" si="34"/>
        <v>#REF!</v>
      </c>
      <c r="V1079" s="5" t="e">
        <f t="shared" si="35"/>
        <v>#REF!</v>
      </c>
    </row>
    <row r="1080" spans="1:22" x14ac:dyDescent="0.25">
      <c r="A1080" s="2">
        <v>46092</v>
      </c>
      <c r="B1080" s="2">
        <v>45586</v>
      </c>
      <c r="C1080" t="s">
        <v>478</v>
      </c>
      <c r="D1080">
        <v>11</v>
      </c>
      <c r="E1080" t="s">
        <v>2022</v>
      </c>
      <c r="F1080" t="s">
        <v>261</v>
      </c>
      <c r="G1080" t="s">
        <v>2023</v>
      </c>
      <c r="H1080" t="s">
        <v>2024</v>
      </c>
      <c r="I1080" t="s">
        <v>155</v>
      </c>
      <c r="J1080" s="3" t="s">
        <v>2025</v>
      </c>
      <c r="K1080" t="s">
        <v>2026</v>
      </c>
      <c r="L1080" s="4">
        <v>15</v>
      </c>
      <c r="M1080" s="4">
        <v>0</v>
      </c>
      <c r="N1080">
        <v>15</v>
      </c>
      <c r="O1080" t="s">
        <v>94</v>
      </c>
      <c r="P1080">
        <v>60</v>
      </c>
      <c r="Q1080">
        <f>QtyRemaining*EstMfgMin/60</f>
        <v>15</v>
      </c>
      <c r="R1080" t="s">
        <v>1062</v>
      </c>
      <c r="U1080" t="e">
        <f t="shared" si="34"/>
        <v>#REF!</v>
      </c>
      <c r="V1080" s="5" t="e">
        <f t="shared" si="35"/>
        <v>#REF!</v>
      </c>
    </row>
    <row r="1081" spans="1:22" x14ac:dyDescent="0.25">
      <c r="A1081" s="2">
        <v>46092</v>
      </c>
      <c r="B1081" s="2">
        <v>45953</v>
      </c>
      <c r="C1081" t="s">
        <v>633</v>
      </c>
      <c r="D1081">
        <v>11</v>
      </c>
      <c r="E1081" t="s">
        <v>2503</v>
      </c>
      <c r="F1081" t="s">
        <v>261</v>
      </c>
      <c r="G1081" t="s">
        <v>262</v>
      </c>
      <c r="H1081" t="s">
        <v>2504</v>
      </c>
      <c r="I1081" t="s">
        <v>83</v>
      </c>
      <c r="J1081" s="3" t="s">
        <v>2505</v>
      </c>
      <c r="K1081" t="s">
        <v>649</v>
      </c>
      <c r="L1081" s="4">
        <v>389</v>
      </c>
      <c r="M1081" s="4">
        <v>0</v>
      </c>
      <c r="N1081">
        <v>389</v>
      </c>
      <c r="O1081" t="s">
        <v>151</v>
      </c>
      <c r="P1081">
        <v>30</v>
      </c>
      <c r="Q1081">
        <f>QtyRemaining*EstMfgMin/60</f>
        <v>194.5</v>
      </c>
      <c r="U1081" t="e">
        <f t="shared" si="34"/>
        <v>#REF!</v>
      </c>
      <c r="V1081" s="5" t="e">
        <f t="shared" si="35"/>
        <v>#REF!</v>
      </c>
    </row>
    <row r="1082" spans="1:22" x14ac:dyDescent="0.25">
      <c r="A1082" s="2">
        <v>46092</v>
      </c>
      <c r="B1082" s="2">
        <v>45957</v>
      </c>
      <c r="C1082" t="s">
        <v>633</v>
      </c>
      <c r="D1082">
        <v>11</v>
      </c>
      <c r="E1082" t="s">
        <v>2506</v>
      </c>
      <c r="F1082" t="s">
        <v>261</v>
      </c>
      <c r="G1082" t="s">
        <v>262</v>
      </c>
      <c r="H1082" t="s">
        <v>2507</v>
      </c>
      <c r="I1082" t="s">
        <v>155</v>
      </c>
      <c r="J1082" s="3" t="s">
        <v>2508</v>
      </c>
      <c r="K1082" t="s">
        <v>191</v>
      </c>
      <c r="L1082" s="4">
        <v>76</v>
      </c>
      <c r="M1082" s="4">
        <v>0</v>
      </c>
      <c r="N1082">
        <v>76</v>
      </c>
      <c r="O1082" t="s">
        <v>457</v>
      </c>
      <c r="P1082">
        <v>134</v>
      </c>
      <c r="Q1082">
        <f>QtyRemaining*EstMfgMin/60</f>
        <v>169.73333333333332</v>
      </c>
      <c r="R1082" t="s">
        <v>2509</v>
      </c>
      <c r="U1082" t="e">
        <f t="shared" si="34"/>
        <v>#REF!</v>
      </c>
      <c r="V1082" s="5" t="e">
        <f t="shared" si="35"/>
        <v>#REF!</v>
      </c>
    </row>
    <row r="1083" spans="1:22" x14ac:dyDescent="0.25">
      <c r="A1083" s="2">
        <v>46092</v>
      </c>
      <c r="B1083" s="2">
        <v>45975</v>
      </c>
      <c r="C1083" t="s">
        <v>465</v>
      </c>
      <c r="D1083">
        <v>11</v>
      </c>
      <c r="E1083" t="s">
        <v>872</v>
      </c>
      <c r="F1083" t="s">
        <v>211</v>
      </c>
      <c r="G1083" t="s">
        <v>467</v>
      </c>
      <c r="H1083" t="s">
        <v>873</v>
      </c>
      <c r="I1083" t="s">
        <v>214</v>
      </c>
      <c r="J1083" s="3" t="s">
        <v>1958</v>
      </c>
      <c r="K1083" t="s">
        <v>1959</v>
      </c>
      <c r="L1083" s="4">
        <v>4</v>
      </c>
      <c r="M1083" s="4">
        <v>0</v>
      </c>
      <c r="N1083">
        <v>4</v>
      </c>
      <c r="O1083" t="s">
        <v>94</v>
      </c>
      <c r="P1083">
        <v>36</v>
      </c>
      <c r="Q1083">
        <f>QtyRemaining*EstMfgMin/60</f>
        <v>2.4</v>
      </c>
      <c r="U1083" t="e">
        <f t="shared" si="34"/>
        <v>#REF!</v>
      </c>
      <c r="V1083" s="5" t="e">
        <f t="shared" si="35"/>
        <v>#REF!</v>
      </c>
    </row>
    <row r="1084" spans="1:22" x14ac:dyDescent="0.25">
      <c r="A1084" s="2">
        <v>46092</v>
      </c>
      <c r="B1084" s="2">
        <v>46017</v>
      </c>
      <c r="C1084" t="s">
        <v>485</v>
      </c>
      <c r="D1084">
        <v>11</v>
      </c>
      <c r="E1084" t="s">
        <v>2510</v>
      </c>
      <c r="F1084" t="s">
        <v>211</v>
      </c>
      <c r="G1084" t="s">
        <v>864</v>
      </c>
      <c r="H1084" t="s">
        <v>2511</v>
      </c>
      <c r="I1084" t="s">
        <v>214</v>
      </c>
      <c r="J1084" s="3" t="s">
        <v>2512</v>
      </c>
      <c r="K1084" t="s">
        <v>2513</v>
      </c>
      <c r="L1084" s="4">
        <v>63</v>
      </c>
      <c r="M1084" s="4">
        <v>0</v>
      </c>
      <c r="N1084">
        <v>63</v>
      </c>
      <c r="O1084" t="s">
        <v>176</v>
      </c>
      <c r="P1084">
        <v>7</v>
      </c>
      <c r="Q1084">
        <f>QtyRemaining*EstMfgMin/60</f>
        <v>7.35</v>
      </c>
      <c r="U1084" t="e">
        <f t="shared" si="34"/>
        <v>#REF!</v>
      </c>
      <c r="V1084" s="5" t="e">
        <f t="shared" si="35"/>
        <v>#REF!</v>
      </c>
    </row>
    <row r="1085" spans="1:22" x14ac:dyDescent="0.25">
      <c r="A1085" s="2">
        <v>46092</v>
      </c>
      <c r="B1085" s="2">
        <v>46017</v>
      </c>
      <c r="C1085" t="s">
        <v>485</v>
      </c>
      <c r="D1085">
        <v>11</v>
      </c>
      <c r="E1085" t="s">
        <v>2510</v>
      </c>
      <c r="F1085" t="s">
        <v>211</v>
      </c>
      <c r="G1085" t="s">
        <v>864</v>
      </c>
      <c r="H1085" t="s">
        <v>2511</v>
      </c>
      <c r="I1085" t="s">
        <v>214</v>
      </c>
      <c r="J1085" s="3" t="s">
        <v>2514</v>
      </c>
      <c r="K1085" t="s">
        <v>2515</v>
      </c>
      <c r="L1085" s="4">
        <v>50</v>
      </c>
      <c r="M1085" s="4">
        <v>0</v>
      </c>
      <c r="N1085">
        <v>50</v>
      </c>
      <c r="O1085" t="s">
        <v>176</v>
      </c>
      <c r="P1085">
        <v>13</v>
      </c>
      <c r="Q1085">
        <f>QtyRemaining*EstMfgMin/60</f>
        <v>10.833333333333334</v>
      </c>
      <c r="U1085" t="e">
        <f t="shared" si="34"/>
        <v>#REF!</v>
      </c>
      <c r="V1085" s="5" t="e">
        <f t="shared" si="35"/>
        <v>#REF!</v>
      </c>
    </row>
    <row r="1086" spans="1:22" x14ac:dyDescent="0.25">
      <c r="A1086" s="2">
        <v>46092</v>
      </c>
      <c r="B1086" s="2">
        <v>46017</v>
      </c>
      <c r="C1086" t="s">
        <v>485</v>
      </c>
      <c r="D1086">
        <v>11</v>
      </c>
      <c r="E1086" t="s">
        <v>2510</v>
      </c>
      <c r="F1086" t="s">
        <v>211</v>
      </c>
      <c r="G1086" t="s">
        <v>864</v>
      </c>
      <c r="H1086" t="s">
        <v>2511</v>
      </c>
      <c r="I1086" t="s">
        <v>214</v>
      </c>
      <c r="J1086" s="3" t="s">
        <v>2516</v>
      </c>
      <c r="K1086" t="s">
        <v>2517</v>
      </c>
      <c r="L1086" s="4">
        <v>50</v>
      </c>
      <c r="M1086" s="4">
        <v>0</v>
      </c>
      <c r="N1086">
        <v>50</v>
      </c>
      <c r="O1086" t="s">
        <v>514</v>
      </c>
      <c r="P1086">
        <v>10</v>
      </c>
      <c r="Q1086">
        <f>QtyRemaining*EstMfgMin/60</f>
        <v>8.3333333333333339</v>
      </c>
      <c r="U1086" t="e">
        <f t="shared" si="34"/>
        <v>#REF!</v>
      </c>
      <c r="V1086" s="5" t="e">
        <f t="shared" si="35"/>
        <v>#REF!</v>
      </c>
    </row>
    <row r="1087" spans="1:22" x14ac:dyDescent="0.25">
      <c r="A1087" s="2">
        <v>46092</v>
      </c>
      <c r="B1087" s="2">
        <v>46017</v>
      </c>
      <c r="C1087" t="s">
        <v>485</v>
      </c>
      <c r="D1087">
        <v>11</v>
      </c>
      <c r="E1087" t="s">
        <v>2510</v>
      </c>
      <c r="F1087" t="s">
        <v>211</v>
      </c>
      <c r="G1087" t="s">
        <v>864</v>
      </c>
      <c r="H1087" t="s">
        <v>2511</v>
      </c>
      <c r="I1087" t="s">
        <v>214</v>
      </c>
      <c r="J1087" s="3" t="s">
        <v>2294</v>
      </c>
      <c r="K1087" t="s">
        <v>2518</v>
      </c>
      <c r="L1087" s="4">
        <v>20</v>
      </c>
      <c r="M1087" s="4">
        <v>0</v>
      </c>
      <c r="N1087">
        <v>20</v>
      </c>
      <c r="O1087" t="s">
        <v>868</v>
      </c>
      <c r="P1087">
        <v>13</v>
      </c>
      <c r="Q1087">
        <f>QtyRemaining*EstMfgMin/60</f>
        <v>4.333333333333333</v>
      </c>
      <c r="U1087" t="e">
        <f t="shared" si="34"/>
        <v>#REF!</v>
      </c>
      <c r="V1087" s="5" t="e">
        <f t="shared" si="35"/>
        <v>#REF!</v>
      </c>
    </row>
    <row r="1088" spans="1:22" x14ac:dyDescent="0.25">
      <c r="A1088" s="2">
        <v>46093</v>
      </c>
      <c r="B1088" s="2">
        <v>45869</v>
      </c>
      <c r="C1088" t="s">
        <v>485</v>
      </c>
      <c r="D1088">
        <v>11</v>
      </c>
      <c r="E1088" t="s">
        <v>2519</v>
      </c>
      <c r="F1088" t="s">
        <v>211</v>
      </c>
      <c r="G1088" t="s">
        <v>864</v>
      </c>
      <c r="H1088" t="s">
        <v>2520</v>
      </c>
      <c r="I1088" t="s">
        <v>214</v>
      </c>
      <c r="J1088" s="3" t="s">
        <v>2521</v>
      </c>
      <c r="K1088" t="s">
        <v>2522</v>
      </c>
      <c r="L1088" s="4">
        <v>62</v>
      </c>
      <c r="M1088" s="4">
        <v>0</v>
      </c>
      <c r="N1088">
        <v>62</v>
      </c>
      <c r="O1088" t="s">
        <v>176</v>
      </c>
      <c r="P1088">
        <v>14</v>
      </c>
      <c r="Q1088">
        <f>QtyRemaining*EstMfgMin/60</f>
        <v>14.466666666666667</v>
      </c>
      <c r="U1088" t="e">
        <f t="shared" si="34"/>
        <v>#REF!</v>
      </c>
      <c r="V1088" s="5" t="e">
        <f t="shared" si="35"/>
        <v>#REF!</v>
      </c>
    </row>
    <row r="1089" spans="1:22" x14ac:dyDescent="0.25">
      <c r="A1089" s="2">
        <v>46093</v>
      </c>
      <c r="B1089" s="2">
        <v>45923</v>
      </c>
      <c r="C1089" t="s">
        <v>633</v>
      </c>
      <c r="D1089">
        <v>11</v>
      </c>
      <c r="E1089" t="s">
        <v>2523</v>
      </c>
      <c r="F1089" t="s">
        <v>211</v>
      </c>
      <c r="G1089" t="s">
        <v>262</v>
      </c>
      <c r="H1089" t="s">
        <v>2524</v>
      </c>
      <c r="I1089" t="s">
        <v>83</v>
      </c>
      <c r="J1089" s="3" t="s">
        <v>2525</v>
      </c>
      <c r="K1089" t="s">
        <v>2526</v>
      </c>
      <c r="L1089" s="4">
        <v>6</v>
      </c>
      <c r="M1089" s="4">
        <v>0</v>
      </c>
      <c r="N1089">
        <v>6</v>
      </c>
      <c r="O1089" t="s">
        <v>176</v>
      </c>
      <c r="P1089">
        <v>35</v>
      </c>
      <c r="Q1089">
        <f>QtyRemaining*EstMfgMin/60</f>
        <v>3.5</v>
      </c>
      <c r="U1089" t="e">
        <f t="shared" si="34"/>
        <v>#REF!</v>
      </c>
      <c r="V1089" s="5" t="e">
        <f t="shared" si="35"/>
        <v>#REF!</v>
      </c>
    </row>
    <row r="1090" spans="1:22" x14ac:dyDescent="0.25">
      <c r="A1090" s="2">
        <v>46093</v>
      </c>
      <c r="B1090" s="2">
        <v>45951</v>
      </c>
      <c r="C1090" t="s">
        <v>633</v>
      </c>
      <c r="D1090">
        <v>11</v>
      </c>
      <c r="E1090" t="s">
        <v>2527</v>
      </c>
      <c r="F1090" t="s">
        <v>261</v>
      </c>
      <c r="G1090" t="s">
        <v>262</v>
      </c>
      <c r="H1090" t="s">
        <v>2528</v>
      </c>
      <c r="I1090" t="s">
        <v>45</v>
      </c>
      <c r="J1090" s="3" t="s">
        <v>2529</v>
      </c>
      <c r="K1090" t="s">
        <v>131</v>
      </c>
      <c r="L1090" s="4">
        <v>2</v>
      </c>
      <c r="M1090" s="4">
        <v>0</v>
      </c>
      <c r="N1090">
        <v>2</v>
      </c>
      <c r="O1090" t="s">
        <v>94</v>
      </c>
      <c r="P1090">
        <v>0</v>
      </c>
      <c r="Q1090">
        <f>QtyRemaining*EstMfgMin/60</f>
        <v>0</v>
      </c>
      <c r="U1090" t="e">
        <f t="shared" si="34"/>
        <v>#REF!</v>
      </c>
      <c r="V1090" s="5" t="e">
        <f t="shared" si="35"/>
        <v>#REF!</v>
      </c>
    </row>
    <row r="1091" spans="1:22" x14ac:dyDescent="0.25">
      <c r="A1091" s="2">
        <v>46093</v>
      </c>
      <c r="B1091" s="2">
        <v>45982</v>
      </c>
      <c r="C1091" t="s">
        <v>465</v>
      </c>
      <c r="D1091">
        <v>11</v>
      </c>
      <c r="E1091" t="s">
        <v>1619</v>
      </c>
      <c r="F1091" t="s">
        <v>211</v>
      </c>
      <c r="G1091" t="s">
        <v>467</v>
      </c>
      <c r="H1091" t="s">
        <v>1620</v>
      </c>
      <c r="I1091" t="s">
        <v>214</v>
      </c>
      <c r="J1091" s="3" t="s">
        <v>2530</v>
      </c>
      <c r="K1091" t="s">
        <v>2531</v>
      </c>
      <c r="L1091" s="4">
        <v>6</v>
      </c>
      <c r="M1091" s="4">
        <v>0</v>
      </c>
      <c r="N1091">
        <v>6</v>
      </c>
      <c r="O1091" t="s">
        <v>86</v>
      </c>
      <c r="P1091">
        <v>27</v>
      </c>
      <c r="Q1091">
        <f>QtyRemaining*EstMfgMin/60</f>
        <v>2.7</v>
      </c>
      <c r="U1091" t="e">
        <f t="shared" ref="U1091:U1154" si="36">VLOOKUP(A1091,Calendar,13,FALSE)</f>
        <v>#REF!</v>
      </c>
      <c r="V1091" s="5" t="e">
        <f t="shared" ref="V1091:V1154" si="37">VLOOKUP(A1091,Calendar,14,FALSE)</f>
        <v>#REF!</v>
      </c>
    </row>
    <row r="1092" spans="1:22" x14ac:dyDescent="0.25">
      <c r="A1092" s="2">
        <v>46093</v>
      </c>
      <c r="B1092" s="2">
        <v>45999</v>
      </c>
      <c r="C1092" t="s">
        <v>1168</v>
      </c>
      <c r="D1092">
        <v>11</v>
      </c>
      <c r="E1092" t="s">
        <v>2532</v>
      </c>
      <c r="F1092" t="s">
        <v>283</v>
      </c>
      <c r="G1092" t="s">
        <v>1170</v>
      </c>
      <c r="H1092" t="s">
        <v>2533</v>
      </c>
      <c r="I1092" t="s">
        <v>1172</v>
      </c>
      <c r="J1092" s="3" t="s">
        <v>1939</v>
      </c>
      <c r="K1092" t="s">
        <v>1940</v>
      </c>
      <c r="L1092" s="4">
        <v>600</v>
      </c>
      <c r="M1092" s="4">
        <v>0</v>
      </c>
      <c r="N1092">
        <v>600</v>
      </c>
      <c r="O1092" t="s">
        <v>176</v>
      </c>
      <c r="P1092">
        <v>6</v>
      </c>
      <c r="Q1092">
        <f>QtyRemaining*EstMfgMin/60</f>
        <v>60</v>
      </c>
      <c r="U1092" t="e">
        <f t="shared" si="36"/>
        <v>#REF!</v>
      </c>
      <c r="V1092" s="5" t="e">
        <f t="shared" si="37"/>
        <v>#REF!</v>
      </c>
    </row>
    <row r="1093" spans="1:22" x14ac:dyDescent="0.25">
      <c r="A1093" s="2">
        <v>46093</v>
      </c>
      <c r="B1093" s="2">
        <v>46013</v>
      </c>
      <c r="C1093" t="s">
        <v>1168</v>
      </c>
      <c r="D1093">
        <v>11</v>
      </c>
      <c r="E1093" t="s">
        <v>2534</v>
      </c>
      <c r="F1093" t="s">
        <v>283</v>
      </c>
      <c r="G1093" t="s">
        <v>1170</v>
      </c>
      <c r="H1093" t="s">
        <v>2535</v>
      </c>
      <c r="I1093" t="s">
        <v>1172</v>
      </c>
      <c r="J1093" s="3" t="s">
        <v>1939</v>
      </c>
      <c r="K1093" t="s">
        <v>1940</v>
      </c>
      <c r="L1093" s="4">
        <v>100</v>
      </c>
      <c r="M1093" s="4">
        <v>0</v>
      </c>
      <c r="N1093">
        <v>100</v>
      </c>
      <c r="O1093" t="s">
        <v>176</v>
      </c>
      <c r="P1093">
        <v>6</v>
      </c>
      <c r="Q1093">
        <f>QtyRemaining*EstMfgMin/60</f>
        <v>10</v>
      </c>
      <c r="U1093" t="e">
        <f t="shared" si="36"/>
        <v>#REF!</v>
      </c>
      <c r="V1093" s="5" t="e">
        <f t="shared" si="37"/>
        <v>#REF!</v>
      </c>
    </row>
    <row r="1094" spans="1:22" x14ac:dyDescent="0.25">
      <c r="A1094" s="2">
        <v>46093</v>
      </c>
      <c r="B1094" s="2">
        <v>46013</v>
      </c>
      <c r="C1094" t="s">
        <v>1168</v>
      </c>
      <c r="D1094">
        <v>11</v>
      </c>
      <c r="E1094" t="s">
        <v>2534</v>
      </c>
      <c r="F1094" t="s">
        <v>283</v>
      </c>
      <c r="G1094" t="s">
        <v>1170</v>
      </c>
      <c r="H1094" t="s">
        <v>2535</v>
      </c>
      <c r="I1094" t="s">
        <v>1172</v>
      </c>
      <c r="J1094" s="3" t="s">
        <v>1709</v>
      </c>
      <c r="K1094" t="s">
        <v>1901</v>
      </c>
      <c r="L1094" s="4">
        <v>100</v>
      </c>
      <c r="M1094" s="4">
        <v>0</v>
      </c>
      <c r="N1094">
        <v>100</v>
      </c>
      <c r="O1094" t="s">
        <v>176</v>
      </c>
      <c r="P1094">
        <v>4</v>
      </c>
      <c r="Q1094">
        <f>QtyRemaining*EstMfgMin/60</f>
        <v>6.666666666666667</v>
      </c>
      <c r="U1094" t="e">
        <f t="shared" si="36"/>
        <v>#REF!</v>
      </c>
      <c r="V1094" s="5" t="e">
        <f t="shared" si="37"/>
        <v>#REF!</v>
      </c>
    </row>
    <row r="1095" spans="1:22" x14ac:dyDescent="0.25">
      <c r="A1095" s="2">
        <v>46093</v>
      </c>
      <c r="B1095" s="2">
        <v>46013</v>
      </c>
      <c r="C1095" t="s">
        <v>1168</v>
      </c>
      <c r="D1095">
        <v>11</v>
      </c>
      <c r="E1095" t="s">
        <v>2534</v>
      </c>
      <c r="F1095" t="s">
        <v>283</v>
      </c>
      <c r="G1095" t="s">
        <v>1170</v>
      </c>
      <c r="H1095" t="s">
        <v>2535</v>
      </c>
      <c r="I1095" t="s">
        <v>224</v>
      </c>
      <c r="J1095" s="3" t="s">
        <v>2536</v>
      </c>
      <c r="K1095" t="s">
        <v>2537</v>
      </c>
      <c r="L1095" s="4">
        <v>20</v>
      </c>
      <c r="M1095" s="4">
        <v>0</v>
      </c>
      <c r="N1095">
        <v>20</v>
      </c>
      <c r="O1095" t="s">
        <v>176</v>
      </c>
      <c r="P1095">
        <v>16</v>
      </c>
      <c r="Q1095">
        <f>QtyRemaining*EstMfgMin/60</f>
        <v>5.333333333333333</v>
      </c>
      <c r="U1095" t="e">
        <f t="shared" si="36"/>
        <v>#REF!</v>
      </c>
      <c r="V1095" s="5" t="e">
        <f t="shared" si="37"/>
        <v>#REF!</v>
      </c>
    </row>
    <row r="1096" spans="1:22" x14ac:dyDescent="0.25">
      <c r="A1096" s="2">
        <v>46094</v>
      </c>
      <c r="B1096" s="2">
        <v>45856</v>
      </c>
      <c r="C1096" t="s">
        <v>570</v>
      </c>
      <c r="D1096">
        <v>11</v>
      </c>
      <c r="E1096" t="s">
        <v>2538</v>
      </c>
      <c r="F1096" t="s">
        <v>261</v>
      </c>
      <c r="G1096" t="s">
        <v>1455</v>
      </c>
      <c r="H1096" t="s">
        <v>2539</v>
      </c>
      <c r="I1096" t="s">
        <v>83</v>
      </c>
      <c r="J1096" s="3" t="s">
        <v>2540</v>
      </c>
      <c r="K1096" t="s">
        <v>2541</v>
      </c>
      <c r="L1096" s="4">
        <v>4</v>
      </c>
      <c r="M1096" s="4">
        <v>0</v>
      </c>
      <c r="N1096">
        <v>4</v>
      </c>
      <c r="O1096" t="s">
        <v>176</v>
      </c>
      <c r="P1096">
        <v>23</v>
      </c>
      <c r="Q1096">
        <f>QtyRemaining*EstMfgMin/60</f>
        <v>1.5333333333333334</v>
      </c>
      <c r="S1096" t="s">
        <v>499</v>
      </c>
      <c r="U1096" t="e">
        <f t="shared" si="36"/>
        <v>#REF!</v>
      </c>
      <c r="V1096" s="5" t="e">
        <f t="shared" si="37"/>
        <v>#REF!</v>
      </c>
    </row>
    <row r="1097" spans="1:22" x14ac:dyDescent="0.25">
      <c r="A1097" s="2">
        <v>46094</v>
      </c>
      <c r="B1097" s="2">
        <v>45957</v>
      </c>
      <c r="C1097" t="s">
        <v>650</v>
      </c>
      <c r="D1097">
        <v>11</v>
      </c>
      <c r="E1097" t="s">
        <v>2542</v>
      </c>
      <c r="F1097" t="s">
        <v>283</v>
      </c>
      <c r="G1097" t="s">
        <v>652</v>
      </c>
      <c r="H1097" t="s">
        <v>2543</v>
      </c>
      <c r="I1097" t="s">
        <v>1087</v>
      </c>
      <c r="J1097" s="3" t="s">
        <v>2544</v>
      </c>
      <c r="K1097" t="s">
        <v>2545</v>
      </c>
      <c r="L1097" s="4">
        <v>8</v>
      </c>
      <c r="M1097" s="4">
        <v>0</v>
      </c>
      <c r="N1097">
        <v>8</v>
      </c>
      <c r="O1097" t="s">
        <v>664</v>
      </c>
      <c r="P1097">
        <v>6</v>
      </c>
      <c r="Q1097">
        <f>QtyRemaining*EstMfgMin/60</f>
        <v>0.8</v>
      </c>
      <c r="R1097" t="s">
        <v>1062</v>
      </c>
      <c r="U1097" t="e">
        <f t="shared" si="36"/>
        <v>#REF!</v>
      </c>
      <c r="V1097" s="5" t="e">
        <f t="shared" si="37"/>
        <v>#REF!</v>
      </c>
    </row>
    <row r="1098" spans="1:22" x14ac:dyDescent="0.25">
      <c r="A1098" s="2">
        <v>46094</v>
      </c>
      <c r="B1098" s="2">
        <v>45959</v>
      </c>
      <c r="C1098" t="s">
        <v>1821</v>
      </c>
      <c r="D1098">
        <v>11</v>
      </c>
      <c r="E1098" t="s">
        <v>2546</v>
      </c>
      <c r="F1098" t="s">
        <v>261</v>
      </c>
      <c r="G1098" t="s">
        <v>2547</v>
      </c>
      <c r="H1098" t="s">
        <v>2548</v>
      </c>
      <c r="I1098" t="s">
        <v>83</v>
      </c>
      <c r="J1098" s="3" t="s">
        <v>2549</v>
      </c>
      <c r="K1098" t="s">
        <v>2550</v>
      </c>
      <c r="L1098" s="4">
        <v>18</v>
      </c>
      <c r="M1098" s="4">
        <v>0</v>
      </c>
      <c r="N1098">
        <v>18</v>
      </c>
      <c r="O1098" t="s">
        <v>283</v>
      </c>
      <c r="P1098">
        <v>40</v>
      </c>
      <c r="Q1098">
        <f>QtyRemaining*EstMfgMin/60</f>
        <v>12</v>
      </c>
      <c r="U1098" t="e">
        <f t="shared" si="36"/>
        <v>#REF!</v>
      </c>
      <c r="V1098" s="5" t="e">
        <f t="shared" si="37"/>
        <v>#REF!</v>
      </c>
    </row>
    <row r="1099" spans="1:22" x14ac:dyDescent="0.25">
      <c r="A1099" s="2">
        <v>46094</v>
      </c>
      <c r="B1099" s="2">
        <v>45961</v>
      </c>
      <c r="C1099" t="s">
        <v>485</v>
      </c>
      <c r="D1099">
        <v>11</v>
      </c>
      <c r="E1099" t="s">
        <v>795</v>
      </c>
      <c r="F1099" t="s">
        <v>211</v>
      </c>
      <c r="G1099" t="s">
        <v>796</v>
      </c>
      <c r="H1099" t="s">
        <v>797</v>
      </c>
      <c r="I1099" t="s">
        <v>214</v>
      </c>
      <c r="J1099" s="3" t="s">
        <v>798</v>
      </c>
      <c r="K1099" t="s">
        <v>799</v>
      </c>
      <c r="L1099" s="4">
        <v>50</v>
      </c>
      <c r="M1099" s="4">
        <v>0</v>
      </c>
      <c r="N1099">
        <v>50</v>
      </c>
      <c r="O1099" t="s">
        <v>266</v>
      </c>
      <c r="P1099">
        <v>108</v>
      </c>
      <c r="Q1099">
        <f>QtyRemaining*EstMfgMin/60</f>
        <v>90</v>
      </c>
      <c r="U1099" t="e">
        <f t="shared" si="36"/>
        <v>#REF!</v>
      </c>
      <c r="V1099" s="5" t="e">
        <f t="shared" si="37"/>
        <v>#REF!</v>
      </c>
    </row>
    <row r="1100" spans="1:22" x14ac:dyDescent="0.25">
      <c r="A1100" s="2">
        <v>46094</v>
      </c>
      <c r="B1100" s="2">
        <v>45965</v>
      </c>
      <c r="C1100" t="s">
        <v>650</v>
      </c>
      <c r="D1100">
        <v>11</v>
      </c>
      <c r="E1100" t="s">
        <v>2551</v>
      </c>
      <c r="F1100" t="s">
        <v>283</v>
      </c>
      <c r="G1100" t="s">
        <v>652</v>
      </c>
      <c r="H1100" t="s">
        <v>2552</v>
      </c>
      <c r="I1100" t="s">
        <v>1087</v>
      </c>
      <c r="J1100" s="3" t="s">
        <v>2553</v>
      </c>
      <c r="K1100" t="s">
        <v>2554</v>
      </c>
      <c r="L1100" s="4">
        <v>1</v>
      </c>
      <c r="M1100" s="4">
        <v>0</v>
      </c>
      <c r="N1100">
        <v>1</v>
      </c>
      <c r="O1100" t="s">
        <v>2210</v>
      </c>
      <c r="P1100">
        <v>100</v>
      </c>
      <c r="Q1100">
        <f>QtyRemaining*EstMfgMin/60</f>
        <v>1.6666666666666667</v>
      </c>
      <c r="R1100" t="s">
        <v>1062</v>
      </c>
      <c r="U1100" t="e">
        <f t="shared" si="36"/>
        <v>#REF!</v>
      </c>
      <c r="V1100" s="5" t="e">
        <f t="shared" si="37"/>
        <v>#REF!</v>
      </c>
    </row>
    <row r="1101" spans="1:22" x14ac:dyDescent="0.25">
      <c r="A1101" s="2">
        <v>46097</v>
      </c>
      <c r="B1101" s="2">
        <v>45656</v>
      </c>
      <c r="C1101" t="s">
        <v>478</v>
      </c>
      <c r="D1101">
        <v>12</v>
      </c>
      <c r="E1101" t="s">
        <v>1237</v>
      </c>
      <c r="F1101" t="s">
        <v>261</v>
      </c>
      <c r="G1101" t="s">
        <v>1021</v>
      </c>
      <c r="H1101" t="s">
        <v>1238</v>
      </c>
      <c r="I1101" t="s">
        <v>83</v>
      </c>
      <c r="J1101" s="3" t="s">
        <v>1993</v>
      </c>
      <c r="K1101" t="s">
        <v>1240</v>
      </c>
      <c r="L1101" s="4">
        <v>10</v>
      </c>
      <c r="M1101" s="4">
        <v>0</v>
      </c>
      <c r="N1101">
        <v>10</v>
      </c>
      <c r="O1101" t="s">
        <v>643</v>
      </c>
      <c r="P1101">
        <v>50</v>
      </c>
      <c r="Q1101">
        <f>QtyRemaining*EstMfgMin/60</f>
        <v>8.3333333333333339</v>
      </c>
      <c r="U1101" t="e">
        <f t="shared" si="36"/>
        <v>#REF!</v>
      </c>
      <c r="V1101" s="5" t="e">
        <f t="shared" si="37"/>
        <v>#REF!</v>
      </c>
    </row>
    <row r="1102" spans="1:22" x14ac:dyDescent="0.25">
      <c r="A1102" s="2">
        <v>46097</v>
      </c>
      <c r="B1102" s="2">
        <v>45656</v>
      </c>
      <c r="C1102" t="s">
        <v>478</v>
      </c>
      <c r="D1102">
        <v>12</v>
      </c>
      <c r="E1102" t="s">
        <v>1237</v>
      </c>
      <c r="F1102" t="s">
        <v>261</v>
      </c>
      <c r="G1102" t="s">
        <v>1021</v>
      </c>
      <c r="H1102" t="s">
        <v>1238</v>
      </c>
      <c r="I1102" t="s">
        <v>83</v>
      </c>
      <c r="J1102" s="3" t="s">
        <v>1239</v>
      </c>
      <c r="K1102" t="s">
        <v>1240</v>
      </c>
      <c r="L1102" s="4">
        <v>10</v>
      </c>
      <c r="M1102" s="4">
        <v>0</v>
      </c>
      <c r="N1102">
        <v>10</v>
      </c>
      <c r="O1102" t="s">
        <v>643</v>
      </c>
      <c r="P1102">
        <v>191</v>
      </c>
      <c r="Q1102">
        <f>QtyRemaining*EstMfgMin/60</f>
        <v>31.833333333333332</v>
      </c>
      <c r="U1102" t="e">
        <f t="shared" si="36"/>
        <v>#REF!</v>
      </c>
      <c r="V1102" s="5" t="e">
        <f t="shared" si="37"/>
        <v>#REF!</v>
      </c>
    </row>
    <row r="1103" spans="1:22" x14ac:dyDescent="0.25">
      <c r="A1103" s="2">
        <v>46097</v>
      </c>
      <c r="B1103" s="2">
        <v>45656</v>
      </c>
      <c r="C1103" t="s">
        <v>478</v>
      </c>
      <c r="D1103">
        <v>12</v>
      </c>
      <c r="E1103" t="s">
        <v>2555</v>
      </c>
      <c r="F1103" t="s">
        <v>261</v>
      </c>
      <c r="G1103" t="s">
        <v>1021</v>
      </c>
      <c r="H1103" t="s">
        <v>2556</v>
      </c>
      <c r="I1103" t="s">
        <v>83</v>
      </c>
      <c r="J1103" s="3" t="s">
        <v>1993</v>
      </c>
      <c r="K1103" t="s">
        <v>1240</v>
      </c>
      <c r="L1103" s="4">
        <v>2</v>
      </c>
      <c r="M1103" s="4">
        <v>0</v>
      </c>
      <c r="N1103">
        <v>2</v>
      </c>
      <c r="O1103" t="s">
        <v>643</v>
      </c>
      <c r="P1103">
        <v>50</v>
      </c>
      <c r="Q1103">
        <f>QtyRemaining*EstMfgMin/60</f>
        <v>1.6666666666666667</v>
      </c>
      <c r="S1103" t="s">
        <v>499</v>
      </c>
      <c r="U1103" t="e">
        <f t="shared" si="36"/>
        <v>#REF!</v>
      </c>
      <c r="V1103" s="5" t="e">
        <f t="shared" si="37"/>
        <v>#REF!</v>
      </c>
    </row>
    <row r="1104" spans="1:22" x14ac:dyDescent="0.25">
      <c r="A1104" s="2">
        <v>46097</v>
      </c>
      <c r="B1104" s="2">
        <v>45656</v>
      </c>
      <c r="C1104" t="s">
        <v>478</v>
      </c>
      <c r="D1104">
        <v>12</v>
      </c>
      <c r="E1104" t="s">
        <v>2555</v>
      </c>
      <c r="F1104" t="s">
        <v>261</v>
      </c>
      <c r="G1104" t="s">
        <v>1021</v>
      </c>
      <c r="H1104" t="s">
        <v>2556</v>
      </c>
      <c r="I1104" t="s">
        <v>83</v>
      </c>
      <c r="J1104" s="3" t="s">
        <v>1239</v>
      </c>
      <c r="K1104" t="s">
        <v>1240</v>
      </c>
      <c r="L1104" s="4">
        <v>2</v>
      </c>
      <c r="M1104" s="4">
        <v>0</v>
      </c>
      <c r="N1104">
        <v>2</v>
      </c>
      <c r="O1104" t="s">
        <v>643</v>
      </c>
      <c r="P1104">
        <v>191</v>
      </c>
      <c r="Q1104">
        <f>QtyRemaining*EstMfgMin/60</f>
        <v>6.3666666666666663</v>
      </c>
      <c r="S1104" t="s">
        <v>499</v>
      </c>
      <c r="U1104" t="e">
        <f t="shared" si="36"/>
        <v>#REF!</v>
      </c>
      <c r="V1104" s="5" t="e">
        <f t="shared" si="37"/>
        <v>#REF!</v>
      </c>
    </row>
    <row r="1105" spans="1:22" x14ac:dyDescent="0.25">
      <c r="A1105" s="2">
        <v>46097</v>
      </c>
      <c r="B1105" s="2">
        <v>45951</v>
      </c>
      <c r="C1105" t="s">
        <v>221</v>
      </c>
      <c r="D1105">
        <v>12</v>
      </c>
      <c r="E1105" t="s">
        <v>2557</v>
      </c>
      <c r="F1105" t="s">
        <v>211</v>
      </c>
      <c r="G1105" t="s">
        <v>519</v>
      </c>
      <c r="H1105" t="s">
        <v>2558</v>
      </c>
      <c r="I1105" t="s">
        <v>155</v>
      </c>
      <c r="J1105" s="3" t="s">
        <v>2559</v>
      </c>
      <c r="K1105" t="s">
        <v>2560</v>
      </c>
      <c r="L1105" s="4">
        <v>59</v>
      </c>
      <c r="M1105" s="4">
        <v>0</v>
      </c>
      <c r="N1105">
        <v>59</v>
      </c>
      <c r="O1105" t="s">
        <v>86</v>
      </c>
      <c r="P1105">
        <v>4</v>
      </c>
      <c r="Q1105">
        <f>QtyRemaining*EstMfgMin/60</f>
        <v>3.9333333333333331</v>
      </c>
      <c r="R1105" t="s">
        <v>2561</v>
      </c>
      <c r="U1105" t="e">
        <f t="shared" si="36"/>
        <v>#REF!</v>
      </c>
      <c r="V1105" s="5" t="e">
        <f t="shared" si="37"/>
        <v>#REF!</v>
      </c>
    </row>
    <row r="1106" spans="1:22" x14ac:dyDescent="0.25">
      <c r="A1106" s="2">
        <v>46097</v>
      </c>
      <c r="B1106" s="2">
        <v>45951</v>
      </c>
      <c r="C1106" t="s">
        <v>221</v>
      </c>
      <c r="D1106">
        <v>12</v>
      </c>
      <c r="E1106" t="s">
        <v>2557</v>
      </c>
      <c r="F1106" t="s">
        <v>211</v>
      </c>
      <c r="G1106" t="s">
        <v>519</v>
      </c>
      <c r="H1106" t="s">
        <v>2558</v>
      </c>
      <c r="I1106" t="s">
        <v>155</v>
      </c>
      <c r="J1106" s="3" t="s">
        <v>2562</v>
      </c>
      <c r="K1106" t="s">
        <v>2563</v>
      </c>
      <c r="L1106" s="4">
        <v>59</v>
      </c>
      <c r="M1106" s="4">
        <v>0</v>
      </c>
      <c r="N1106">
        <v>59</v>
      </c>
      <c r="O1106" t="s">
        <v>86</v>
      </c>
      <c r="P1106">
        <v>4</v>
      </c>
      <c r="Q1106">
        <f>QtyRemaining*EstMfgMin/60</f>
        <v>3.9333333333333331</v>
      </c>
      <c r="R1106" t="s">
        <v>967</v>
      </c>
      <c r="U1106" t="e">
        <f t="shared" si="36"/>
        <v>#REF!</v>
      </c>
      <c r="V1106" s="5" t="e">
        <f t="shared" si="37"/>
        <v>#REF!</v>
      </c>
    </row>
    <row r="1107" spans="1:22" x14ac:dyDescent="0.25">
      <c r="A1107" s="2">
        <v>46097</v>
      </c>
      <c r="B1107" s="2">
        <v>45951</v>
      </c>
      <c r="C1107" t="s">
        <v>221</v>
      </c>
      <c r="D1107">
        <v>12</v>
      </c>
      <c r="E1107" t="s">
        <v>2557</v>
      </c>
      <c r="F1107" t="s">
        <v>211</v>
      </c>
      <c r="G1107" t="s">
        <v>519</v>
      </c>
      <c r="H1107" t="s">
        <v>2558</v>
      </c>
      <c r="I1107" t="s">
        <v>155</v>
      </c>
      <c r="J1107" s="3" t="s">
        <v>2564</v>
      </c>
      <c r="K1107" t="s">
        <v>2565</v>
      </c>
      <c r="L1107" s="4">
        <v>59</v>
      </c>
      <c r="M1107" s="4">
        <v>0</v>
      </c>
      <c r="N1107">
        <v>59</v>
      </c>
      <c r="O1107" t="s">
        <v>86</v>
      </c>
      <c r="P1107">
        <v>152.5</v>
      </c>
      <c r="Q1107">
        <f>QtyRemaining*EstMfgMin/60</f>
        <v>149.95833333333334</v>
      </c>
      <c r="R1107" t="s">
        <v>2566</v>
      </c>
      <c r="U1107" t="e">
        <f t="shared" si="36"/>
        <v>#REF!</v>
      </c>
      <c r="V1107" s="5" t="e">
        <f t="shared" si="37"/>
        <v>#REF!</v>
      </c>
    </row>
    <row r="1108" spans="1:22" x14ac:dyDescent="0.25">
      <c r="A1108" s="2">
        <v>46097</v>
      </c>
      <c r="B1108" s="2">
        <v>45951</v>
      </c>
      <c r="C1108" t="s">
        <v>221</v>
      </c>
      <c r="D1108">
        <v>12</v>
      </c>
      <c r="E1108" t="s">
        <v>2557</v>
      </c>
      <c r="F1108" t="s">
        <v>211</v>
      </c>
      <c r="G1108" t="s">
        <v>519</v>
      </c>
      <c r="H1108" t="s">
        <v>2558</v>
      </c>
      <c r="I1108" t="s">
        <v>155</v>
      </c>
      <c r="J1108" s="3" t="s">
        <v>2564</v>
      </c>
      <c r="K1108" t="s">
        <v>2565</v>
      </c>
      <c r="L1108" s="4">
        <v>6</v>
      </c>
      <c r="M1108" s="4">
        <v>0</v>
      </c>
      <c r="N1108">
        <v>6</v>
      </c>
      <c r="O1108" t="s">
        <v>86</v>
      </c>
      <c r="P1108">
        <v>152.5</v>
      </c>
      <c r="Q1108">
        <f>QtyRemaining*EstMfgMin/60</f>
        <v>15.25</v>
      </c>
      <c r="R1108" t="s">
        <v>2566</v>
      </c>
      <c r="U1108" t="e">
        <f t="shared" si="36"/>
        <v>#REF!</v>
      </c>
      <c r="V1108" s="5" t="e">
        <f t="shared" si="37"/>
        <v>#REF!</v>
      </c>
    </row>
    <row r="1109" spans="1:22" x14ac:dyDescent="0.25">
      <c r="A1109" s="2">
        <v>46097</v>
      </c>
      <c r="B1109" s="2">
        <v>45951</v>
      </c>
      <c r="C1109" t="s">
        <v>221</v>
      </c>
      <c r="D1109">
        <v>12</v>
      </c>
      <c r="E1109" t="s">
        <v>2557</v>
      </c>
      <c r="F1109" t="s">
        <v>211</v>
      </c>
      <c r="G1109" t="s">
        <v>519</v>
      </c>
      <c r="H1109" t="s">
        <v>2558</v>
      </c>
      <c r="I1109" t="s">
        <v>155</v>
      </c>
      <c r="J1109" s="3" t="s">
        <v>2567</v>
      </c>
      <c r="K1109" t="s">
        <v>2568</v>
      </c>
      <c r="L1109" s="4">
        <v>59</v>
      </c>
      <c r="M1109" s="4">
        <v>0</v>
      </c>
      <c r="N1109">
        <v>59</v>
      </c>
      <c r="O1109" t="s">
        <v>176</v>
      </c>
      <c r="P1109">
        <v>30</v>
      </c>
      <c r="Q1109">
        <f>QtyRemaining*EstMfgMin/60</f>
        <v>29.5</v>
      </c>
      <c r="R1109" t="s">
        <v>2566</v>
      </c>
      <c r="U1109" t="e">
        <f t="shared" si="36"/>
        <v>#REF!</v>
      </c>
      <c r="V1109" s="5" t="e">
        <f t="shared" si="37"/>
        <v>#REF!</v>
      </c>
    </row>
    <row r="1110" spans="1:22" x14ac:dyDescent="0.25">
      <c r="A1110" s="2">
        <v>46097</v>
      </c>
      <c r="B1110" s="2">
        <v>45951</v>
      </c>
      <c r="C1110" t="s">
        <v>221</v>
      </c>
      <c r="D1110">
        <v>12</v>
      </c>
      <c r="E1110" t="s">
        <v>2557</v>
      </c>
      <c r="F1110" t="s">
        <v>211</v>
      </c>
      <c r="G1110" t="s">
        <v>519</v>
      </c>
      <c r="H1110" t="s">
        <v>2558</v>
      </c>
      <c r="I1110" t="s">
        <v>155</v>
      </c>
      <c r="J1110" s="3" t="s">
        <v>2567</v>
      </c>
      <c r="K1110" t="s">
        <v>2568</v>
      </c>
      <c r="L1110" s="4">
        <v>6</v>
      </c>
      <c r="M1110" s="4">
        <v>0</v>
      </c>
      <c r="N1110">
        <v>6</v>
      </c>
      <c r="O1110" t="s">
        <v>176</v>
      </c>
      <c r="P1110">
        <v>30</v>
      </c>
      <c r="Q1110">
        <f>QtyRemaining*EstMfgMin/60</f>
        <v>3</v>
      </c>
      <c r="R1110" t="s">
        <v>2566</v>
      </c>
      <c r="U1110" t="e">
        <f t="shared" si="36"/>
        <v>#REF!</v>
      </c>
      <c r="V1110" s="5" t="e">
        <f t="shared" si="37"/>
        <v>#REF!</v>
      </c>
    </row>
    <row r="1111" spans="1:22" x14ac:dyDescent="0.25">
      <c r="A1111" s="2">
        <v>46097</v>
      </c>
      <c r="B1111" s="2">
        <v>45951</v>
      </c>
      <c r="C1111" t="s">
        <v>221</v>
      </c>
      <c r="D1111">
        <v>12</v>
      </c>
      <c r="E1111" t="s">
        <v>2557</v>
      </c>
      <c r="F1111" t="s">
        <v>211</v>
      </c>
      <c r="G1111" t="s">
        <v>519</v>
      </c>
      <c r="H1111" t="s">
        <v>2558</v>
      </c>
      <c r="I1111" t="s">
        <v>155</v>
      </c>
      <c r="J1111" s="3" t="s">
        <v>2569</v>
      </c>
      <c r="K1111" t="s">
        <v>2570</v>
      </c>
      <c r="L1111" s="4">
        <v>59</v>
      </c>
      <c r="M1111" s="4">
        <v>0</v>
      </c>
      <c r="N1111">
        <v>59</v>
      </c>
      <c r="O1111" t="s">
        <v>176</v>
      </c>
      <c r="P1111">
        <v>44</v>
      </c>
      <c r="Q1111">
        <f>QtyRemaining*EstMfgMin/60</f>
        <v>43.266666666666666</v>
      </c>
      <c r="R1111" t="s">
        <v>2566</v>
      </c>
      <c r="U1111" t="e">
        <f t="shared" si="36"/>
        <v>#REF!</v>
      </c>
      <c r="V1111" s="5" t="e">
        <f t="shared" si="37"/>
        <v>#REF!</v>
      </c>
    </row>
    <row r="1112" spans="1:22" x14ac:dyDescent="0.25">
      <c r="A1112" s="2">
        <v>46097</v>
      </c>
      <c r="B1112" s="2">
        <v>45951</v>
      </c>
      <c r="C1112" t="s">
        <v>221</v>
      </c>
      <c r="D1112">
        <v>12</v>
      </c>
      <c r="E1112" t="s">
        <v>2557</v>
      </c>
      <c r="F1112" t="s">
        <v>211</v>
      </c>
      <c r="G1112" t="s">
        <v>519</v>
      </c>
      <c r="H1112" t="s">
        <v>2558</v>
      </c>
      <c r="I1112" t="s">
        <v>155</v>
      </c>
      <c r="J1112" s="3" t="s">
        <v>2569</v>
      </c>
      <c r="K1112" t="s">
        <v>2570</v>
      </c>
      <c r="L1112" s="4">
        <v>6</v>
      </c>
      <c r="M1112" s="4">
        <v>0</v>
      </c>
      <c r="N1112">
        <v>6</v>
      </c>
      <c r="O1112" t="s">
        <v>176</v>
      </c>
      <c r="P1112">
        <v>44</v>
      </c>
      <c r="Q1112">
        <f>QtyRemaining*EstMfgMin/60</f>
        <v>4.4000000000000004</v>
      </c>
      <c r="R1112" t="s">
        <v>2566</v>
      </c>
      <c r="U1112" t="e">
        <f t="shared" si="36"/>
        <v>#REF!</v>
      </c>
      <c r="V1112" s="5" t="e">
        <f t="shared" si="37"/>
        <v>#REF!</v>
      </c>
    </row>
    <row r="1113" spans="1:22" x14ac:dyDescent="0.25">
      <c r="A1113" s="2">
        <v>46097</v>
      </c>
      <c r="B1113" s="2">
        <v>45951</v>
      </c>
      <c r="C1113" t="s">
        <v>221</v>
      </c>
      <c r="D1113">
        <v>12</v>
      </c>
      <c r="E1113" t="s">
        <v>2557</v>
      </c>
      <c r="F1113" t="s">
        <v>211</v>
      </c>
      <c r="G1113" t="s">
        <v>519</v>
      </c>
      <c r="H1113" t="s">
        <v>2558</v>
      </c>
      <c r="I1113" t="s">
        <v>155</v>
      </c>
      <c r="J1113" s="3" t="s">
        <v>2571</v>
      </c>
      <c r="K1113" t="s">
        <v>2572</v>
      </c>
      <c r="L1113" s="4">
        <v>59</v>
      </c>
      <c r="M1113" s="4">
        <v>0</v>
      </c>
      <c r="N1113">
        <v>59</v>
      </c>
      <c r="O1113" t="s">
        <v>176</v>
      </c>
      <c r="P1113">
        <v>116</v>
      </c>
      <c r="Q1113">
        <f>QtyRemaining*EstMfgMin/60</f>
        <v>114.06666666666666</v>
      </c>
      <c r="R1113" t="s">
        <v>2566</v>
      </c>
      <c r="U1113" t="e">
        <f t="shared" si="36"/>
        <v>#REF!</v>
      </c>
      <c r="V1113" s="5" t="e">
        <f t="shared" si="37"/>
        <v>#REF!</v>
      </c>
    </row>
    <row r="1114" spans="1:22" x14ac:dyDescent="0.25">
      <c r="A1114" s="2">
        <v>46097</v>
      </c>
      <c r="B1114" s="2">
        <v>45951</v>
      </c>
      <c r="C1114" t="s">
        <v>221</v>
      </c>
      <c r="D1114">
        <v>12</v>
      </c>
      <c r="E1114" t="s">
        <v>2557</v>
      </c>
      <c r="F1114" t="s">
        <v>211</v>
      </c>
      <c r="G1114" t="s">
        <v>519</v>
      </c>
      <c r="H1114" t="s">
        <v>2558</v>
      </c>
      <c r="I1114" t="s">
        <v>155</v>
      </c>
      <c r="J1114" s="3" t="s">
        <v>2571</v>
      </c>
      <c r="K1114" t="s">
        <v>2572</v>
      </c>
      <c r="L1114" s="4">
        <v>6</v>
      </c>
      <c r="M1114" s="4">
        <v>0</v>
      </c>
      <c r="N1114">
        <v>6</v>
      </c>
      <c r="O1114" t="s">
        <v>176</v>
      </c>
      <c r="P1114">
        <v>116</v>
      </c>
      <c r="Q1114">
        <f>QtyRemaining*EstMfgMin/60</f>
        <v>11.6</v>
      </c>
      <c r="R1114" t="s">
        <v>2566</v>
      </c>
      <c r="U1114" t="e">
        <f t="shared" si="36"/>
        <v>#REF!</v>
      </c>
      <c r="V1114" s="5" t="e">
        <f t="shared" si="37"/>
        <v>#REF!</v>
      </c>
    </row>
    <row r="1115" spans="1:22" x14ac:dyDescent="0.25">
      <c r="A1115" s="2">
        <v>46097</v>
      </c>
      <c r="B1115" s="2">
        <v>45951</v>
      </c>
      <c r="C1115" t="s">
        <v>221</v>
      </c>
      <c r="D1115">
        <v>12</v>
      </c>
      <c r="E1115" t="s">
        <v>2557</v>
      </c>
      <c r="F1115" t="s">
        <v>211</v>
      </c>
      <c r="G1115" t="s">
        <v>519</v>
      </c>
      <c r="H1115" t="s">
        <v>2558</v>
      </c>
      <c r="I1115" t="s">
        <v>155</v>
      </c>
      <c r="J1115" s="3" t="s">
        <v>2573</v>
      </c>
      <c r="K1115" t="s">
        <v>2574</v>
      </c>
      <c r="L1115" s="4">
        <v>59</v>
      </c>
      <c r="M1115" s="4">
        <v>0</v>
      </c>
      <c r="N1115">
        <v>59</v>
      </c>
      <c r="O1115" t="s">
        <v>118</v>
      </c>
      <c r="P1115">
        <v>29</v>
      </c>
      <c r="Q1115">
        <f>QtyRemaining*EstMfgMin/60</f>
        <v>28.516666666666666</v>
      </c>
      <c r="R1115" t="s">
        <v>2575</v>
      </c>
      <c r="U1115" t="e">
        <f t="shared" si="36"/>
        <v>#REF!</v>
      </c>
      <c r="V1115" s="5" t="e">
        <f t="shared" si="37"/>
        <v>#REF!</v>
      </c>
    </row>
    <row r="1116" spans="1:22" x14ac:dyDescent="0.25">
      <c r="A1116" s="2">
        <v>46097</v>
      </c>
      <c r="B1116" s="2">
        <v>45951</v>
      </c>
      <c r="C1116" t="s">
        <v>221</v>
      </c>
      <c r="D1116">
        <v>12</v>
      </c>
      <c r="E1116" t="s">
        <v>2557</v>
      </c>
      <c r="F1116" t="s">
        <v>211</v>
      </c>
      <c r="G1116" t="s">
        <v>519</v>
      </c>
      <c r="H1116" t="s">
        <v>2558</v>
      </c>
      <c r="I1116" t="s">
        <v>155</v>
      </c>
      <c r="J1116" s="3" t="s">
        <v>2573</v>
      </c>
      <c r="K1116" t="s">
        <v>2574</v>
      </c>
      <c r="L1116" s="4">
        <v>6</v>
      </c>
      <c r="M1116" s="4">
        <v>0</v>
      </c>
      <c r="N1116">
        <v>6</v>
      </c>
      <c r="O1116" t="s">
        <v>118</v>
      </c>
      <c r="P1116">
        <v>29</v>
      </c>
      <c r="Q1116">
        <f>QtyRemaining*EstMfgMin/60</f>
        <v>2.9</v>
      </c>
      <c r="R1116" t="s">
        <v>2575</v>
      </c>
      <c r="U1116" t="e">
        <f t="shared" si="36"/>
        <v>#REF!</v>
      </c>
      <c r="V1116" s="5" t="e">
        <f t="shared" si="37"/>
        <v>#REF!</v>
      </c>
    </row>
    <row r="1117" spans="1:22" x14ac:dyDescent="0.25">
      <c r="A1117" s="2">
        <v>46097</v>
      </c>
      <c r="B1117" s="2">
        <v>45951</v>
      </c>
      <c r="C1117" t="s">
        <v>221</v>
      </c>
      <c r="D1117">
        <v>12</v>
      </c>
      <c r="E1117" t="s">
        <v>2557</v>
      </c>
      <c r="F1117" t="s">
        <v>211</v>
      </c>
      <c r="G1117" t="s">
        <v>519</v>
      </c>
      <c r="H1117" t="s">
        <v>2558</v>
      </c>
      <c r="I1117" t="s">
        <v>155</v>
      </c>
      <c r="J1117" s="3" t="s">
        <v>2576</v>
      </c>
      <c r="K1117" t="s">
        <v>2577</v>
      </c>
      <c r="L1117" s="4">
        <v>59</v>
      </c>
      <c r="M1117" s="4">
        <v>0</v>
      </c>
      <c r="N1117">
        <v>59</v>
      </c>
      <c r="O1117" t="s">
        <v>176</v>
      </c>
      <c r="P1117">
        <v>4</v>
      </c>
      <c r="Q1117">
        <f>QtyRemaining*EstMfgMin/60</f>
        <v>3.9333333333333331</v>
      </c>
      <c r="R1117" t="s">
        <v>2578</v>
      </c>
      <c r="U1117" t="e">
        <f t="shared" si="36"/>
        <v>#REF!</v>
      </c>
      <c r="V1117" s="5" t="e">
        <f t="shared" si="37"/>
        <v>#REF!</v>
      </c>
    </row>
    <row r="1118" spans="1:22" x14ac:dyDescent="0.25">
      <c r="A1118" s="2">
        <v>46097</v>
      </c>
      <c r="B1118" s="2">
        <v>45951</v>
      </c>
      <c r="C1118" t="s">
        <v>221</v>
      </c>
      <c r="D1118">
        <v>12</v>
      </c>
      <c r="E1118" t="s">
        <v>2557</v>
      </c>
      <c r="F1118" t="s">
        <v>211</v>
      </c>
      <c r="G1118" t="s">
        <v>519</v>
      </c>
      <c r="H1118" t="s">
        <v>2558</v>
      </c>
      <c r="I1118" t="s">
        <v>155</v>
      </c>
      <c r="J1118" s="3" t="s">
        <v>2579</v>
      </c>
      <c r="K1118" t="s">
        <v>2580</v>
      </c>
      <c r="L1118" s="4">
        <v>59</v>
      </c>
      <c r="M1118" s="4">
        <v>0</v>
      </c>
      <c r="N1118">
        <v>59</v>
      </c>
      <c r="O1118" t="s">
        <v>176</v>
      </c>
      <c r="P1118">
        <v>4</v>
      </c>
      <c r="Q1118">
        <f>QtyRemaining*EstMfgMin/60</f>
        <v>3.9333333333333331</v>
      </c>
      <c r="R1118" t="s">
        <v>2581</v>
      </c>
      <c r="U1118" t="e">
        <f t="shared" si="36"/>
        <v>#REF!</v>
      </c>
      <c r="V1118" s="5" t="e">
        <f t="shared" si="37"/>
        <v>#REF!</v>
      </c>
    </row>
    <row r="1119" spans="1:22" x14ac:dyDescent="0.25">
      <c r="A1119" s="2">
        <v>46097</v>
      </c>
      <c r="B1119" s="2">
        <v>45951</v>
      </c>
      <c r="C1119" t="s">
        <v>221</v>
      </c>
      <c r="D1119">
        <v>12</v>
      </c>
      <c r="E1119" t="s">
        <v>2557</v>
      </c>
      <c r="F1119" t="s">
        <v>211</v>
      </c>
      <c r="G1119" t="s">
        <v>519</v>
      </c>
      <c r="H1119" t="s">
        <v>2558</v>
      </c>
      <c r="I1119" t="s">
        <v>155</v>
      </c>
      <c r="J1119" s="3" t="s">
        <v>2582</v>
      </c>
      <c r="K1119" t="s">
        <v>2583</v>
      </c>
      <c r="L1119" s="4">
        <v>3</v>
      </c>
      <c r="M1119" s="4">
        <v>0</v>
      </c>
      <c r="N1119">
        <v>3</v>
      </c>
      <c r="O1119" t="s">
        <v>118</v>
      </c>
      <c r="P1119">
        <v>124</v>
      </c>
      <c r="Q1119">
        <f>QtyRemaining*EstMfgMin/60</f>
        <v>6.2</v>
      </c>
      <c r="R1119" t="s">
        <v>2584</v>
      </c>
      <c r="U1119" t="e">
        <f t="shared" si="36"/>
        <v>#REF!</v>
      </c>
      <c r="V1119" s="5" t="e">
        <f t="shared" si="37"/>
        <v>#REF!</v>
      </c>
    </row>
    <row r="1120" spans="1:22" x14ac:dyDescent="0.25">
      <c r="A1120" s="2">
        <v>46097</v>
      </c>
      <c r="B1120" s="2">
        <v>45951</v>
      </c>
      <c r="C1120" t="s">
        <v>221</v>
      </c>
      <c r="D1120">
        <v>12</v>
      </c>
      <c r="E1120" t="s">
        <v>2557</v>
      </c>
      <c r="F1120" t="s">
        <v>211</v>
      </c>
      <c r="G1120" t="s">
        <v>519</v>
      </c>
      <c r="H1120" t="s">
        <v>2558</v>
      </c>
      <c r="I1120" t="s">
        <v>155</v>
      </c>
      <c r="J1120" s="3" t="s">
        <v>2585</v>
      </c>
      <c r="K1120" t="s">
        <v>2583</v>
      </c>
      <c r="L1120" s="4">
        <v>3</v>
      </c>
      <c r="M1120" s="4">
        <v>0</v>
      </c>
      <c r="N1120">
        <v>3</v>
      </c>
      <c r="O1120" t="s">
        <v>118</v>
      </c>
      <c r="P1120">
        <v>102</v>
      </c>
      <c r="Q1120">
        <f>QtyRemaining*EstMfgMin/60</f>
        <v>5.0999999999999996</v>
      </c>
      <c r="R1120" t="s">
        <v>2584</v>
      </c>
      <c r="U1120" t="e">
        <f t="shared" si="36"/>
        <v>#REF!</v>
      </c>
      <c r="V1120" s="5" t="e">
        <f t="shared" si="37"/>
        <v>#REF!</v>
      </c>
    </row>
    <row r="1121" spans="1:22" x14ac:dyDescent="0.25">
      <c r="A1121" s="2">
        <v>46097</v>
      </c>
      <c r="B1121" s="2">
        <v>45951</v>
      </c>
      <c r="C1121" t="s">
        <v>221</v>
      </c>
      <c r="D1121">
        <v>12</v>
      </c>
      <c r="E1121" t="s">
        <v>2557</v>
      </c>
      <c r="F1121" t="s">
        <v>211</v>
      </c>
      <c r="G1121" t="s">
        <v>519</v>
      </c>
      <c r="H1121" t="s">
        <v>2558</v>
      </c>
      <c r="I1121" t="s">
        <v>155</v>
      </c>
      <c r="J1121" s="3" t="s">
        <v>2586</v>
      </c>
      <c r="K1121" t="s">
        <v>2587</v>
      </c>
      <c r="L1121" s="4">
        <v>3</v>
      </c>
      <c r="M1121" s="4">
        <v>0</v>
      </c>
      <c r="N1121">
        <v>3</v>
      </c>
      <c r="O1121" t="s">
        <v>118</v>
      </c>
      <c r="P1121">
        <v>92.5</v>
      </c>
      <c r="Q1121">
        <f>QtyRemaining*EstMfgMin/60</f>
        <v>4.625</v>
      </c>
      <c r="R1121" t="s">
        <v>2584</v>
      </c>
      <c r="U1121" t="e">
        <f t="shared" si="36"/>
        <v>#REF!</v>
      </c>
      <c r="V1121" s="5" t="e">
        <f t="shared" si="37"/>
        <v>#REF!</v>
      </c>
    </row>
    <row r="1122" spans="1:22" x14ac:dyDescent="0.25">
      <c r="A1122" s="2">
        <v>46097</v>
      </c>
      <c r="B1122" s="2">
        <v>45951</v>
      </c>
      <c r="C1122" t="s">
        <v>221</v>
      </c>
      <c r="D1122">
        <v>12</v>
      </c>
      <c r="E1122" t="s">
        <v>2557</v>
      </c>
      <c r="F1122" t="s">
        <v>211</v>
      </c>
      <c r="G1122" t="s">
        <v>519</v>
      </c>
      <c r="H1122" t="s">
        <v>2558</v>
      </c>
      <c r="I1122" t="s">
        <v>155</v>
      </c>
      <c r="J1122" s="3" t="s">
        <v>2588</v>
      </c>
      <c r="K1122" t="s">
        <v>2587</v>
      </c>
      <c r="L1122" s="4">
        <v>3</v>
      </c>
      <c r="M1122" s="4">
        <v>0</v>
      </c>
      <c r="N1122">
        <v>3</v>
      </c>
      <c r="O1122" t="s">
        <v>118</v>
      </c>
      <c r="P1122">
        <v>88</v>
      </c>
      <c r="Q1122">
        <f>QtyRemaining*EstMfgMin/60</f>
        <v>4.4000000000000004</v>
      </c>
      <c r="R1122" t="s">
        <v>2584</v>
      </c>
      <c r="U1122" t="e">
        <f t="shared" si="36"/>
        <v>#REF!</v>
      </c>
      <c r="V1122" s="5" t="e">
        <f t="shared" si="37"/>
        <v>#REF!</v>
      </c>
    </row>
    <row r="1123" spans="1:22" x14ac:dyDescent="0.25">
      <c r="A1123" s="2">
        <v>46097</v>
      </c>
      <c r="B1123" s="2">
        <v>45951</v>
      </c>
      <c r="C1123" t="s">
        <v>221</v>
      </c>
      <c r="D1123">
        <v>12</v>
      </c>
      <c r="E1123" t="s">
        <v>2557</v>
      </c>
      <c r="F1123" t="s">
        <v>211</v>
      </c>
      <c r="G1123" t="s">
        <v>519</v>
      </c>
      <c r="H1123" t="s">
        <v>2558</v>
      </c>
      <c r="I1123" t="s">
        <v>155</v>
      </c>
      <c r="J1123" s="3" t="s">
        <v>2589</v>
      </c>
      <c r="K1123" t="s">
        <v>2587</v>
      </c>
      <c r="L1123" s="4">
        <v>3</v>
      </c>
      <c r="M1123" s="4">
        <v>0</v>
      </c>
      <c r="N1123">
        <v>3</v>
      </c>
      <c r="O1123" t="s">
        <v>118</v>
      </c>
      <c r="P1123">
        <v>11</v>
      </c>
      <c r="Q1123">
        <f>QtyRemaining*EstMfgMin/60</f>
        <v>0.55000000000000004</v>
      </c>
      <c r="R1123" t="s">
        <v>2590</v>
      </c>
      <c r="U1123" t="e">
        <f t="shared" si="36"/>
        <v>#REF!</v>
      </c>
      <c r="V1123" s="5" t="e">
        <f t="shared" si="37"/>
        <v>#REF!</v>
      </c>
    </row>
    <row r="1124" spans="1:22" x14ac:dyDescent="0.25">
      <c r="A1124" s="2">
        <v>46097</v>
      </c>
      <c r="B1124" s="2">
        <v>45951</v>
      </c>
      <c r="C1124" t="s">
        <v>221</v>
      </c>
      <c r="D1124">
        <v>12</v>
      </c>
      <c r="E1124" t="s">
        <v>2557</v>
      </c>
      <c r="F1124" t="s">
        <v>211</v>
      </c>
      <c r="G1124" t="s">
        <v>519</v>
      </c>
      <c r="H1124" t="s">
        <v>2558</v>
      </c>
      <c r="I1124" t="s">
        <v>155</v>
      </c>
      <c r="J1124" s="3" t="s">
        <v>2591</v>
      </c>
      <c r="K1124" t="s">
        <v>2592</v>
      </c>
      <c r="L1124" s="4">
        <v>56</v>
      </c>
      <c r="M1124" s="4">
        <v>0</v>
      </c>
      <c r="N1124">
        <v>56</v>
      </c>
      <c r="O1124" t="s">
        <v>2287</v>
      </c>
      <c r="P1124">
        <v>12</v>
      </c>
      <c r="Q1124">
        <f>QtyRemaining*EstMfgMin/60</f>
        <v>11.2</v>
      </c>
      <c r="R1124" t="s">
        <v>2593</v>
      </c>
      <c r="U1124" t="e">
        <f t="shared" si="36"/>
        <v>#REF!</v>
      </c>
      <c r="V1124" s="5" t="e">
        <f t="shared" si="37"/>
        <v>#REF!</v>
      </c>
    </row>
    <row r="1125" spans="1:22" x14ac:dyDescent="0.25">
      <c r="A1125" s="2">
        <v>46097</v>
      </c>
      <c r="B1125" s="2">
        <v>45951</v>
      </c>
      <c r="C1125" t="s">
        <v>221</v>
      </c>
      <c r="D1125">
        <v>12</v>
      </c>
      <c r="E1125" t="s">
        <v>2557</v>
      </c>
      <c r="F1125" t="s">
        <v>211</v>
      </c>
      <c r="G1125" t="s">
        <v>519</v>
      </c>
      <c r="H1125" t="s">
        <v>2558</v>
      </c>
      <c r="I1125" t="s">
        <v>155</v>
      </c>
      <c r="J1125" s="3" t="s">
        <v>2591</v>
      </c>
      <c r="K1125" t="s">
        <v>2592</v>
      </c>
      <c r="L1125" s="4">
        <v>5</v>
      </c>
      <c r="M1125" s="4">
        <v>0</v>
      </c>
      <c r="N1125">
        <v>5</v>
      </c>
      <c r="O1125" t="s">
        <v>2287</v>
      </c>
      <c r="P1125">
        <v>12</v>
      </c>
      <c r="Q1125">
        <f>QtyRemaining*EstMfgMin/60</f>
        <v>1</v>
      </c>
      <c r="R1125" t="s">
        <v>2593</v>
      </c>
      <c r="U1125" t="e">
        <f t="shared" si="36"/>
        <v>#REF!</v>
      </c>
      <c r="V1125" s="5" t="e">
        <f t="shared" si="37"/>
        <v>#REF!</v>
      </c>
    </row>
    <row r="1126" spans="1:22" x14ac:dyDescent="0.25">
      <c r="A1126" s="2">
        <v>46097</v>
      </c>
      <c r="B1126" s="2">
        <v>45951</v>
      </c>
      <c r="C1126" t="s">
        <v>221</v>
      </c>
      <c r="D1126">
        <v>12</v>
      </c>
      <c r="E1126" t="s">
        <v>2557</v>
      </c>
      <c r="F1126" t="s">
        <v>211</v>
      </c>
      <c r="G1126" t="s">
        <v>519</v>
      </c>
      <c r="H1126" t="s">
        <v>2558</v>
      </c>
      <c r="I1126" t="s">
        <v>155</v>
      </c>
      <c r="J1126" s="3" t="s">
        <v>2594</v>
      </c>
      <c r="K1126" t="s">
        <v>2592</v>
      </c>
      <c r="L1126" s="4">
        <v>56</v>
      </c>
      <c r="M1126" s="4">
        <v>0</v>
      </c>
      <c r="N1126">
        <v>56</v>
      </c>
      <c r="O1126" t="s">
        <v>2287</v>
      </c>
      <c r="P1126">
        <v>4</v>
      </c>
      <c r="Q1126">
        <f>QtyRemaining*EstMfgMin/60</f>
        <v>3.7333333333333334</v>
      </c>
      <c r="R1126" t="s">
        <v>2581</v>
      </c>
      <c r="U1126" t="e">
        <f t="shared" si="36"/>
        <v>#REF!</v>
      </c>
      <c r="V1126" s="5" t="e">
        <f t="shared" si="37"/>
        <v>#REF!</v>
      </c>
    </row>
    <row r="1127" spans="1:22" x14ac:dyDescent="0.25">
      <c r="A1127" s="2">
        <v>46097</v>
      </c>
      <c r="B1127" s="2">
        <v>45951</v>
      </c>
      <c r="C1127" t="s">
        <v>221</v>
      </c>
      <c r="D1127">
        <v>12</v>
      </c>
      <c r="E1127" t="s">
        <v>2557</v>
      </c>
      <c r="F1127" t="s">
        <v>211</v>
      </c>
      <c r="G1127" t="s">
        <v>519</v>
      </c>
      <c r="H1127" t="s">
        <v>2558</v>
      </c>
      <c r="I1127" t="s">
        <v>155</v>
      </c>
      <c r="J1127" s="3" t="s">
        <v>2594</v>
      </c>
      <c r="K1127" t="s">
        <v>2592</v>
      </c>
      <c r="L1127" s="4">
        <v>5</v>
      </c>
      <c r="M1127" s="4">
        <v>0</v>
      </c>
      <c r="N1127">
        <v>5</v>
      </c>
      <c r="O1127" t="s">
        <v>2287</v>
      </c>
      <c r="P1127">
        <v>4</v>
      </c>
      <c r="Q1127">
        <f>QtyRemaining*EstMfgMin/60</f>
        <v>0.33333333333333331</v>
      </c>
      <c r="R1127" t="s">
        <v>2581</v>
      </c>
      <c r="U1127" t="e">
        <f t="shared" si="36"/>
        <v>#REF!</v>
      </c>
      <c r="V1127" s="5" t="e">
        <f t="shared" si="37"/>
        <v>#REF!</v>
      </c>
    </row>
    <row r="1128" spans="1:22" x14ac:dyDescent="0.25">
      <c r="A1128" s="2">
        <v>46097</v>
      </c>
      <c r="B1128" s="2">
        <v>45951</v>
      </c>
      <c r="C1128" t="s">
        <v>221</v>
      </c>
      <c r="D1128">
        <v>12</v>
      </c>
      <c r="E1128" t="s">
        <v>2557</v>
      </c>
      <c r="F1128" t="s">
        <v>211</v>
      </c>
      <c r="G1128" t="s">
        <v>519</v>
      </c>
      <c r="H1128" t="s">
        <v>2558</v>
      </c>
      <c r="I1128" t="s">
        <v>155</v>
      </c>
      <c r="J1128" s="3" t="s">
        <v>2595</v>
      </c>
      <c r="K1128" t="s">
        <v>2592</v>
      </c>
      <c r="L1128" s="4">
        <v>56</v>
      </c>
      <c r="M1128" s="4">
        <v>0</v>
      </c>
      <c r="N1128">
        <v>56</v>
      </c>
      <c r="O1128" t="s">
        <v>2596</v>
      </c>
      <c r="P1128">
        <v>85</v>
      </c>
      <c r="Q1128">
        <f>QtyRemaining*EstMfgMin/60</f>
        <v>79.333333333333329</v>
      </c>
      <c r="R1128" t="s">
        <v>2597</v>
      </c>
      <c r="U1128" t="e">
        <f t="shared" si="36"/>
        <v>#REF!</v>
      </c>
      <c r="V1128" s="5" t="e">
        <f t="shared" si="37"/>
        <v>#REF!</v>
      </c>
    </row>
    <row r="1129" spans="1:22" x14ac:dyDescent="0.25">
      <c r="A1129" s="2">
        <v>46097</v>
      </c>
      <c r="B1129" s="2">
        <v>45951</v>
      </c>
      <c r="C1129" t="s">
        <v>221</v>
      </c>
      <c r="D1129">
        <v>12</v>
      </c>
      <c r="E1129" t="s">
        <v>2557</v>
      </c>
      <c r="F1129" t="s">
        <v>211</v>
      </c>
      <c r="G1129" t="s">
        <v>519</v>
      </c>
      <c r="H1129" t="s">
        <v>2558</v>
      </c>
      <c r="I1129" t="s">
        <v>155</v>
      </c>
      <c r="J1129" s="3" t="s">
        <v>2595</v>
      </c>
      <c r="K1129" t="s">
        <v>2592</v>
      </c>
      <c r="L1129" s="4">
        <v>5</v>
      </c>
      <c r="M1129" s="4">
        <v>0</v>
      </c>
      <c r="N1129">
        <v>5</v>
      </c>
      <c r="O1129" t="s">
        <v>2596</v>
      </c>
      <c r="P1129">
        <v>85</v>
      </c>
      <c r="Q1129">
        <f>QtyRemaining*EstMfgMin/60</f>
        <v>7.083333333333333</v>
      </c>
      <c r="R1129" t="s">
        <v>2597</v>
      </c>
      <c r="U1129" t="e">
        <f t="shared" si="36"/>
        <v>#REF!</v>
      </c>
      <c r="V1129" s="5" t="e">
        <f t="shared" si="37"/>
        <v>#REF!</v>
      </c>
    </row>
    <row r="1130" spans="1:22" x14ac:dyDescent="0.25">
      <c r="A1130" s="2">
        <v>46097</v>
      </c>
      <c r="B1130" s="2">
        <v>45951</v>
      </c>
      <c r="C1130" t="s">
        <v>221</v>
      </c>
      <c r="D1130">
        <v>12</v>
      </c>
      <c r="E1130" t="s">
        <v>2557</v>
      </c>
      <c r="F1130" t="s">
        <v>211</v>
      </c>
      <c r="G1130" t="s">
        <v>519</v>
      </c>
      <c r="H1130" t="s">
        <v>2558</v>
      </c>
      <c r="I1130" t="s">
        <v>155</v>
      </c>
      <c r="J1130" s="3" t="s">
        <v>2598</v>
      </c>
      <c r="K1130" t="s">
        <v>2599</v>
      </c>
      <c r="L1130" s="4">
        <v>56</v>
      </c>
      <c r="M1130" s="4">
        <v>0</v>
      </c>
      <c r="N1130">
        <v>56</v>
      </c>
      <c r="O1130" t="s">
        <v>2600</v>
      </c>
      <c r="P1130">
        <v>5</v>
      </c>
      <c r="Q1130">
        <f>QtyRemaining*EstMfgMin/60</f>
        <v>4.666666666666667</v>
      </c>
      <c r="R1130" t="s">
        <v>2601</v>
      </c>
      <c r="U1130" t="e">
        <f t="shared" si="36"/>
        <v>#REF!</v>
      </c>
      <c r="V1130" s="5" t="e">
        <f t="shared" si="37"/>
        <v>#REF!</v>
      </c>
    </row>
    <row r="1131" spans="1:22" x14ac:dyDescent="0.25">
      <c r="A1131" s="2">
        <v>46097</v>
      </c>
      <c r="B1131" s="2">
        <v>45951</v>
      </c>
      <c r="C1131" t="s">
        <v>221</v>
      </c>
      <c r="D1131">
        <v>12</v>
      </c>
      <c r="E1131" t="s">
        <v>2557</v>
      </c>
      <c r="F1131" t="s">
        <v>211</v>
      </c>
      <c r="G1131" t="s">
        <v>519</v>
      </c>
      <c r="H1131" t="s">
        <v>2558</v>
      </c>
      <c r="I1131" t="s">
        <v>155</v>
      </c>
      <c r="J1131" s="3" t="s">
        <v>2598</v>
      </c>
      <c r="K1131" t="s">
        <v>2599</v>
      </c>
      <c r="L1131" s="4">
        <v>5</v>
      </c>
      <c r="M1131" s="4">
        <v>0</v>
      </c>
      <c r="N1131">
        <v>5</v>
      </c>
      <c r="O1131" t="s">
        <v>2600</v>
      </c>
      <c r="P1131">
        <v>5</v>
      </c>
      <c r="Q1131">
        <f>QtyRemaining*EstMfgMin/60</f>
        <v>0.41666666666666669</v>
      </c>
      <c r="R1131" t="s">
        <v>2601</v>
      </c>
      <c r="U1131" t="e">
        <f t="shared" si="36"/>
        <v>#REF!</v>
      </c>
      <c r="V1131" s="5" t="e">
        <f t="shared" si="37"/>
        <v>#REF!</v>
      </c>
    </row>
    <row r="1132" spans="1:22" x14ac:dyDescent="0.25">
      <c r="A1132" s="2">
        <v>46097</v>
      </c>
      <c r="B1132" s="2">
        <v>45951</v>
      </c>
      <c r="C1132" t="s">
        <v>221</v>
      </c>
      <c r="D1132">
        <v>12</v>
      </c>
      <c r="E1132" t="s">
        <v>2557</v>
      </c>
      <c r="F1132" t="s">
        <v>211</v>
      </c>
      <c r="G1132" t="s">
        <v>519</v>
      </c>
      <c r="H1132" t="s">
        <v>2558</v>
      </c>
      <c r="I1132" t="s">
        <v>155</v>
      </c>
      <c r="J1132" s="3" t="s">
        <v>2602</v>
      </c>
      <c r="K1132" t="s">
        <v>2599</v>
      </c>
      <c r="L1132" s="4">
        <v>56</v>
      </c>
      <c r="M1132" s="4">
        <v>0</v>
      </c>
      <c r="N1132">
        <v>56</v>
      </c>
      <c r="O1132" t="s">
        <v>2603</v>
      </c>
      <c r="P1132">
        <v>5</v>
      </c>
      <c r="Q1132">
        <f>QtyRemaining*EstMfgMin/60</f>
        <v>4.666666666666667</v>
      </c>
      <c r="R1132" t="s">
        <v>2601</v>
      </c>
      <c r="U1132" t="e">
        <f t="shared" si="36"/>
        <v>#REF!</v>
      </c>
      <c r="V1132" s="5" t="e">
        <f t="shared" si="37"/>
        <v>#REF!</v>
      </c>
    </row>
    <row r="1133" spans="1:22" x14ac:dyDescent="0.25">
      <c r="A1133" s="2">
        <v>46097</v>
      </c>
      <c r="B1133" s="2">
        <v>45951</v>
      </c>
      <c r="C1133" t="s">
        <v>221</v>
      </c>
      <c r="D1133">
        <v>12</v>
      </c>
      <c r="E1133" t="s">
        <v>2557</v>
      </c>
      <c r="F1133" t="s">
        <v>211</v>
      </c>
      <c r="G1133" t="s">
        <v>519</v>
      </c>
      <c r="H1133" t="s">
        <v>2558</v>
      </c>
      <c r="I1133" t="s">
        <v>155</v>
      </c>
      <c r="J1133" s="3" t="s">
        <v>2602</v>
      </c>
      <c r="K1133" t="s">
        <v>2599</v>
      </c>
      <c r="L1133" s="4">
        <v>5</v>
      </c>
      <c r="M1133" s="4">
        <v>0</v>
      </c>
      <c r="N1133">
        <v>5</v>
      </c>
      <c r="O1133" t="s">
        <v>2603</v>
      </c>
      <c r="P1133">
        <v>5</v>
      </c>
      <c r="Q1133">
        <f>QtyRemaining*EstMfgMin/60</f>
        <v>0.41666666666666669</v>
      </c>
      <c r="R1133" t="s">
        <v>2601</v>
      </c>
      <c r="U1133" t="e">
        <f t="shared" si="36"/>
        <v>#REF!</v>
      </c>
      <c r="V1133" s="5" t="e">
        <f t="shared" si="37"/>
        <v>#REF!</v>
      </c>
    </row>
    <row r="1134" spans="1:22" x14ac:dyDescent="0.25">
      <c r="A1134" s="2">
        <v>46097</v>
      </c>
      <c r="B1134" s="2">
        <v>45951</v>
      </c>
      <c r="C1134" t="s">
        <v>221</v>
      </c>
      <c r="D1134">
        <v>12</v>
      </c>
      <c r="E1134" t="s">
        <v>2557</v>
      </c>
      <c r="F1134" t="s">
        <v>211</v>
      </c>
      <c r="G1134" t="s">
        <v>519</v>
      </c>
      <c r="H1134" t="s">
        <v>2558</v>
      </c>
      <c r="I1134" t="s">
        <v>155</v>
      </c>
      <c r="J1134" s="3" t="s">
        <v>2604</v>
      </c>
      <c r="K1134" t="s">
        <v>2592</v>
      </c>
      <c r="L1134" s="4">
        <v>56</v>
      </c>
      <c r="M1134" s="4">
        <v>0</v>
      </c>
      <c r="N1134">
        <v>56</v>
      </c>
      <c r="O1134" t="s">
        <v>2287</v>
      </c>
      <c r="P1134">
        <v>25</v>
      </c>
      <c r="Q1134">
        <f>QtyRemaining*EstMfgMin/60</f>
        <v>23.333333333333332</v>
      </c>
      <c r="R1134" t="s">
        <v>2605</v>
      </c>
      <c r="U1134" t="e">
        <f t="shared" si="36"/>
        <v>#REF!</v>
      </c>
      <c r="V1134" s="5" t="e">
        <f t="shared" si="37"/>
        <v>#REF!</v>
      </c>
    </row>
    <row r="1135" spans="1:22" x14ac:dyDescent="0.25">
      <c r="A1135" s="2">
        <v>46097</v>
      </c>
      <c r="B1135" s="2">
        <v>45951</v>
      </c>
      <c r="C1135" t="s">
        <v>221</v>
      </c>
      <c r="D1135">
        <v>12</v>
      </c>
      <c r="E1135" t="s">
        <v>2557</v>
      </c>
      <c r="F1135" t="s">
        <v>211</v>
      </c>
      <c r="G1135" t="s">
        <v>519</v>
      </c>
      <c r="H1135" t="s">
        <v>2558</v>
      </c>
      <c r="I1135" t="s">
        <v>155</v>
      </c>
      <c r="J1135" s="3" t="s">
        <v>2604</v>
      </c>
      <c r="K1135" t="s">
        <v>2592</v>
      </c>
      <c r="L1135" s="4">
        <v>5</v>
      </c>
      <c r="M1135" s="4">
        <v>0</v>
      </c>
      <c r="N1135">
        <v>5</v>
      </c>
      <c r="O1135" t="s">
        <v>2287</v>
      </c>
      <c r="P1135">
        <v>25</v>
      </c>
      <c r="Q1135">
        <f>QtyRemaining*EstMfgMin/60</f>
        <v>2.0833333333333335</v>
      </c>
      <c r="R1135" t="s">
        <v>2593</v>
      </c>
      <c r="U1135" t="e">
        <f t="shared" si="36"/>
        <v>#REF!</v>
      </c>
      <c r="V1135" s="5" t="e">
        <f t="shared" si="37"/>
        <v>#REF!</v>
      </c>
    </row>
    <row r="1136" spans="1:22" x14ac:dyDescent="0.25">
      <c r="A1136" s="2">
        <v>46097</v>
      </c>
      <c r="B1136" s="2">
        <v>45951</v>
      </c>
      <c r="C1136" t="s">
        <v>221</v>
      </c>
      <c r="D1136">
        <v>12</v>
      </c>
      <c r="E1136" t="s">
        <v>2557</v>
      </c>
      <c r="F1136" t="s">
        <v>211</v>
      </c>
      <c r="G1136" t="s">
        <v>519</v>
      </c>
      <c r="H1136" t="s">
        <v>2558</v>
      </c>
      <c r="I1136" t="s">
        <v>155</v>
      </c>
      <c r="J1136" s="3" t="s">
        <v>2606</v>
      </c>
      <c r="K1136" t="s">
        <v>2592</v>
      </c>
      <c r="L1136" s="4">
        <v>132</v>
      </c>
      <c r="M1136" s="4">
        <v>0</v>
      </c>
      <c r="N1136">
        <v>132</v>
      </c>
      <c r="O1136" t="s">
        <v>2600</v>
      </c>
      <c r="P1136">
        <v>5</v>
      </c>
      <c r="Q1136">
        <f>QtyRemaining*EstMfgMin/60</f>
        <v>11</v>
      </c>
      <c r="R1136" t="s">
        <v>2590</v>
      </c>
      <c r="U1136" t="e">
        <f t="shared" si="36"/>
        <v>#REF!</v>
      </c>
      <c r="V1136" s="5" t="e">
        <f t="shared" si="37"/>
        <v>#REF!</v>
      </c>
    </row>
    <row r="1137" spans="1:22" x14ac:dyDescent="0.25">
      <c r="A1137" s="2">
        <v>46097</v>
      </c>
      <c r="B1137" s="2">
        <v>45951</v>
      </c>
      <c r="C1137" t="s">
        <v>221</v>
      </c>
      <c r="D1137">
        <v>12</v>
      </c>
      <c r="E1137" t="s">
        <v>2557</v>
      </c>
      <c r="F1137" t="s">
        <v>211</v>
      </c>
      <c r="G1137" t="s">
        <v>519</v>
      </c>
      <c r="H1137" t="s">
        <v>2558</v>
      </c>
      <c r="I1137" t="s">
        <v>155</v>
      </c>
      <c r="J1137" s="3" t="s">
        <v>2606</v>
      </c>
      <c r="K1137" t="s">
        <v>2592</v>
      </c>
      <c r="L1137" s="4">
        <v>5</v>
      </c>
      <c r="M1137" s="4">
        <v>0</v>
      </c>
      <c r="N1137">
        <v>5</v>
      </c>
      <c r="O1137" t="s">
        <v>2600</v>
      </c>
      <c r="P1137">
        <v>5</v>
      </c>
      <c r="Q1137">
        <f>QtyRemaining*EstMfgMin/60</f>
        <v>0.41666666666666669</v>
      </c>
      <c r="R1137" t="s">
        <v>2590</v>
      </c>
      <c r="U1137" t="e">
        <f t="shared" si="36"/>
        <v>#REF!</v>
      </c>
      <c r="V1137" s="5" t="e">
        <f t="shared" si="37"/>
        <v>#REF!</v>
      </c>
    </row>
    <row r="1138" spans="1:22" x14ac:dyDescent="0.25">
      <c r="A1138" s="2">
        <v>46097</v>
      </c>
      <c r="B1138" s="2">
        <v>45951</v>
      </c>
      <c r="C1138" t="s">
        <v>221</v>
      </c>
      <c r="D1138">
        <v>12</v>
      </c>
      <c r="E1138" t="s">
        <v>2557</v>
      </c>
      <c r="F1138" t="s">
        <v>211</v>
      </c>
      <c r="G1138" t="s">
        <v>519</v>
      </c>
      <c r="H1138" t="s">
        <v>2558</v>
      </c>
      <c r="I1138" t="s">
        <v>155</v>
      </c>
      <c r="J1138" s="3" t="s">
        <v>2607</v>
      </c>
      <c r="K1138" t="s">
        <v>2592</v>
      </c>
      <c r="L1138" s="4">
        <v>56</v>
      </c>
      <c r="M1138" s="4">
        <v>0</v>
      </c>
      <c r="N1138">
        <v>56</v>
      </c>
      <c r="O1138" t="s">
        <v>2600</v>
      </c>
      <c r="P1138">
        <v>4</v>
      </c>
      <c r="Q1138">
        <f>QtyRemaining*EstMfgMin/60</f>
        <v>3.7333333333333334</v>
      </c>
      <c r="R1138" t="s">
        <v>2590</v>
      </c>
      <c r="U1138" t="e">
        <f t="shared" si="36"/>
        <v>#REF!</v>
      </c>
      <c r="V1138" s="5" t="e">
        <f t="shared" si="37"/>
        <v>#REF!</v>
      </c>
    </row>
    <row r="1139" spans="1:22" x14ac:dyDescent="0.25">
      <c r="A1139" s="2">
        <v>46097</v>
      </c>
      <c r="B1139" s="2">
        <v>45951</v>
      </c>
      <c r="C1139" t="s">
        <v>221</v>
      </c>
      <c r="D1139">
        <v>12</v>
      </c>
      <c r="E1139" t="s">
        <v>2557</v>
      </c>
      <c r="F1139" t="s">
        <v>211</v>
      </c>
      <c r="G1139" t="s">
        <v>519</v>
      </c>
      <c r="H1139" t="s">
        <v>2558</v>
      </c>
      <c r="I1139" t="s">
        <v>155</v>
      </c>
      <c r="J1139" s="3" t="s">
        <v>2607</v>
      </c>
      <c r="K1139" t="s">
        <v>2592</v>
      </c>
      <c r="L1139" s="4">
        <v>5</v>
      </c>
      <c r="M1139" s="4">
        <v>0</v>
      </c>
      <c r="N1139">
        <v>5</v>
      </c>
      <c r="O1139" t="s">
        <v>2600</v>
      </c>
      <c r="P1139">
        <v>4</v>
      </c>
      <c r="Q1139">
        <f>QtyRemaining*EstMfgMin/60</f>
        <v>0.33333333333333331</v>
      </c>
      <c r="R1139" t="s">
        <v>2590</v>
      </c>
      <c r="U1139" t="e">
        <f t="shared" si="36"/>
        <v>#REF!</v>
      </c>
      <c r="V1139" s="5" t="e">
        <f t="shared" si="37"/>
        <v>#REF!</v>
      </c>
    </row>
    <row r="1140" spans="1:22" x14ac:dyDescent="0.25">
      <c r="A1140" s="2">
        <v>46097</v>
      </c>
      <c r="B1140" s="2">
        <v>45960</v>
      </c>
      <c r="C1140" t="s">
        <v>221</v>
      </c>
      <c r="D1140">
        <v>12</v>
      </c>
      <c r="E1140" t="s">
        <v>2608</v>
      </c>
      <c r="F1140" t="s">
        <v>211</v>
      </c>
      <c r="G1140" t="s">
        <v>2609</v>
      </c>
      <c r="H1140" t="s">
        <v>2610</v>
      </c>
      <c r="I1140" t="s">
        <v>83</v>
      </c>
      <c r="J1140" s="3" t="s">
        <v>2611</v>
      </c>
      <c r="K1140" t="s">
        <v>2612</v>
      </c>
      <c r="L1140" s="4">
        <v>6</v>
      </c>
      <c r="M1140" s="4">
        <v>0</v>
      </c>
      <c r="N1140">
        <v>6</v>
      </c>
      <c r="O1140" t="s">
        <v>457</v>
      </c>
      <c r="P1140">
        <v>50.5</v>
      </c>
      <c r="Q1140">
        <f>QtyRemaining*EstMfgMin/60</f>
        <v>5.05</v>
      </c>
      <c r="U1140" t="e">
        <f t="shared" si="36"/>
        <v>#REF!</v>
      </c>
      <c r="V1140" s="5" t="e">
        <f t="shared" si="37"/>
        <v>#REF!</v>
      </c>
    </row>
    <row r="1141" spans="1:22" x14ac:dyDescent="0.25">
      <c r="A1141" s="2">
        <v>46097</v>
      </c>
      <c r="B1141" s="2">
        <v>45960</v>
      </c>
      <c r="C1141" t="s">
        <v>221</v>
      </c>
      <c r="D1141">
        <v>12</v>
      </c>
      <c r="E1141" t="s">
        <v>2608</v>
      </c>
      <c r="F1141" t="s">
        <v>211</v>
      </c>
      <c r="G1141" t="s">
        <v>2609</v>
      </c>
      <c r="H1141" t="s">
        <v>2610</v>
      </c>
      <c r="I1141" t="s">
        <v>83</v>
      </c>
      <c r="J1141" s="3" t="s">
        <v>2613</v>
      </c>
      <c r="K1141" t="s">
        <v>2614</v>
      </c>
      <c r="L1141" s="4">
        <v>59</v>
      </c>
      <c r="M1141" s="4">
        <v>0</v>
      </c>
      <c r="N1141">
        <v>59</v>
      </c>
      <c r="O1141" t="s">
        <v>176</v>
      </c>
      <c r="P1141">
        <v>12.5</v>
      </c>
      <c r="Q1141">
        <f>QtyRemaining*EstMfgMin/60</f>
        <v>12.291666666666666</v>
      </c>
      <c r="U1141" t="e">
        <f t="shared" si="36"/>
        <v>#REF!</v>
      </c>
      <c r="V1141" s="5" t="e">
        <f t="shared" si="37"/>
        <v>#REF!</v>
      </c>
    </row>
    <row r="1142" spans="1:22" x14ac:dyDescent="0.25">
      <c r="A1142" s="2">
        <v>46097</v>
      </c>
      <c r="B1142" s="2">
        <v>45960</v>
      </c>
      <c r="C1142" t="s">
        <v>221</v>
      </c>
      <c r="D1142">
        <v>12</v>
      </c>
      <c r="E1142" t="s">
        <v>2608</v>
      </c>
      <c r="F1142" t="s">
        <v>211</v>
      </c>
      <c r="G1142" t="s">
        <v>2609</v>
      </c>
      <c r="H1142" t="s">
        <v>2610</v>
      </c>
      <c r="I1142" t="s">
        <v>83</v>
      </c>
      <c r="J1142" s="3" t="s">
        <v>2613</v>
      </c>
      <c r="K1142" t="s">
        <v>2614</v>
      </c>
      <c r="L1142" s="4">
        <v>6</v>
      </c>
      <c r="M1142" s="4">
        <v>0</v>
      </c>
      <c r="N1142">
        <v>6</v>
      </c>
      <c r="O1142" t="s">
        <v>176</v>
      </c>
      <c r="P1142">
        <v>12.5</v>
      </c>
      <c r="Q1142">
        <f>QtyRemaining*EstMfgMin/60</f>
        <v>1.25</v>
      </c>
      <c r="U1142" t="e">
        <f t="shared" si="36"/>
        <v>#REF!</v>
      </c>
      <c r="V1142" s="5" t="e">
        <f t="shared" si="37"/>
        <v>#REF!</v>
      </c>
    </row>
    <row r="1143" spans="1:22" x14ac:dyDescent="0.25">
      <c r="A1143" s="2">
        <v>46097</v>
      </c>
      <c r="B1143" s="2">
        <v>45960</v>
      </c>
      <c r="C1143" t="s">
        <v>221</v>
      </c>
      <c r="D1143">
        <v>12</v>
      </c>
      <c r="E1143" t="s">
        <v>2608</v>
      </c>
      <c r="F1143" t="s">
        <v>211</v>
      </c>
      <c r="G1143" t="s">
        <v>2609</v>
      </c>
      <c r="H1143" t="s">
        <v>2610</v>
      </c>
      <c r="I1143" t="s">
        <v>83</v>
      </c>
      <c r="J1143" s="3" t="s">
        <v>2615</v>
      </c>
      <c r="K1143" t="s">
        <v>2616</v>
      </c>
      <c r="L1143" s="4">
        <v>59</v>
      </c>
      <c r="M1143" s="4">
        <v>0</v>
      </c>
      <c r="N1143">
        <v>59</v>
      </c>
      <c r="O1143" t="s">
        <v>176</v>
      </c>
      <c r="P1143">
        <v>12.5</v>
      </c>
      <c r="Q1143">
        <f>QtyRemaining*EstMfgMin/60</f>
        <v>12.291666666666666</v>
      </c>
      <c r="U1143" t="e">
        <f t="shared" si="36"/>
        <v>#REF!</v>
      </c>
      <c r="V1143" s="5" t="e">
        <f t="shared" si="37"/>
        <v>#REF!</v>
      </c>
    </row>
    <row r="1144" spans="1:22" x14ac:dyDescent="0.25">
      <c r="A1144" s="2">
        <v>46097</v>
      </c>
      <c r="B1144" s="2">
        <v>45960</v>
      </c>
      <c r="C1144" t="s">
        <v>221</v>
      </c>
      <c r="D1144">
        <v>12</v>
      </c>
      <c r="E1144" t="s">
        <v>2608</v>
      </c>
      <c r="F1144" t="s">
        <v>211</v>
      </c>
      <c r="G1144" t="s">
        <v>2609</v>
      </c>
      <c r="H1144" t="s">
        <v>2610</v>
      </c>
      <c r="I1144" t="s">
        <v>83</v>
      </c>
      <c r="J1144" s="3" t="s">
        <v>2615</v>
      </c>
      <c r="K1144" t="s">
        <v>2616</v>
      </c>
      <c r="L1144" s="4">
        <v>6</v>
      </c>
      <c r="M1144" s="4">
        <v>0</v>
      </c>
      <c r="N1144">
        <v>6</v>
      </c>
      <c r="O1144" t="s">
        <v>176</v>
      </c>
      <c r="P1144">
        <v>12.5</v>
      </c>
      <c r="Q1144">
        <f>QtyRemaining*EstMfgMin/60</f>
        <v>1.25</v>
      </c>
      <c r="U1144" t="e">
        <f t="shared" si="36"/>
        <v>#REF!</v>
      </c>
      <c r="V1144" s="5" t="e">
        <f t="shared" si="37"/>
        <v>#REF!</v>
      </c>
    </row>
    <row r="1145" spans="1:22" x14ac:dyDescent="0.25">
      <c r="A1145" s="2">
        <v>46097</v>
      </c>
      <c r="B1145" s="2">
        <v>45960</v>
      </c>
      <c r="C1145" t="s">
        <v>221</v>
      </c>
      <c r="D1145">
        <v>12</v>
      </c>
      <c r="E1145" t="s">
        <v>2608</v>
      </c>
      <c r="F1145" t="s">
        <v>211</v>
      </c>
      <c r="G1145" t="s">
        <v>2609</v>
      </c>
      <c r="H1145" t="s">
        <v>2610</v>
      </c>
      <c r="I1145" t="s">
        <v>83</v>
      </c>
      <c r="J1145" s="3" t="s">
        <v>2617</v>
      </c>
      <c r="K1145" t="s">
        <v>2618</v>
      </c>
      <c r="L1145" s="4">
        <v>59</v>
      </c>
      <c r="M1145" s="4">
        <v>0</v>
      </c>
      <c r="N1145">
        <v>59</v>
      </c>
      <c r="O1145" t="s">
        <v>176</v>
      </c>
      <c r="P1145">
        <v>12.5</v>
      </c>
      <c r="Q1145">
        <f>QtyRemaining*EstMfgMin/60</f>
        <v>12.291666666666666</v>
      </c>
      <c r="U1145" t="e">
        <f t="shared" si="36"/>
        <v>#REF!</v>
      </c>
      <c r="V1145" s="5" t="e">
        <f t="shared" si="37"/>
        <v>#REF!</v>
      </c>
    </row>
    <row r="1146" spans="1:22" x14ac:dyDescent="0.25">
      <c r="A1146" s="2">
        <v>46097</v>
      </c>
      <c r="B1146" s="2">
        <v>45960</v>
      </c>
      <c r="C1146" t="s">
        <v>221</v>
      </c>
      <c r="D1146">
        <v>12</v>
      </c>
      <c r="E1146" t="s">
        <v>2608</v>
      </c>
      <c r="F1146" t="s">
        <v>211</v>
      </c>
      <c r="G1146" t="s">
        <v>2609</v>
      </c>
      <c r="H1146" t="s">
        <v>2610</v>
      </c>
      <c r="I1146" t="s">
        <v>83</v>
      </c>
      <c r="J1146" s="3" t="s">
        <v>2617</v>
      </c>
      <c r="K1146" t="s">
        <v>2618</v>
      </c>
      <c r="L1146" s="4">
        <v>6</v>
      </c>
      <c r="M1146" s="4">
        <v>0</v>
      </c>
      <c r="N1146">
        <v>6</v>
      </c>
      <c r="O1146" t="s">
        <v>176</v>
      </c>
      <c r="P1146">
        <v>12.5</v>
      </c>
      <c r="Q1146">
        <f>QtyRemaining*EstMfgMin/60</f>
        <v>1.25</v>
      </c>
      <c r="U1146" t="e">
        <f t="shared" si="36"/>
        <v>#REF!</v>
      </c>
      <c r="V1146" s="5" t="e">
        <f t="shared" si="37"/>
        <v>#REF!</v>
      </c>
    </row>
    <row r="1147" spans="1:22" x14ac:dyDescent="0.25">
      <c r="A1147" s="2">
        <v>46097</v>
      </c>
      <c r="B1147" s="2">
        <v>45960</v>
      </c>
      <c r="C1147" t="s">
        <v>221</v>
      </c>
      <c r="D1147">
        <v>12</v>
      </c>
      <c r="E1147" t="s">
        <v>2608</v>
      </c>
      <c r="F1147" t="s">
        <v>211</v>
      </c>
      <c r="G1147" t="s">
        <v>2609</v>
      </c>
      <c r="H1147" t="s">
        <v>2610</v>
      </c>
      <c r="I1147" t="s">
        <v>83</v>
      </c>
      <c r="J1147" s="3" t="s">
        <v>2619</v>
      </c>
      <c r="K1147" t="s">
        <v>2614</v>
      </c>
      <c r="L1147" s="4">
        <v>59</v>
      </c>
      <c r="M1147" s="4">
        <v>0</v>
      </c>
      <c r="N1147">
        <v>59</v>
      </c>
      <c r="O1147" t="s">
        <v>176</v>
      </c>
      <c r="P1147">
        <v>12.5</v>
      </c>
      <c r="Q1147">
        <f>QtyRemaining*EstMfgMin/60</f>
        <v>12.291666666666666</v>
      </c>
      <c r="U1147" t="e">
        <f t="shared" si="36"/>
        <v>#REF!</v>
      </c>
      <c r="V1147" s="5" t="e">
        <f t="shared" si="37"/>
        <v>#REF!</v>
      </c>
    </row>
    <row r="1148" spans="1:22" x14ac:dyDescent="0.25">
      <c r="A1148" s="2">
        <v>46097</v>
      </c>
      <c r="B1148" s="2">
        <v>45960</v>
      </c>
      <c r="C1148" t="s">
        <v>221</v>
      </c>
      <c r="D1148">
        <v>12</v>
      </c>
      <c r="E1148" t="s">
        <v>2608</v>
      </c>
      <c r="F1148" t="s">
        <v>211</v>
      </c>
      <c r="G1148" t="s">
        <v>2609</v>
      </c>
      <c r="H1148" t="s">
        <v>2610</v>
      </c>
      <c r="I1148" t="s">
        <v>83</v>
      </c>
      <c r="J1148" s="3" t="s">
        <v>2619</v>
      </c>
      <c r="K1148" t="s">
        <v>2614</v>
      </c>
      <c r="L1148" s="4">
        <v>6</v>
      </c>
      <c r="M1148" s="4">
        <v>0</v>
      </c>
      <c r="N1148">
        <v>6</v>
      </c>
      <c r="O1148" t="s">
        <v>176</v>
      </c>
      <c r="P1148">
        <v>12.5</v>
      </c>
      <c r="Q1148">
        <f>QtyRemaining*EstMfgMin/60</f>
        <v>1.25</v>
      </c>
      <c r="U1148" t="e">
        <f t="shared" si="36"/>
        <v>#REF!</v>
      </c>
      <c r="V1148" s="5" t="e">
        <f t="shared" si="37"/>
        <v>#REF!</v>
      </c>
    </row>
    <row r="1149" spans="1:22" x14ac:dyDescent="0.25">
      <c r="A1149" s="2">
        <v>46097</v>
      </c>
      <c r="B1149" s="2">
        <v>45960</v>
      </c>
      <c r="C1149" t="s">
        <v>221</v>
      </c>
      <c r="D1149">
        <v>12</v>
      </c>
      <c r="E1149" t="s">
        <v>2608</v>
      </c>
      <c r="F1149" t="s">
        <v>211</v>
      </c>
      <c r="G1149" t="s">
        <v>2609</v>
      </c>
      <c r="H1149" t="s">
        <v>2610</v>
      </c>
      <c r="I1149" t="s">
        <v>83</v>
      </c>
      <c r="J1149" s="3" t="s">
        <v>2620</v>
      </c>
      <c r="K1149" t="s">
        <v>2592</v>
      </c>
      <c r="L1149" s="4">
        <v>56</v>
      </c>
      <c r="M1149" s="4">
        <v>0</v>
      </c>
      <c r="N1149">
        <v>56</v>
      </c>
      <c r="O1149" t="s">
        <v>86</v>
      </c>
      <c r="P1149">
        <v>66</v>
      </c>
      <c r="Q1149">
        <f>QtyRemaining*EstMfgMin/60</f>
        <v>61.6</v>
      </c>
      <c r="U1149" t="e">
        <f t="shared" si="36"/>
        <v>#REF!</v>
      </c>
      <c r="V1149" s="5" t="e">
        <f t="shared" si="37"/>
        <v>#REF!</v>
      </c>
    </row>
    <row r="1150" spans="1:22" x14ac:dyDescent="0.25">
      <c r="A1150" s="2">
        <v>46097</v>
      </c>
      <c r="B1150" s="2">
        <v>45960</v>
      </c>
      <c r="C1150" t="s">
        <v>221</v>
      </c>
      <c r="D1150">
        <v>12</v>
      </c>
      <c r="E1150" t="s">
        <v>2608</v>
      </c>
      <c r="F1150" t="s">
        <v>211</v>
      </c>
      <c r="G1150" t="s">
        <v>2609</v>
      </c>
      <c r="H1150" t="s">
        <v>2610</v>
      </c>
      <c r="I1150" t="s">
        <v>83</v>
      </c>
      <c r="J1150" s="3" t="s">
        <v>2620</v>
      </c>
      <c r="K1150" t="s">
        <v>2592</v>
      </c>
      <c r="L1150" s="4">
        <v>5</v>
      </c>
      <c r="M1150" s="4">
        <v>0</v>
      </c>
      <c r="N1150">
        <v>5</v>
      </c>
      <c r="O1150" t="s">
        <v>86</v>
      </c>
      <c r="P1150">
        <v>66</v>
      </c>
      <c r="Q1150">
        <f>QtyRemaining*EstMfgMin/60</f>
        <v>5.5</v>
      </c>
      <c r="U1150" t="e">
        <f t="shared" si="36"/>
        <v>#REF!</v>
      </c>
      <c r="V1150" s="5" t="e">
        <f t="shared" si="37"/>
        <v>#REF!</v>
      </c>
    </row>
    <row r="1151" spans="1:22" x14ac:dyDescent="0.25">
      <c r="A1151" s="2">
        <v>46097</v>
      </c>
      <c r="B1151" s="2">
        <v>45960</v>
      </c>
      <c r="C1151" t="s">
        <v>221</v>
      </c>
      <c r="D1151">
        <v>12</v>
      </c>
      <c r="E1151" t="s">
        <v>2608</v>
      </c>
      <c r="F1151" t="s">
        <v>211</v>
      </c>
      <c r="G1151" t="s">
        <v>2609</v>
      </c>
      <c r="H1151" t="s">
        <v>2610</v>
      </c>
      <c r="I1151" t="s">
        <v>83</v>
      </c>
      <c r="J1151" s="3" t="s">
        <v>2621</v>
      </c>
      <c r="K1151" t="s">
        <v>2622</v>
      </c>
      <c r="L1151" s="4">
        <v>4</v>
      </c>
      <c r="M1151" s="4">
        <v>0</v>
      </c>
      <c r="N1151">
        <v>4</v>
      </c>
      <c r="O1151" t="s">
        <v>118</v>
      </c>
      <c r="P1151">
        <v>12</v>
      </c>
      <c r="Q1151">
        <f>QtyRemaining*EstMfgMin/60</f>
        <v>0.8</v>
      </c>
      <c r="U1151" t="e">
        <f t="shared" si="36"/>
        <v>#REF!</v>
      </c>
      <c r="V1151" s="5" t="e">
        <f t="shared" si="37"/>
        <v>#REF!</v>
      </c>
    </row>
    <row r="1152" spans="1:22" x14ac:dyDescent="0.25">
      <c r="A1152" s="2">
        <v>46097</v>
      </c>
      <c r="B1152" s="2">
        <v>45960</v>
      </c>
      <c r="C1152" t="s">
        <v>221</v>
      </c>
      <c r="D1152">
        <v>12</v>
      </c>
      <c r="E1152" t="s">
        <v>2608</v>
      </c>
      <c r="F1152" t="s">
        <v>211</v>
      </c>
      <c r="G1152" t="s">
        <v>2609</v>
      </c>
      <c r="H1152" t="s">
        <v>2610</v>
      </c>
      <c r="I1152" t="s">
        <v>83</v>
      </c>
      <c r="J1152" s="3" t="s">
        <v>2623</v>
      </c>
      <c r="K1152" t="s">
        <v>2622</v>
      </c>
      <c r="L1152" s="4">
        <v>2</v>
      </c>
      <c r="M1152" s="4">
        <v>0</v>
      </c>
      <c r="N1152">
        <v>2</v>
      </c>
      <c r="O1152" t="s">
        <v>118</v>
      </c>
      <c r="P1152">
        <v>12.5</v>
      </c>
      <c r="Q1152">
        <f>QtyRemaining*EstMfgMin/60</f>
        <v>0.41666666666666669</v>
      </c>
      <c r="U1152" t="e">
        <f t="shared" si="36"/>
        <v>#REF!</v>
      </c>
      <c r="V1152" s="5" t="e">
        <f t="shared" si="37"/>
        <v>#REF!</v>
      </c>
    </row>
    <row r="1153" spans="1:22" x14ac:dyDescent="0.25">
      <c r="A1153" s="2">
        <v>46097</v>
      </c>
      <c r="B1153" s="2">
        <v>45960</v>
      </c>
      <c r="C1153" t="s">
        <v>221</v>
      </c>
      <c r="D1153">
        <v>12</v>
      </c>
      <c r="E1153" t="s">
        <v>2608</v>
      </c>
      <c r="F1153" t="s">
        <v>211</v>
      </c>
      <c r="G1153" t="s">
        <v>2609</v>
      </c>
      <c r="H1153" t="s">
        <v>2610</v>
      </c>
      <c r="I1153" t="s">
        <v>83</v>
      </c>
      <c r="J1153" s="3" t="s">
        <v>2624</v>
      </c>
      <c r="K1153" t="s">
        <v>2612</v>
      </c>
      <c r="L1153" s="4">
        <v>17</v>
      </c>
      <c r="M1153" s="4">
        <v>0</v>
      </c>
      <c r="N1153">
        <v>17</v>
      </c>
      <c r="O1153" t="s">
        <v>118</v>
      </c>
      <c r="P1153">
        <v>12.5</v>
      </c>
      <c r="Q1153">
        <f>QtyRemaining*EstMfgMin/60</f>
        <v>3.5416666666666665</v>
      </c>
      <c r="U1153" t="e">
        <f t="shared" si="36"/>
        <v>#REF!</v>
      </c>
      <c r="V1153" s="5" t="e">
        <f t="shared" si="37"/>
        <v>#REF!</v>
      </c>
    </row>
    <row r="1154" spans="1:22" x14ac:dyDescent="0.25">
      <c r="A1154" s="2">
        <v>46097</v>
      </c>
      <c r="B1154" s="2">
        <v>45960</v>
      </c>
      <c r="C1154" t="s">
        <v>221</v>
      </c>
      <c r="D1154">
        <v>12</v>
      </c>
      <c r="E1154" t="s">
        <v>2608</v>
      </c>
      <c r="F1154" t="s">
        <v>211</v>
      </c>
      <c r="G1154" t="s">
        <v>2609</v>
      </c>
      <c r="H1154" t="s">
        <v>2610</v>
      </c>
      <c r="I1154" t="s">
        <v>83</v>
      </c>
      <c r="J1154" s="3" t="s">
        <v>2625</v>
      </c>
      <c r="K1154" t="s">
        <v>2622</v>
      </c>
      <c r="L1154" s="4">
        <v>20</v>
      </c>
      <c r="M1154" s="4">
        <v>0</v>
      </c>
      <c r="N1154">
        <v>20</v>
      </c>
      <c r="O1154" t="s">
        <v>118</v>
      </c>
      <c r="P1154">
        <v>12.5</v>
      </c>
      <c r="Q1154">
        <f>QtyRemaining*EstMfgMin/60</f>
        <v>4.166666666666667</v>
      </c>
      <c r="U1154" t="e">
        <f t="shared" si="36"/>
        <v>#REF!</v>
      </c>
      <c r="V1154" s="5" t="e">
        <f t="shared" si="37"/>
        <v>#REF!</v>
      </c>
    </row>
    <row r="1155" spans="1:22" x14ac:dyDescent="0.25">
      <c r="A1155" s="2">
        <v>46097</v>
      </c>
      <c r="B1155" s="2">
        <v>45960</v>
      </c>
      <c r="C1155" t="s">
        <v>221</v>
      </c>
      <c r="D1155">
        <v>12</v>
      </c>
      <c r="E1155" t="s">
        <v>2608</v>
      </c>
      <c r="F1155" t="s">
        <v>211</v>
      </c>
      <c r="G1155" t="s">
        <v>2609</v>
      </c>
      <c r="H1155" t="s">
        <v>2610</v>
      </c>
      <c r="I1155" t="s">
        <v>83</v>
      </c>
      <c r="J1155" s="3" t="s">
        <v>2626</v>
      </c>
      <c r="K1155" t="s">
        <v>2622</v>
      </c>
      <c r="L1155" s="4">
        <v>4</v>
      </c>
      <c r="M1155" s="4">
        <v>0</v>
      </c>
      <c r="N1155">
        <v>4</v>
      </c>
      <c r="O1155" t="s">
        <v>118</v>
      </c>
      <c r="P1155">
        <v>12.5</v>
      </c>
      <c r="Q1155">
        <f>QtyRemaining*EstMfgMin/60</f>
        <v>0.83333333333333337</v>
      </c>
      <c r="U1155" t="e">
        <f t="shared" ref="U1155:U1218" si="38">VLOOKUP(A1155,Calendar,13,FALSE)</f>
        <v>#REF!</v>
      </c>
      <c r="V1155" s="5" t="e">
        <f t="shared" ref="V1155:V1218" si="39">VLOOKUP(A1155,Calendar,14,FALSE)</f>
        <v>#REF!</v>
      </c>
    </row>
    <row r="1156" spans="1:22" x14ac:dyDescent="0.25">
      <c r="A1156" s="2">
        <v>46097</v>
      </c>
      <c r="B1156" s="2">
        <v>45960</v>
      </c>
      <c r="C1156" t="s">
        <v>221</v>
      </c>
      <c r="D1156">
        <v>12</v>
      </c>
      <c r="E1156" t="s">
        <v>2608</v>
      </c>
      <c r="F1156" t="s">
        <v>211</v>
      </c>
      <c r="G1156" t="s">
        <v>2609</v>
      </c>
      <c r="H1156" t="s">
        <v>2610</v>
      </c>
      <c r="I1156" t="s">
        <v>83</v>
      </c>
      <c r="J1156" s="3" t="s">
        <v>2627</v>
      </c>
      <c r="K1156" t="s">
        <v>2622</v>
      </c>
      <c r="L1156" s="4">
        <v>3</v>
      </c>
      <c r="M1156" s="4">
        <v>0</v>
      </c>
      <c r="N1156">
        <v>3</v>
      </c>
      <c r="O1156" t="s">
        <v>118</v>
      </c>
      <c r="P1156">
        <v>12.5</v>
      </c>
      <c r="Q1156">
        <f>QtyRemaining*EstMfgMin/60</f>
        <v>0.625</v>
      </c>
      <c r="U1156" t="e">
        <f t="shared" si="38"/>
        <v>#REF!</v>
      </c>
      <c r="V1156" s="5" t="e">
        <f t="shared" si="39"/>
        <v>#REF!</v>
      </c>
    </row>
    <row r="1157" spans="1:22" x14ac:dyDescent="0.25">
      <c r="A1157" s="2">
        <v>46097</v>
      </c>
      <c r="B1157" s="2">
        <v>45960</v>
      </c>
      <c r="C1157" t="s">
        <v>221</v>
      </c>
      <c r="D1157">
        <v>12</v>
      </c>
      <c r="E1157" t="s">
        <v>2608</v>
      </c>
      <c r="F1157" t="s">
        <v>211</v>
      </c>
      <c r="G1157" t="s">
        <v>2609</v>
      </c>
      <c r="H1157" t="s">
        <v>2610</v>
      </c>
      <c r="I1157" t="s">
        <v>83</v>
      </c>
      <c r="J1157" s="3" t="s">
        <v>2628</v>
      </c>
      <c r="K1157" t="s">
        <v>2622</v>
      </c>
      <c r="L1157" s="4">
        <v>3</v>
      </c>
      <c r="M1157" s="4">
        <v>0</v>
      </c>
      <c r="N1157">
        <v>3</v>
      </c>
      <c r="O1157" t="s">
        <v>118</v>
      </c>
      <c r="P1157">
        <v>12.5</v>
      </c>
      <c r="Q1157">
        <f>QtyRemaining*EstMfgMin/60</f>
        <v>0.625</v>
      </c>
      <c r="U1157" t="e">
        <f t="shared" si="38"/>
        <v>#REF!</v>
      </c>
      <c r="V1157" s="5" t="e">
        <f t="shared" si="39"/>
        <v>#REF!</v>
      </c>
    </row>
    <row r="1158" spans="1:22" x14ac:dyDescent="0.25">
      <c r="A1158" s="2">
        <v>46097</v>
      </c>
      <c r="B1158" s="2">
        <v>45960</v>
      </c>
      <c r="C1158" t="s">
        <v>221</v>
      </c>
      <c r="D1158">
        <v>12</v>
      </c>
      <c r="E1158" t="s">
        <v>2608</v>
      </c>
      <c r="F1158" t="s">
        <v>211</v>
      </c>
      <c r="G1158" t="s">
        <v>2609</v>
      </c>
      <c r="H1158" t="s">
        <v>2610</v>
      </c>
      <c r="I1158" t="s">
        <v>83</v>
      </c>
      <c r="J1158" s="3" t="s">
        <v>2629</v>
      </c>
      <c r="K1158" t="s">
        <v>2612</v>
      </c>
      <c r="L1158" s="4">
        <v>3</v>
      </c>
      <c r="M1158" s="4">
        <v>0</v>
      </c>
      <c r="N1158">
        <v>3</v>
      </c>
      <c r="O1158" t="s">
        <v>118</v>
      </c>
      <c r="P1158">
        <v>13</v>
      </c>
      <c r="Q1158">
        <f>QtyRemaining*EstMfgMin/60</f>
        <v>0.65</v>
      </c>
      <c r="U1158" t="e">
        <f t="shared" si="38"/>
        <v>#REF!</v>
      </c>
      <c r="V1158" s="5" t="e">
        <f t="shared" si="39"/>
        <v>#REF!</v>
      </c>
    </row>
    <row r="1159" spans="1:22" x14ac:dyDescent="0.25">
      <c r="A1159" s="2">
        <v>46097</v>
      </c>
      <c r="B1159" s="2">
        <v>45960</v>
      </c>
      <c r="C1159" t="s">
        <v>221</v>
      </c>
      <c r="D1159">
        <v>12</v>
      </c>
      <c r="E1159" t="s">
        <v>2608</v>
      </c>
      <c r="F1159" t="s">
        <v>211</v>
      </c>
      <c r="G1159" t="s">
        <v>2609</v>
      </c>
      <c r="H1159" t="s">
        <v>2610</v>
      </c>
      <c r="I1159" t="s">
        <v>83</v>
      </c>
      <c r="J1159" s="3" t="s">
        <v>2630</v>
      </c>
      <c r="K1159" t="s">
        <v>2622</v>
      </c>
      <c r="L1159" s="4">
        <v>23</v>
      </c>
      <c r="M1159" s="4">
        <v>0</v>
      </c>
      <c r="N1159">
        <v>23</v>
      </c>
      <c r="O1159" t="s">
        <v>118</v>
      </c>
      <c r="P1159">
        <v>12.5</v>
      </c>
      <c r="Q1159">
        <f>QtyRemaining*EstMfgMin/60</f>
        <v>4.791666666666667</v>
      </c>
      <c r="U1159" t="e">
        <f t="shared" si="38"/>
        <v>#REF!</v>
      </c>
      <c r="V1159" s="5" t="e">
        <f t="shared" si="39"/>
        <v>#REF!</v>
      </c>
    </row>
    <row r="1160" spans="1:22" x14ac:dyDescent="0.25">
      <c r="A1160" s="2">
        <v>46097</v>
      </c>
      <c r="B1160" s="2">
        <v>45960</v>
      </c>
      <c r="C1160" t="s">
        <v>221</v>
      </c>
      <c r="D1160">
        <v>12</v>
      </c>
      <c r="E1160" t="s">
        <v>2608</v>
      </c>
      <c r="F1160" t="s">
        <v>211</v>
      </c>
      <c r="G1160" t="s">
        <v>2609</v>
      </c>
      <c r="H1160" t="s">
        <v>2610</v>
      </c>
      <c r="I1160" t="s">
        <v>83</v>
      </c>
      <c r="J1160" s="3" t="s">
        <v>2631</v>
      </c>
      <c r="K1160" t="s">
        <v>2622</v>
      </c>
      <c r="L1160" s="4">
        <v>23</v>
      </c>
      <c r="M1160" s="4">
        <v>0</v>
      </c>
      <c r="N1160">
        <v>23</v>
      </c>
      <c r="O1160" t="s">
        <v>176</v>
      </c>
      <c r="P1160">
        <v>13</v>
      </c>
      <c r="Q1160">
        <f>QtyRemaining*EstMfgMin/60</f>
        <v>4.9833333333333334</v>
      </c>
      <c r="U1160" t="e">
        <f t="shared" si="38"/>
        <v>#REF!</v>
      </c>
      <c r="V1160" s="5" t="e">
        <f t="shared" si="39"/>
        <v>#REF!</v>
      </c>
    </row>
    <row r="1161" spans="1:22" x14ac:dyDescent="0.25">
      <c r="A1161" s="2">
        <v>46097</v>
      </c>
      <c r="B1161" s="2">
        <v>45960</v>
      </c>
      <c r="C1161" t="s">
        <v>221</v>
      </c>
      <c r="D1161">
        <v>12</v>
      </c>
      <c r="E1161" t="s">
        <v>2608</v>
      </c>
      <c r="F1161" t="s">
        <v>211</v>
      </c>
      <c r="G1161" t="s">
        <v>2609</v>
      </c>
      <c r="H1161" t="s">
        <v>2610</v>
      </c>
      <c r="I1161" t="s">
        <v>83</v>
      </c>
      <c r="J1161" s="3" t="s">
        <v>2632</v>
      </c>
      <c r="K1161" t="s">
        <v>2622</v>
      </c>
      <c r="L1161" s="4">
        <v>4</v>
      </c>
      <c r="M1161" s="4">
        <v>0</v>
      </c>
      <c r="N1161">
        <v>4</v>
      </c>
      <c r="O1161" t="s">
        <v>176</v>
      </c>
      <c r="P1161">
        <v>13</v>
      </c>
      <c r="Q1161">
        <f>QtyRemaining*EstMfgMin/60</f>
        <v>0.8666666666666667</v>
      </c>
      <c r="U1161" t="e">
        <f t="shared" si="38"/>
        <v>#REF!</v>
      </c>
      <c r="V1161" s="5" t="e">
        <f t="shared" si="39"/>
        <v>#REF!</v>
      </c>
    </row>
    <row r="1162" spans="1:22" x14ac:dyDescent="0.25">
      <c r="A1162" s="2">
        <v>46097</v>
      </c>
      <c r="B1162" s="2">
        <v>45960</v>
      </c>
      <c r="C1162" t="s">
        <v>221</v>
      </c>
      <c r="D1162">
        <v>12</v>
      </c>
      <c r="E1162" t="s">
        <v>2608</v>
      </c>
      <c r="F1162" t="s">
        <v>211</v>
      </c>
      <c r="G1162" t="s">
        <v>2609</v>
      </c>
      <c r="H1162" t="s">
        <v>2610</v>
      </c>
      <c r="I1162" t="s">
        <v>83</v>
      </c>
      <c r="J1162" s="3" t="s">
        <v>2633</v>
      </c>
      <c r="K1162" t="s">
        <v>2622</v>
      </c>
      <c r="L1162" s="4">
        <v>20</v>
      </c>
      <c r="M1162" s="4">
        <v>0</v>
      </c>
      <c r="N1162">
        <v>20</v>
      </c>
      <c r="O1162" t="s">
        <v>176</v>
      </c>
      <c r="P1162">
        <v>13</v>
      </c>
      <c r="Q1162">
        <f>QtyRemaining*EstMfgMin/60</f>
        <v>4.333333333333333</v>
      </c>
      <c r="U1162" t="e">
        <f t="shared" si="38"/>
        <v>#REF!</v>
      </c>
      <c r="V1162" s="5" t="e">
        <f t="shared" si="39"/>
        <v>#REF!</v>
      </c>
    </row>
    <row r="1163" spans="1:22" x14ac:dyDescent="0.25">
      <c r="A1163" s="2">
        <v>46097</v>
      </c>
      <c r="B1163" s="2">
        <v>45960</v>
      </c>
      <c r="C1163" t="s">
        <v>221</v>
      </c>
      <c r="D1163">
        <v>12</v>
      </c>
      <c r="E1163" t="s">
        <v>2608</v>
      </c>
      <c r="F1163" t="s">
        <v>211</v>
      </c>
      <c r="G1163" t="s">
        <v>2609</v>
      </c>
      <c r="H1163" t="s">
        <v>2610</v>
      </c>
      <c r="I1163" t="s">
        <v>83</v>
      </c>
      <c r="J1163" s="3" t="s">
        <v>2634</v>
      </c>
      <c r="K1163" t="s">
        <v>2622</v>
      </c>
      <c r="L1163" s="4">
        <v>4</v>
      </c>
      <c r="M1163" s="4">
        <v>0</v>
      </c>
      <c r="N1163">
        <v>4</v>
      </c>
      <c r="O1163" t="s">
        <v>176</v>
      </c>
      <c r="P1163">
        <v>13</v>
      </c>
      <c r="Q1163">
        <f>QtyRemaining*EstMfgMin/60</f>
        <v>0.8666666666666667</v>
      </c>
      <c r="U1163" t="e">
        <f t="shared" si="38"/>
        <v>#REF!</v>
      </c>
      <c r="V1163" s="5" t="e">
        <f t="shared" si="39"/>
        <v>#REF!</v>
      </c>
    </row>
    <row r="1164" spans="1:22" x14ac:dyDescent="0.25">
      <c r="A1164" s="2">
        <v>46097</v>
      </c>
      <c r="B1164" s="2">
        <v>45960</v>
      </c>
      <c r="C1164" t="s">
        <v>221</v>
      </c>
      <c r="D1164">
        <v>12</v>
      </c>
      <c r="E1164" t="s">
        <v>2608</v>
      </c>
      <c r="F1164" t="s">
        <v>211</v>
      </c>
      <c r="G1164" t="s">
        <v>2609</v>
      </c>
      <c r="H1164" t="s">
        <v>2610</v>
      </c>
      <c r="I1164" t="s">
        <v>83</v>
      </c>
      <c r="J1164" s="3" t="s">
        <v>2635</v>
      </c>
      <c r="K1164" t="s">
        <v>2622</v>
      </c>
      <c r="L1164" s="4">
        <v>17</v>
      </c>
      <c r="M1164" s="4">
        <v>0</v>
      </c>
      <c r="N1164">
        <v>17</v>
      </c>
      <c r="O1164" t="s">
        <v>118</v>
      </c>
      <c r="P1164">
        <v>12</v>
      </c>
      <c r="Q1164">
        <f>QtyRemaining*EstMfgMin/60</f>
        <v>3.4</v>
      </c>
      <c r="U1164" t="e">
        <f t="shared" si="38"/>
        <v>#REF!</v>
      </c>
      <c r="V1164" s="5" t="e">
        <f t="shared" si="39"/>
        <v>#REF!</v>
      </c>
    </row>
    <row r="1165" spans="1:22" x14ac:dyDescent="0.25">
      <c r="A1165" s="2">
        <v>46097</v>
      </c>
      <c r="B1165" s="2">
        <v>45960</v>
      </c>
      <c r="C1165" t="s">
        <v>221</v>
      </c>
      <c r="D1165">
        <v>12</v>
      </c>
      <c r="E1165" t="s">
        <v>2608</v>
      </c>
      <c r="F1165" t="s">
        <v>211</v>
      </c>
      <c r="G1165" t="s">
        <v>2609</v>
      </c>
      <c r="H1165" t="s">
        <v>2610</v>
      </c>
      <c r="I1165" t="s">
        <v>83</v>
      </c>
      <c r="J1165" s="3" t="s">
        <v>2636</v>
      </c>
      <c r="K1165" t="s">
        <v>2637</v>
      </c>
      <c r="L1165" s="4">
        <v>3</v>
      </c>
      <c r="M1165" s="4">
        <v>0</v>
      </c>
      <c r="N1165">
        <v>3</v>
      </c>
      <c r="O1165" t="s">
        <v>118</v>
      </c>
      <c r="P1165">
        <v>23.5</v>
      </c>
      <c r="Q1165">
        <f>QtyRemaining*EstMfgMin/60</f>
        <v>1.175</v>
      </c>
      <c r="U1165" t="e">
        <f t="shared" si="38"/>
        <v>#REF!</v>
      </c>
      <c r="V1165" s="5" t="e">
        <f t="shared" si="39"/>
        <v>#REF!</v>
      </c>
    </row>
    <row r="1166" spans="1:22" x14ac:dyDescent="0.25">
      <c r="A1166" s="2">
        <v>46097</v>
      </c>
      <c r="B1166" s="2">
        <v>45960</v>
      </c>
      <c r="C1166" t="s">
        <v>221</v>
      </c>
      <c r="D1166">
        <v>12</v>
      </c>
      <c r="E1166" t="s">
        <v>2608</v>
      </c>
      <c r="F1166" t="s">
        <v>211</v>
      </c>
      <c r="G1166" t="s">
        <v>2609</v>
      </c>
      <c r="H1166" t="s">
        <v>2610</v>
      </c>
      <c r="I1166" t="s">
        <v>83</v>
      </c>
      <c r="J1166" s="3" t="s">
        <v>2638</v>
      </c>
      <c r="K1166" t="s">
        <v>2592</v>
      </c>
      <c r="L1166" s="4">
        <v>3</v>
      </c>
      <c r="M1166" s="4">
        <v>0</v>
      </c>
      <c r="N1166">
        <v>3</v>
      </c>
      <c r="O1166" t="s">
        <v>118</v>
      </c>
      <c r="P1166">
        <v>13</v>
      </c>
      <c r="Q1166">
        <f>QtyRemaining*EstMfgMin/60</f>
        <v>0.65</v>
      </c>
      <c r="U1166" t="e">
        <f t="shared" si="38"/>
        <v>#REF!</v>
      </c>
      <c r="V1166" s="5" t="e">
        <f t="shared" si="39"/>
        <v>#REF!</v>
      </c>
    </row>
    <row r="1167" spans="1:22" x14ac:dyDescent="0.25">
      <c r="A1167" s="2">
        <v>46097</v>
      </c>
      <c r="B1167" s="2">
        <v>45960</v>
      </c>
      <c r="C1167" t="s">
        <v>221</v>
      </c>
      <c r="D1167">
        <v>12</v>
      </c>
      <c r="E1167" t="s">
        <v>2608</v>
      </c>
      <c r="F1167" t="s">
        <v>211</v>
      </c>
      <c r="G1167" t="s">
        <v>2609</v>
      </c>
      <c r="H1167" t="s">
        <v>2610</v>
      </c>
      <c r="I1167" t="s">
        <v>83</v>
      </c>
      <c r="J1167" s="3" t="s">
        <v>2639</v>
      </c>
      <c r="K1167" t="s">
        <v>2592</v>
      </c>
      <c r="L1167" s="4">
        <v>3</v>
      </c>
      <c r="M1167" s="4">
        <v>0</v>
      </c>
      <c r="N1167">
        <v>3</v>
      </c>
      <c r="O1167" t="s">
        <v>118</v>
      </c>
      <c r="P1167">
        <v>13</v>
      </c>
      <c r="Q1167">
        <f>QtyRemaining*EstMfgMin/60</f>
        <v>0.65</v>
      </c>
      <c r="U1167" t="e">
        <f t="shared" si="38"/>
        <v>#REF!</v>
      </c>
      <c r="V1167" s="5" t="e">
        <f t="shared" si="39"/>
        <v>#REF!</v>
      </c>
    </row>
    <row r="1168" spans="1:22" x14ac:dyDescent="0.25">
      <c r="A1168" s="2">
        <v>46097</v>
      </c>
      <c r="B1168" s="2">
        <v>45960</v>
      </c>
      <c r="C1168" t="s">
        <v>221</v>
      </c>
      <c r="D1168">
        <v>12</v>
      </c>
      <c r="E1168" t="s">
        <v>2608</v>
      </c>
      <c r="F1168" t="s">
        <v>211</v>
      </c>
      <c r="G1168" t="s">
        <v>2609</v>
      </c>
      <c r="H1168" t="s">
        <v>2610</v>
      </c>
      <c r="I1168" t="s">
        <v>83</v>
      </c>
      <c r="J1168" s="3" t="s">
        <v>2640</v>
      </c>
      <c r="K1168" t="s">
        <v>2637</v>
      </c>
      <c r="L1168" s="4">
        <v>3</v>
      </c>
      <c r="M1168" s="4">
        <v>0</v>
      </c>
      <c r="N1168">
        <v>3</v>
      </c>
      <c r="O1168" t="s">
        <v>118</v>
      </c>
      <c r="P1168">
        <v>48.25</v>
      </c>
      <c r="Q1168">
        <f>QtyRemaining*EstMfgMin/60</f>
        <v>2.4125000000000001</v>
      </c>
      <c r="U1168" t="e">
        <f t="shared" si="38"/>
        <v>#REF!</v>
      </c>
      <c r="V1168" s="5" t="e">
        <f t="shared" si="39"/>
        <v>#REF!</v>
      </c>
    </row>
    <row r="1169" spans="1:22" x14ac:dyDescent="0.25">
      <c r="A1169" s="2">
        <v>46097</v>
      </c>
      <c r="B1169" s="2">
        <v>45960</v>
      </c>
      <c r="C1169" t="s">
        <v>221</v>
      </c>
      <c r="D1169">
        <v>12</v>
      </c>
      <c r="E1169" t="s">
        <v>2608</v>
      </c>
      <c r="F1169" t="s">
        <v>211</v>
      </c>
      <c r="G1169" t="s">
        <v>2609</v>
      </c>
      <c r="H1169" t="s">
        <v>2610</v>
      </c>
      <c r="I1169" t="s">
        <v>83</v>
      </c>
      <c r="J1169" s="3" t="s">
        <v>2641</v>
      </c>
      <c r="K1169" t="s">
        <v>2592</v>
      </c>
      <c r="L1169" s="4">
        <v>38</v>
      </c>
      <c r="M1169" s="4">
        <v>0</v>
      </c>
      <c r="N1169">
        <v>38</v>
      </c>
      <c r="O1169" t="s">
        <v>2642</v>
      </c>
      <c r="P1169">
        <v>4</v>
      </c>
      <c r="Q1169">
        <f>QtyRemaining*EstMfgMin/60</f>
        <v>2.5333333333333332</v>
      </c>
      <c r="U1169" t="e">
        <f t="shared" si="38"/>
        <v>#REF!</v>
      </c>
      <c r="V1169" s="5" t="e">
        <f t="shared" si="39"/>
        <v>#REF!</v>
      </c>
    </row>
    <row r="1170" spans="1:22" x14ac:dyDescent="0.25">
      <c r="A1170" s="2">
        <v>46097</v>
      </c>
      <c r="B1170" s="2">
        <v>45960</v>
      </c>
      <c r="C1170" t="s">
        <v>221</v>
      </c>
      <c r="D1170">
        <v>12</v>
      </c>
      <c r="E1170" t="s">
        <v>2608</v>
      </c>
      <c r="F1170" t="s">
        <v>211</v>
      </c>
      <c r="G1170" t="s">
        <v>2609</v>
      </c>
      <c r="H1170" t="s">
        <v>2610</v>
      </c>
      <c r="I1170" t="s">
        <v>83</v>
      </c>
      <c r="J1170" s="3" t="s">
        <v>2641</v>
      </c>
      <c r="K1170" t="s">
        <v>2592</v>
      </c>
      <c r="L1170" s="4">
        <v>4</v>
      </c>
      <c r="M1170" s="4">
        <v>0</v>
      </c>
      <c r="N1170">
        <v>4</v>
      </c>
      <c r="O1170" t="s">
        <v>2642</v>
      </c>
      <c r="P1170">
        <v>4</v>
      </c>
      <c r="Q1170">
        <f>QtyRemaining*EstMfgMin/60</f>
        <v>0.26666666666666666</v>
      </c>
      <c r="U1170" t="e">
        <f t="shared" si="38"/>
        <v>#REF!</v>
      </c>
      <c r="V1170" s="5" t="e">
        <f t="shared" si="39"/>
        <v>#REF!</v>
      </c>
    </row>
    <row r="1171" spans="1:22" x14ac:dyDescent="0.25">
      <c r="A1171" s="2">
        <v>46097</v>
      </c>
      <c r="B1171" s="2">
        <v>45960</v>
      </c>
      <c r="C1171" t="s">
        <v>221</v>
      </c>
      <c r="D1171">
        <v>12</v>
      </c>
      <c r="E1171" t="s">
        <v>2608</v>
      </c>
      <c r="F1171" t="s">
        <v>211</v>
      </c>
      <c r="G1171" t="s">
        <v>2609</v>
      </c>
      <c r="H1171" t="s">
        <v>2610</v>
      </c>
      <c r="I1171" t="s">
        <v>83</v>
      </c>
      <c r="J1171" s="3" t="s">
        <v>2643</v>
      </c>
      <c r="K1171" t="s">
        <v>2592</v>
      </c>
      <c r="L1171" s="4">
        <v>38</v>
      </c>
      <c r="M1171" s="4">
        <v>0</v>
      </c>
      <c r="N1171">
        <v>38</v>
      </c>
      <c r="O1171" t="s">
        <v>2642</v>
      </c>
      <c r="P1171">
        <v>4</v>
      </c>
      <c r="Q1171">
        <f>QtyRemaining*EstMfgMin/60</f>
        <v>2.5333333333333332</v>
      </c>
      <c r="U1171" t="e">
        <f t="shared" si="38"/>
        <v>#REF!</v>
      </c>
      <c r="V1171" s="5" t="e">
        <f t="shared" si="39"/>
        <v>#REF!</v>
      </c>
    </row>
    <row r="1172" spans="1:22" x14ac:dyDescent="0.25">
      <c r="A1172" s="2">
        <v>46097</v>
      </c>
      <c r="B1172" s="2">
        <v>45960</v>
      </c>
      <c r="C1172" t="s">
        <v>221</v>
      </c>
      <c r="D1172">
        <v>12</v>
      </c>
      <c r="E1172" t="s">
        <v>2608</v>
      </c>
      <c r="F1172" t="s">
        <v>211</v>
      </c>
      <c r="G1172" t="s">
        <v>2609</v>
      </c>
      <c r="H1172" t="s">
        <v>2610</v>
      </c>
      <c r="I1172" t="s">
        <v>83</v>
      </c>
      <c r="J1172" s="3" t="s">
        <v>2643</v>
      </c>
      <c r="K1172" t="s">
        <v>2592</v>
      </c>
      <c r="L1172" s="4">
        <v>4</v>
      </c>
      <c r="M1172" s="4">
        <v>0</v>
      </c>
      <c r="N1172">
        <v>4</v>
      </c>
      <c r="O1172" t="s">
        <v>2642</v>
      </c>
      <c r="P1172">
        <v>4</v>
      </c>
      <c r="Q1172">
        <f>QtyRemaining*EstMfgMin/60</f>
        <v>0.26666666666666666</v>
      </c>
      <c r="U1172" t="e">
        <f t="shared" si="38"/>
        <v>#REF!</v>
      </c>
      <c r="V1172" s="5" t="e">
        <f t="shared" si="39"/>
        <v>#REF!</v>
      </c>
    </row>
    <row r="1173" spans="1:22" x14ac:dyDescent="0.25">
      <c r="A1173" s="2">
        <v>46097</v>
      </c>
      <c r="B1173" s="2">
        <v>45960</v>
      </c>
      <c r="C1173" t="s">
        <v>221</v>
      </c>
      <c r="D1173">
        <v>12</v>
      </c>
      <c r="E1173" t="s">
        <v>2608</v>
      </c>
      <c r="F1173" t="s">
        <v>211</v>
      </c>
      <c r="G1173" t="s">
        <v>2609</v>
      </c>
      <c r="H1173" t="s">
        <v>2610</v>
      </c>
      <c r="I1173" t="s">
        <v>83</v>
      </c>
      <c r="J1173" s="3" t="s">
        <v>2644</v>
      </c>
      <c r="K1173" t="s">
        <v>2592</v>
      </c>
      <c r="L1173" s="4">
        <v>18</v>
      </c>
      <c r="M1173" s="4">
        <v>0</v>
      </c>
      <c r="N1173">
        <v>18</v>
      </c>
      <c r="O1173" t="s">
        <v>2642</v>
      </c>
      <c r="P1173">
        <v>15</v>
      </c>
      <c r="Q1173">
        <f>QtyRemaining*EstMfgMin/60</f>
        <v>4.5</v>
      </c>
      <c r="U1173" t="e">
        <f t="shared" si="38"/>
        <v>#REF!</v>
      </c>
      <c r="V1173" s="5" t="e">
        <f t="shared" si="39"/>
        <v>#REF!</v>
      </c>
    </row>
    <row r="1174" spans="1:22" x14ac:dyDescent="0.25">
      <c r="A1174" s="2">
        <v>46097</v>
      </c>
      <c r="B1174" s="2">
        <v>45960</v>
      </c>
      <c r="C1174" t="s">
        <v>221</v>
      </c>
      <c r="D1174">
        <v>12</v>
      </c>
      <c r="E1174" t="s">
        <v>2608</v>
      </c>
      <c r="F1174" t="s">
        <v>211</v>
      </c>
      <c r="G1174" t="s">
        <v>2609</v>
      </c>
      <c r="H1174" t="s">
        <v>2610</v>
      </c>
      <c r="I1174" t="s">
        <v>83</v>
      </c>
      <c r="J1174" s="3" t="s">
        <v>2644</v>
      </c>
      <c r="K1174" t="s">
        <v>2592</v>
      </c>
      <c r="L1174" s="4">
        <v>2</v>
      </c>
      <c r="M1174" s="4">
        <v>0</v>
      </c>
      <c r="N1174">
        <v>2</v>
      </c>
      <c r="O1174" t="s">
        <v>2642</v>
      </c>
      <c r="P1174">
        <v>15</v>
      </c>
      <c r="Q1174">
        <f>QtyRemaining*EstMfgMin/60</f>
        <v>0.5</v>
      </c>
      <c r="U1174" t="e">
        <f t="shared" si="38"/>
        <v>#REF!</v>
      </c>
      <c r="V1174" s="5" t="e">
        <f t="shared" si="39"/>
        <v>#REF!</v>
      </c>
    </row>
    <row r="1175" spans="1:22" x14ac:dyDescent="0.25">
      <c r="A1175" s="2">
        <v>46097</v>
      </c>
      <c r="B1175" s="2">
        <v>45960</v>
      </c>
      <c r="C1175" t="s">
        <v>221</v>
      </c>
      <c r="D1175">
        <v>12</v>
      </c>
      <c r="E1175" t="s">
        <v>2608</v>
      </c>
      <c r="F1175" t="s">
        <v>211</v>
      </c>
      <c r="G1175" t="s">
        <v>2609</v>
      </c>
      <c r="H1175" t="s">
        <v>2610</v>
      </c>
      <c r="I1175" t="s">
        <v>83</v>
      </c>
      <c r="J1175" s="3" t="s">
        <v>2645</v>
      </c>
      <c r="K1175" t="s">
        <v>2592</v>
      </c>
      <c r="L1175" s="4">
        <v>18</v>
      </c>
      <c r="M1175" s="4">
        <v>0</v>
      </c>
      <c r="N1175">
        <v>18</v>
      </c>
      <c r="O1175" t="s">
        <v>2642</v>
      </c>
      <c r="P1175">
        <v>4</v>
      </c>
      <c r="Q1175">
        <f>QtyRemaining*EstMfgMin/60</f>
        <v>1.2</v>
      </c>
      <c r="U1175" t="e">
        <f t="shared" si="38"/>
        <v>#REF!</v>
      </c>
      <c r="V1175" s="5" t="e">
        <f t="shared" si="39"/>
        <v>#REF!</v>
      </c>
    </row>
    <row r="1176" spans="1:22" x14ac:dyDescent="0.25">
      <c r="A1176" s="2">
        <v>46097</v>
      </c>
      <c r="B1176" s="2">
        <v>45960</v>
      </c>
      <c r="C1176" t="s">
        <v>221</v>
      </c>
      <c r="D1176">
        <v>12</v>
      </c>
      <c r="E1176" t="s">
        <v>2608</v>
      </c>
      <c r="F1176" t="s">
        <v>211</v>
      </c>
      <c r="G1176" t="s">
        <v>2609</v>
      </c>
      <c r="H1176" t="s">
        <v>2610</v>
      </c>
      <c r="I1176" t="s">
        <v>83</v>
      </c>
      <c r="J1176" s="3" t="s">
        <v>2645</v>
      </c>
      <c r="K1176" t="s">
        <v>2592</v>
      </c>
      <c r="L1176" s="4">
        <v>2</v>
      </c>
      <c r="M1176" s="4">
        <v>0</v>
      </c>
      <c r="N1176">
        <v>2</v>
      </c>
      <c r="O1176" t="s">
        <v>2642</v>
      </c>
      <c r="P1176">
        <v>4</v>
      </c>
      <c r="Q1176">
        <f>QtyRemaining*EstMfgMin/60</f>
        <v>0.13333333333333333</v>
      </c>
      <c r="U1176" t="e">
        <f t="shared" si="38"/>
        <v>#REF!</v>
      </c>
      <c r="V1176" s="5" t="e">
        <f t="shared" si="39"/>
        <v>#REF!</v>
      </c>
    </row>
    <row r="1177" spans="1:22" x14ac:dyDescent="0.25">
      <c r="A1177" s="2">
        <v>46097</v>
      </c>
      <c r="B1177" s="2">
        <v>45960</v>
      </c>
      <c r="C1177" t="s">
        <v>221</v>
      </c>
      <c r="D1177">
        <v>12</v>
      </c>
      <c r="E1177" t="s">
        <v>2608</v>
      </c>
      <c r="F1177" t="s">
        <v>211</v>
      </c>
      <c r="G1177" t="s">
        <v>2609</v>
      </c>
      <c r="H1177" t="s">
        <v>2610</v>
      </c>
      <c r="I1177" t="s">
        <v>83</v>
      </c>
      <c r="J1177" s="3" t="s">
        <v>2646</v>
      </c>
      <c r="K1177" t="s">
        <v>2647</v>
      </c>
      <c r="L1177" s="4">
        <v>5</v>
      </c>
      <c r="M1177" s="4">
        <v>0</v>
      </c>
      <c r="N1177">
        <v>5</v>
      </c>
      <c r="O1177" t="s">
        <v>176</v>
      </c>
      <c r="P1177">
        <v>112</v>
      </c>
      <c r="Q1177">
        <f>QtyRemaining*EstMfgMin/60</f>
        <v>9.3333333333333339</v>
      </c>
      <c r="U1177" t="e">
        <f t="shared" si="38"/>
        <v>#REF!</v>
      </c>
      <c r="V1177" s="5" t="e">
        <f t="shared" si="39"/>
        <v>#REF!</v>
      </c>
    </row>
    <row r="1178" spans="1:22" x14ac:dyDescent="0.25">
      <c r="A1178" s="2">
        <v>46097</v>
      </c>
      <c r="B1178" s="2">
        <v>45975</v>
      </c>
      <c r="C1178" t="s">
        <v>633</v>
      </c>
      <c r="D1178">
        <v>12</v>
      </c>
      <c r="E1178" t="s">
        <v>2648</v>
      </c>
      <c r="F1178" t="s">
        <v>261</v>
      </c>
      <c r="G1178" t="s">
        <v>262</v>
      </c>
      <c r="H1178" t="s">
        <v>2649</v>
      </c>
      <c r="I1178" t="s">
        <v>155</v>
      </c>
      <c r="J1178" s="3" t="s">
        <v>2650</v>
      </c>
      <c r="K1178" t="s">
        <v>2651</v>
      </c>
      <c r="L1178" s="4">
        <v>379</v>
      </c>
      <c r="M1178" s="4">
        <v>0</v>
      </c>
      <c r="N1178">
        <v>379</v>
      </c>
      <c r="O1178" t="s">
        <v>86</v>
      </c>
      <c r="P1178">
        <v>0</v>
      </c>
      <c r="Q1178">
        <f>QtyRemaining*EstMfgMin/60</f>
        <v>0</v>
      </c>
      <c r="U1178" t="e">
        <f t="shared" si="38"/>
        <v>#REF!</v>
      </c>
      <c r="V1178" s="5" t="e">
        <f t="shared" si="39"/>
        <v>#REF!</v>
      </c>
    </row>
    <row r="1179" spans="1:22" x14ac:dyDescent="0.25">
      <c r="A1179" s="2">
        <v>46097</v>
      </c>
      <c r="B1179" s="2">
        <v>45986</v>
      </c>
      <c r="C1179" t="s">
        <v>1821</v>
      </c>
      <c r="D1179">
        <v>12</v>
      </c>
      <c r="E1179" t="s">
        <v>2652</v>
      </c>
      <c r="F1179" t="s">
        <v>261</v>
      </c>
      <c r="G1179" t="s">
        <v>1823</v>
      </c>
      <c r="H1179" t="s">
        <v>2653</v>
      </c>
      <c r="I1179" t="s">
        <v>874</v>
      </c>
      <c r="J1179" s="3" t="s">
        <v>2654</v>
      </c>
      <c r="K1179" t="s">
        <v>2655</v>
      </c>
      <c r="L1179" s="4">
        <v>1</v>
      </c>
      <c r="M1179" s="4">
        <v>0</v>
      </c>
      <c r="N1179">
        <v>1</v>
      </c>
      <c r="P1179">
        <v>0</v>
      </c>
      <c r="Q1179">
        <f>QtyRemaining*EstMfgMin/60</f>
        <v>0</v>
      </c>
      <c r="U1179" t="e">
        <f t="shared" si="38"/>
        <v>#REF!</v>
      </c>
      <c r="V1179" s="5" t="e">
        <f t="shared" si="39"/>
        <v>#REF!</v>
      </c>
    </row>
    <row r="1180" spans="1:22" x14ac:dyDescent="0.25">
      <c r="A1180" s="2">
        <v>46097</v>
      </c>
      <c r="B1180" s="2">
        <v>45986</v>
      </c>
      <c r="C1180" t="s">
        <v>1821</v>
      </c>
      <c r="D1180">
        <v>12</v>
      </c>
      <c r="E1180" t="s">
        <v>2652</v>
      </c>
      <c r="F1180" t="s">
        <v>261</v>
      </c>
      <c r="G1180" t="s">
        <v>1823</v>
      </c>
      <c r="H1180" t="s">
        <v>2653</v>
      </c>
      <c r="I1180" t="s">
        <v>83</v>
      </c>
      <c r="J1180" s="3" t="s">
        <v>2656</v>
      </c>
      <c r="K1180" t="s">
        <v>2657</v>
      </c>
      <c r="L1180" s="4">
        <v>30</v>
      </c>
      <c r="M1180" s="4">
        <v>0</v>
      </c>
      <c r="N1180">
        <v>30</v>
      </c>
      <c r="O1180" t="s">
        <v>94</v>
      </c>
      <c r="P1180">
        <v>20</v>
      </c>
      <c r="Q1180">
        <f>QtyRemaining*EstMfgMin/60</f>
        <v>10</v>
      </c>
      <c r="U1180" t="e">
        <f t="shared" si="38"/>
        <v>#REF!</v>
      </c>
      <c r="V1180" s="5" t="e">
        <f t="shared" si="39"/>
        <v>#REF!</v>
      </c>
    </row>
    <row r="1181" spans="1:22" x14ac:dyDescent="0.25">
      <c r="A1181" s="2">
        <v>46097</v>
      </c>
      <c r="B1181" s="2">
        <v>46043</v>
      </c>
      <c r="C1181" t="s">
        <v>465</v>
      </c>
      <c r="D1181">
        <v>12</v>
      </c>
      <c r="E1181" t="s">
        <v>1249</v>
      </c>
      <c r="F1181" t="s">
        <v>211</v>
      </c>
      <c r="G1181" t="s">
        <v>467</v>
      </c>
      <c r="H1181" t="s">
        <v>1250</v>
      </c>
      <c r="I1181" t="s">
        <v>214</v>
      </c>
      <c r="J1181" s="3" t="s">
        <v>2658</v>
      </c>
      <c r="K1181" t="s">
        <v>2659</v>
      </c>
      <c r="L1181" s="4">
        <v>5</v>
      </c>
      <c r="M1181" s="4">
        <v>0</v>
      </c>
      <c r="N1181">
        <v>5</v>
      </c>
      <c r="O1181" t="s">
        <v>176</v>
      </c>
      <c r="P1181">
        <v>64</v>
      </c>
      <c r="Q1181">
        <f>QtyRemaining*EstMfgMin/60</f>
        <v>5.333333333333333</v>
      </c>
      <c r="U1181" t="e">
        <f t="shared" si="38"/>
        <v>#REF!</v>
      </c>
      <c r="V1181" s="5" t="e">
        <f t="shared" si="39"/>
        <v>#REF!</v>
      </c>
    </row>
    <row r="1182" spans="1:22" x14ac:dyDescent="0.25">
      <c r="A1182" s="2">
        <v>46097</v>
      </c>
      <c r="B1182" s="2">
        <v>46045</v>
      </c>
      <c r="C1182" t="s">
        <v>465</v>
      </c>
      <c r="D1182">
        <v>12</v>
      </c>
      <c r="E1182" t="s">
        <v>2317</v>
      </c>
      <c r="F1182" t="s">
        <v>211</v>
      </c>
      <c r="G1182" t="s">
        <v>467</v>
      </c>
      <c r="H1182" t="s">
        <v>2318</v>
      </c>
      <c r="I1182" t="s">
        <v>214</v>
      </c>
      <c r="J1182" s="3" t="s">
        <v>2049</v>
      </c>
      <c r="K1182" t="s">
        <v>2050</v>
      </c>
      <c r="L1182" s="4">
        <v>1</v>
      </c>
      <c r="M1182" s="4">
        <v>0</v>
      </c>
      <c r="N1182">
        <v>1</v>
      </c>
      <c r="O1182" t="s">
        <v>176</v>
      </c>
      <c r="P1182">
        <v>56</v>
      </c>
      <c r="Q1182">
        <f>QtyRemaining*EstMfgMin/60</f>
        <v>0.93333333333333335</v>
      </c>
      <c r="U1182" t="e">
        <f t="shared" si="38"/>
        <v>#REF!</v>
      </c>
      <c r="V1182" s="5" t="e">
        <f t="shared" si="39"/>
        <v>#REF!</v>
      </c>
    </row>
    <row r="1183" spans="1:22" x14ac:dyDescent="0.25">
      <c r="A1183" s="2">
        <v>46098</v>
      </c>
      <c r="B1183" s="2">
        <v>45840</v>
      </c>
      <c r="C1183" t="s">
        <v>485</v>
      </c>
      <c r="D1183">
        <v>12</v>
      </c>
      <c r="E1183" t="s">
        <v>2660</v>
      </c>
      <c r="F1183" t="s">
        <v>211</v>
      </c>
      <c r="G1183" t="s">
        <v>864</v>
      </c>
      <c r="H1183" t="s">
        <v>2661</v>
      </c>
      <c r="I1183" t="s">
        <v>214</v>
      </c>
      <c r="J1183" s="3" t="s">
        <v>2662</v>
      </c>
      <c r="K1183" t="s">
        <v>1776</v>
      </c>
      <c r="L1183" s="4">
        <v>50</v>
      </c>
      <c r="M1183" s="4">
        <v>0</v>
      </c>
      <c r="N1183">
        <v>50</v>
      </c>
      <c r="O1183" t="s">
        <v>176</v>
      </c>
      <c r="P1183">
        <v>9</v>
      </c>
      <c r="Q1183">
        <f>QtyRemaining*EstMfgMin/60</f>
        <v>7.5</v>
      </c>
      <c r="U1183" t="e">
        <f t="shared" si="38"/>
        <v>#REF!</v>
      </c>
      <c r="V1183" s="5" t="e">
        <f t="shared" si="39"/>
        <v>#REF!</v>
      </c>
    </row>
    <row r="1184" spans="1:22" x14ac:dyDescent="0.25">
      <c r="A1184" s="2">
        <v>46099</v>
      </c>
      <c r="B1184" s="2">
        <v>45908</v>
      </c>
      <c r="C1184" t="s">
        <v>478</v>
      </c>
      <c r="D1184">
        <v>12</v>
      </c>
      <c r="E1184" t="s">
        <v>1105</v>
      </c>
      <c r="F1184" t="s">
        <v>261</v>
      </c>
      <c r="G1184" t="s">
        <v>670</v>
      </c>
      <c r="H1184" t="s">
        <v>1106</v>
      </c>
      <c r="I1184" t="s">
        <v>155</v>
      </c>
      <c r="J1184" s="3" t="s">
        <v>2663</v>
      </c>
      <c r="K1184" t="s">
        <v>1335</v>
      </c>
      <c r="L1184" s="4">
        <v>500</v>
      </c>
      <c r="M1184" s="4">
        <v>0</v>
      </c>
      <c r="N1184">
        <v>500</v>
      </c>
      <c r="O1184" t="s">
        <v>118</v>
      </c>
      <c r="P1184">
        <v>118</v>
      </c>
      <c r="Q1184">
        <f>QtyRemaining*EstMfgMin/60</f>
        <v>983.33333333333337</v>
      </c>
      <c r="U1184" t="e">
        <f t="shared" si="38"/>
        <v>#REF!</v>
      </c>
      <c r="V1184" s="5" t="e">
        <f t="shared" si="39"/>
        <v>#REF!</v>
      </c>
    </row>
    <row r="1185" spans="1:22" x14ac:dyDescent="0.25">
      <c r="A1185" s="2">
        <v>46099</v>
      </c>
      <c r="B1185" s="2">
        <v>45908</v>
      </c>
      <c r="C1185" t="s">
        <v>478</v>
      </c>
      <c r="D1185">
        <v>12</v>
      </c>
      <c r="E1185" t="s">
        <v>1105</v>
      </c>
      <c r="F1185" t="s">
        <v>261</v>
      </c>
      <c r="G1185" t="s">
        <v>670</v>
      </c>
      <c r="H1185" t="s">
        <v>1106</v>
      </c>
      <c r="I1185" t="s">
        <v>155</v>
      </c>
      <c r="J1185" s="3" t="s">
        <v>2664</v>
      </c>
      <c r="K1185" t="s">
        <v>2665</v>
      </c>
      <c r="L1185" s="4">
        <v>500</v>
      </c>
      <c r="M1185" s="4">
        <v>0</v>
      </c>
      <c r="N1185">
        <v>500</v>
      </c>
      <c r="P1185">
        <v>0</v>
      </c>
      <c r="Q1185">
        <f>QtyRemaining*EstMfgMin/60</f>
        <v>0</v>
      </c>
      <c r="U1185" t="e">
        <f t="shared" si="38"/>
        <v>#REF!</v>
      </c>
      <c r="V1185" s="5" t="e">
        <f t="shared" si="39"/>
        <v>#REF!</v>
      </c>
    </row>
    <row r="1186" spans="1:22" x14ac:dyDescent="0.25">
      <c r="A1186" s="2">
        <v>46099</v>
      </c>
      <c r="B1186" s="2">
        <v>45933</v>
      </c>
      <c r="C1186" t="s">
        <v>523</v>
      </c>
      <c r="D1186">
        <v>12</v>
      </c>
      <c r="E1186" t="s">
        <v>1998</v>
      </c>
      <c r="F1186" t="s">
        <v>211</v>
      </c>
      <c r="G1186" t="s">
        <v>1999</v>
      </c>
      <c r="H1186" t="s">
        <v>2000</v>
      </c>
      <c r="I1186" t="s">
        <v>83</v>
      </c>
      <c r="J1186" s="3" t="s">
        <v>2001</v>
      </c>
      <c r="K1186" t="s">
        <v>2002</v>
      </c>
      <c r="L1186" s="4">
        <v>4</v>
      </c>
      <c r="M1186" s="4">
        <v>0</v>
      </c>
      <c r="N1186">
        <v>4</v>
      </c>
      <c r="O1186" t="s">
        <v>94</v>
      </c>
      <c r="P1186">
        <v>600</v>
      </c>
      <c r="Q1186">
        <f>QtyRemaining*EstMfgMin/60</f>
        <v>40</v>
      </c>
      <c r="U1186" t="e">
        <f t="shared" si="38"/>
        <v>#REF!</v>
      </c>
      <c r="V1186" s="5" t="e">
        <f t="shared" si="39"/>
        <v>#REF!</v>
      </c>
    </row>
    <row r="1187" spans="1:22" x14ac:dyDescent="0.25">
      <c r="A1187" s="2">
        <v>46099</v>
      </c>
      <c r="B1187" s="2">
        <v>45933</v>
      </c>
      <c r="C1187" t="s">
        <v>523</v>
      </c>
      <c r="D1187">
        <v>12</v>
      </c>
      <c r="E1187" t="s">
        <v>1998</v>
      </c>
      <c r="F1187" t="s">
        <v>211</v>
      </c>
      <c r="G1187" t="s">
        <v>1999</v>
      </c>
      <c r="H1187" t="s">
        <v>2000</v>
      </c>
      <c r="I1187" t="s">
        <v>83</v>
      </c>
      <c r="J1187" s="3" t="s">
        <v>2003</v>
      </c>
      <c r="K1187" t="s">
        <v>2004</v>
      </c>
      <c r="L1187" s="4">
        <v>4</v>
      </c>
      <c r="M1187" s="4">
        <v>0</v>
      </c>
      <c r="N1187">
        <v>4</v>
      </c>
      <c r="O1187" t="s">
        <v>457</v>
      </c>
      <c r="P1187">
        <v>240</v>
      </c>
      <c r="Q1187">
        <f>QtyRemaining*EstMfgMin/60</f>
        <v>16</v>
      </c>
      <c r="U1187" t="e">
        <f t="shared" si="38"/>
        <v>#REF!</v>
      </c>
      <c r="V1187" s="5" t="e">
        <f t="shared" si="39"/>
        <v>#REF!</v>
      </c>
    </row>
    <row r="1188" spans="1:22" x14ac:dyDescent="0.25">
      <c r="A1188" s="2">
        <v>46099</v>
      </c>
      <c r="B1188" s="2">
        <v>45933</v>
      </c>
      <c r="C1188" t="s">
        <v>523</v>
      </c>
      <c r="D1188">
        <v>12</v>
      </c>
      <c r="E1188" t="s">
        <v>1998</v>
      </c>
      <c r="F1188" t="s">
        <v>211</v>
      </c>
      <c r="G1188" t="s">
        <v>1999</v>
      </c>
      <c r="H1188" t="s">
        <v>2000</v>
      </c>
      <c r="I1188" t="s">
        <v>83</v>
      </c>
      <c r="J1188" s="3" t="s">
        <v>2005</v>
      </c>
      <c r="K1188" t="s">
        <v>2006</v>
      </c>
      <c r="L1188" s="4">
        <v>4</v>
      </c>
      <c r="M1188" s="4">
        <v>0</v>
      </c>
      <c r="N1188">
        <v>4</v>
      </c>
      <c r="O1188" t="s">
        <v>457</v>
      </c>
      <c r="P1188">
        <v>240</v>
      </c>
      <c r="Q1188">
        <f>QtyRemaining*EstMfgMin/60</f>
        <v>16</v>
      </c>
      <c r="U1188" t="e">
        <f t="shared" si="38"/>
        <v>#REF!</v>
      </c>
      <c r="V1188" s="5" t="e">
        <f t="shared" si="39"/>
        <v>#REF!</v>
      </c>
    </row>
    <row r="1189" spans="1:22" x14ac:dyDescent="0.25">
      <c r="A1189" s="2">
        <v>46099</v>
      </c>
      <c r="B1189" s="2">
        <v>45940</v>
      </c>
      <c r="C1189" t="s">
        <v>232</v>
      </c>
      <c r="D1189">
        <v>12</v>
      </c>
      <c r="E1189" t="s">
        <v>2666</v>
      </c>
      <c r="F1189" t="s">
        <v>211</v>
      </c>
      <c r="G1189" t="s">
        <v>1184</v>
      </c>
      <c r="H1189" t="s">
        <v>2667</v>
      </c>
      <c r="I1189" t="s">
        <v>83</v>
      </c>
      <c r="J1189" s="3" t="s">
        <v>1564</v>
      </c>
      <c r="K1189" t="s">
        <v>1565</v>
      </c>
      <c r="L1189" s="4">
        <v>2</v>
      </c>
      <c r="M1189" s="4">
        <v>0</v>
      </c>
      <c r="N1189">
        <v>2</v>
      </c>
      <c r="O1189" t="s">
        <v>1566</v>
      </c>
      <c r="P1189">
        <v>92</v>
      </c>
      <c r="Q1189">
        <f>QtyRemaining*EstMfgMin/60</f>
        <v>3.0666666666666669</v>
      </c>
      <c r="U1189" t="e">
        <f t="shared" si="38"/>
        <v>#REF!</v>
      </c>
      <c r="V1189" s="5" t="e">
        <f t="shared" si="39"/>
        <v>#REF!</v>
      </c>
    </row>
    <row r="1190" spans="1:22" x14ac:dyDescent="0.25">
      <c r="A1190" s="2">
        <v>46099</v>
      </c>
      <c r="B1190" s="2">
        <v>45967</v>
      </c>
      <c r="C1190" t="s">
        <v>465</v>
      </c>
      <c r="D1190">
        <v>12</v>
      </c>
      <c r="E1190" t="s">
        <v>1384</v>
      </c>
      <c r="F1190" t="s">
        <v>211</v>
      </c>
      <c r="G1190" t="s">
        <v>467</v>
      </c>
      <c r="H1190" t="s">
        <v>1385</v>
      </c>
      <c r="I1190" t="s">
        <v>214</v>
      </c>
      <c r="J1190" s="3" t="s">
        <v>2668</v>
      </c>
      <c r="K1190" t="s">
        <v>2669</v>
      </c>
      <c r="L1190" s="4">
        <v>6</v>
      </c>
      <c r="M1190" s="4">
        <v>0</v>
      </c>
      <c r="N1190">
        <v>6</v>
      </c>
      <c r="O1190" t="s">
        <v>86</v>
      </c>
      <c r="P1190">
        <v>14</v>
      </c>
      <c r="Q1190">
        <f>QtyRemaining*EstMfgMin/60</f>
        <v>1.4</v>
      </c>
      <c r="U1190" t="e">
        <f t="shared" si="38"/>
        <v>#REF!</v>
      </c>
      <c r="V1190" s="5" t="e">
        <f t="shared" si="39"/>
        <v>#REF!</v>
      </c>
    </row>
    <row r="1191" spans="1:22" x14ac:dyDescent="0.25">
      <c r="A1191" s="2">
        <v>46099</v>
      </c>
      <c r="B1191" s="2">
        <v>45994</v>
      </c>
      <c r="C1191" t="s">
        <v>465</v>
      </c>
      <c r="D1191">
        <v>12</v>
      </c>
      <c r="E1191" t="s">
        <v>2670</v>
      </c>
      <c r="F1191" t="s">
        <v>211</v>
      </c>
      <c r="G1191" t="s">
        <v>467</v>
      </c>
      <c r="H1191" t="s">
        <v>2671</v>
      </c>
      <c r="I1191" t="s">
        <v>214</v>
      </c>
      <c r="J1191" s="3" t="s">
        <v>2011</v>
      </c>
      <c r="K1191" t="s">
        <v>2012</v>
      </c>
      <c r="L1191" s="4">
        <v>8</v>
      </c>
      <c r="M1191" s="4">
        <v>0</v>
      </c>
      <c r="N1191">
        <v>8</v>
      </c>
      <c r="O1191" t="s">
        <v>176</v>
      </c>
      <c r="P1191">
        <v>5</v>
      </c>
      <c r="Q1191">
        <f>QtyRemaining*EstMfgMin/60</f>
        <v>0.66666666666666663</v>
      </c>
      <c r="U1191" t="e">
        <f t="shared" si="38"/>
        <v>#REF!</v>
      </c>
      <c r="V1191" s="5" t="e">
        <f t="shared" si="39"/>
        <v>#REF!</v>
      </c>
    </row>
    <row r="1192" spans="1:22" x14ac:dyDescent="0.25">
      <c r="A1192" s="2">
        <v>46099</v>
      </c>
      <c r="B1192" s="2">
        <v>45994</v>
      </c>
      <c r="C1192" t="s">
        <v>465</v>
      </c>
      <c r="D1192">
        <v>12</v>
      </c>
      <c r="E1192" t="s">
        <v>2670</v>
      </c>
      <c r="F1192" t="s">
        <v>211</v>
      </c>
      <c r="G1192" t="s">
        <v>467</v>
      </c>
      <c r="H1192" t="s">
        <v>2671</v>
      </c>
      <c r="I1192" t="s">
        <v>214</v>
      </c>
      <c r="J1192" s="3" t="s">
        <v>2013</v>
      </c>
      <c r="K1192" t="s">
        <v>2014</v>
      </c>
      <c r="L1192" s="4">
        <v>8</v>
      </c>
      <c r="M1192" s="4">
        <v>0</v>
      </c>
      <c r="N1192">
        <v>8</v>
      </c>
      <c r="O1192" t="s">
        <v>86</v>
      </c>
      <c r="P1192">
        <v>5</v>
      </c>
      <c r="Q1192">
        <f>QtyRemaining*EstMfgMin/60</f>
        <v>0.66666666666666663</v>
      </c>
      <c r="U1192" t="e">
        <f t="shared" si="38"/>
        <v>#REF!</v>
      </c>
      <c r="V1192" s="5" t="e">
        <f t="shared" si="39"/>
        <v>#REF!</v>
      </c>
    </row>
    <row r="1193" spans="1:22" x14ac:dyDescent="0.25">
      <c r="A1193" s="2">
        <v>46099</v>
      </c>
      <c r="B1193" s="2">
        <v>45994</v>
      </c>
      <c r="C1193" t="s">
        <v>465</v>
      </c>
      <c r="D1193">
        <v>12</v>
      </c>
      <c r="E1193" t="s">
        <v>2670</v>
      </c>
      <c r="F1193" t="s">
        <v>211</v>
      </c>
      <c r="G1193" t="s">
        <v>467</v>
      </c>
      <c r="H1193" t="s">
        <v>2671</v>
      </c>
      <c r="I1193" t="s">
        <v>214</v>
      </c>
      <c r="J1193" s="3" t="s">
        <v>2668</v>
      </c>
      <c r="K1193" t="s">
        <v>2669</v>
      </c>
      <c r="L1193" s="4">
        <v>2</v>
      </c>
      <c r="M1193" s="4">
        <v>0</v>
      </c>
      <c r="N1193">
        <v>2</v>
      </c>
      <c r="O1193" t="s">
        <v>86</v>
      </c>
      <c r="P1193">
        <v>14</v>
      </c>
      <c r="Q1193">
        <f>QtyRemaining*EstMfgMin/60</f>
        <v>0.46666666666666667</v>
      </c>
      <c r="U1193" t="e">
        <f t="shared" si="38"/>
        <v>#REF!</v>
      </c>
      <c r="V1193" s="5" t="e">
        <f t="shared" si="39"/>
        <v>#REF!</v>
      </c>
    </row>
    <row r="1194" spans="1:22" x14ac:dyDescent="0.25">
      <c r="A1194" s="2">
        <v>46099</v>
      </c>
      <c r="B1194" s="2">
        <v>46010</v>
      </c>
      <c r="C1194" t="s">
        <v>465</v>
      </c>
      <c r="D1194">
        <v>12</v>
      </c>
      <c r="E1194" t="s">
        <v>2176</v>
      </c>
      <c r="F1194" t="s">
        <v>211</v>
      </c>
      <c r="G1194" t="s">
        <v>467</v>
      </c>
      <c r="H1194" t="s">
        <v>2177</v>
      </c>
      <c r="I1194" t="s">
        <v>214</v>
      </c>
      <c r="J1194" s="3" t="s">
        <v>1200</v>
      </c>
      <c r="K1194" t="s">
        <v>1201</v>
      </c>
      <c r="L1194" s="4">
        <v>8</v>
      </c>
      <c r="M1194" s="4">
        <v>0</v>
      </c>
      <c r="N1194">
        <v>8</v>
      </c>
      <c r="O1194" t="s">
        <v>176</v>
      </c>
      <c r="P1194">
        <v>5</v>
      </c>
      <c r="Q1194">
        <f>QtyRemaining*EstMfgMin/60</f>
        <v>0.66666666666666663</v>
      </c>
      <c r="U1194" t="e">
        <f t="shared" si="38"/>
        <v>#REF!</v>
      </c>
      <c r="V1194" s="5" t="e">
        <f t="shared" si="39"/>
        <v>#REF!</v>
      </c>
    </row>
    <row r="1195" spans="1:22" x14ac:dyDescent="0.25">
      <c r="A1195" s="2">
        <v>46099</v>
      </c>
      <c r="B1195" s="2">
        <v>46027</v>
      </c>
      <c r="C1195" t="s">
        <v>287</v>
      </c>
      <c r="D1195">
        <v>12</v>
      </c>
      <c r="E1195" t="s">
        <v>2672</v>
      </c>
      <c r="F1195" t="s">
        <v>211</v>
      </c>
      <c r="G1195" t="s">
        <v>289</v>
      </c>
      <c r="H1195" t="s">
        <v>2673</v>
      </c>
      <c r="I1195" t="s">
        <v>214</v>
      </c>
      <c r="J1195" s="3" t="s">
        <v>2674</v>
      </c>
      <c r="K1195" t="s">
        <v>2675</v>
      </c>
      <c r="L1195" s="4">
        <v>500</v>
      </c>
      <c r="M1195" s="4">
        <v>0</v>
      </c>
      <c r="N1195">
        <v>500</v>
      </c>
      <c r="O1195" t="s">
        <v>86</v>
      </c>
      <c r="P1195">
        <v>10</v>
      </c>
      <c r="Q1195">
        <f>QtyRemaining*EstMfgMin/60</f>
        <v>83.333333333333329</v>
      </c>
      <c r="U1195" t="e">
        <f t="shared" si="38"/>
        <v>#REF!</v>
      </c>
      <c r="V1195" s="5" t="e">
        <f t="shared" si="39"/>
        <v>#REF!</v>
      </c>
    </row>
    <row r="1196" spans="1:22" x14ac:dyDescent="0.25">
      <c r="A1196" s="2">
        <v>46100</v>
      </c>
      <c r="B1196" s="2">
        <v>45950</v>
      </c>
      <c r="C1196" t="s">
        <v>465</v>
      </c>
      <c r="D1196">
        <v>12</v>
      </c>
      <c r="E1196" t="s">
        <v>1493</v>
      </c>
      <c r="F1196" t="s">
        <v>211</v>
      </c>
      <c r="G1196" t="s">
        <v>467</v>
      </c>
      <c r="H1196" t="s">
        <v>1494</v>
      </c>
      <c r="I1196" t="s">
        <v>214</v>
      </c>
      <c r="J1196" s="3" t="s">
        <v>2676</v>
      </c>
      <c r="K1196" t="s">
        <v>2677</v>
      </c>
      <c r="L1196" s="4">
        <v>6</v>
      </c>
      <c r="M1196" s="4">
        <v>0</v>
      </c>
      <c r="N1196">
        <v>6</v>
      </c>
      <c r="O1196" t="s">
        <v>266</v>
      </c>
      <c r="P1196">
        <v>30</v>
      </c>
      <c r="Q1196">
        <f>QtyRemaining*EstMfgMin/60</f>
        <v>3</v>
      </c>
      <c r="U1196" t="e">
        <f t="shared" si="38"/>
        <v>#REF!</v>
      </c>
      <c r="V1196" s="5" t="e">
        <f t="shared" si="39"/>
        <v>#REF!</v>
      </c>
    </row>
    <row r="1197" spans="1:22" x14ac:dyDescent="0.25">
      <c r="A1197" s="2">
        <v>46100</v>
      </c>
      <c r="B1197" s="2">
        <v>45979</v>
      </c>
      <c r="C1197" t="s">
        <v>570</v>
      </c>
      <c r="D1197">
        <v>12</v>
      </c>
      <c r="E1197" t="s">
        <v>2678</v>
      </c>
      <c r="F1197" t="s">
        <v>261</v>
      </c>
      <c r="G1197" t="s">
        <v>529</v>
      </c>
      <c r="H1197" t="s">
        <v>2679</v>
      </c>
      <c r="I1197" t="s">
        <v>83</v>
      </c>
      <c r="J1197" s="3" t="s">
        <v>2680</v>
      </c>
      <c r="K1197" t="s">
        <v>2681</v>
      </c>
      <c r="L1197" s="4">
        <v>9</v>
      </c>
      <c r="M1197" s="4">
        <v>0</v>
      </c>
      <c r="N1197">
        <v>9</v>
      </c>
      <c r="O1197" t="s">
        <v>118</v>
      </c>
      <c r="P1197">
        <v>80</v>
      </c>
      <c r="Q1197">
        <f>QtyRemaining*EstMfgMin/60</f>
        <v>12</v>
      </c>
      <c r="U1197" t="e">
        <f t="shared" si="38"/>
        <v>#REF!</v>
      </c>
      <c r="V1197" s="5" t="e">
        <f t="shared" si="39"/>
        <v>#REF!</v>
      </c>
    </row>
    <row r="1198" spans="1:22" x14ac:dyDescent="0.25">
      <c r="A1198" s="2">
        <v>46100</v>
      </c>
      <c r="B1198" s="2">
        <v>45979</v>
      </c>
      <c r="C1198" t="s">
        <v>570</v>
      </c>
      <c r="D1198">
        <v>12</v>
      </c>
      <c r="E1198" t="s">
        <v>2678</v>
      </c>
      <c r="F1198" t="s">
        <v>261</v>
      </c>
      <c r="G1198" t="s">
        <v>529</v>
      </c>
      <c r="H1198" t="s">
        <v>2679</v>
      </c>
      <c r="I1198" t="s">
        <v>83</v>
      </c>
      <c r="J1198" s="3" t="s">
        <v>2682</v>
      </c>
      <c r="K1198" t="s">
        <v>2683</v>
      </c>
      <c r="L1198" s="4">
        <v>28</v>
      </c>
      <c r="M1198" s="4">
        <v>0</v>
      </c>
      <c r="N1198">
        <v>28</v>
      </c>
      <c r="O1198" t="s">
        <v>118</v>
      </c>
      <c r="P1198">
        <v>80</v>
      </c>
      <c r="Q1198">
        <f>QtyRemaining*EstMfgMin/60</f>
        <v>37.333333333333336</v>
      </c>
      <c r="U1198" t="e">
        <f t="shared" si="38"/>
        <v>#REF!</v>
      </c>
      <c r="V1198" s="5" t="e">
        <f t="shared" si="39"/>
        <v>#REF!</v>
      </c>
    </row>
    <row r="1199" spans="1:22" x14ac:dyDescent="0.25">
      <c r="A1199" s="2">
        <v>46101</v>
      </c>
      <c r="B1199" s="2">
        <v>45876</v>
      </c>
      <c r="C1199" t="s">
        <v>523</v>
      </c>
      <c r="D1199">
        <v>12</v>
      </c>
      <c r="E1199" t="s">
        <v>2684</v>
      </c>
      <c r="F1199" t="s">
        <v>261</v>
      </c>
      <c r="G1199" t="s">
        <v>262</v>
      </c>
      <c r="H1199" t="s">
        <v>2685</v>
      </c>
      <c r="I1199" t="s">
        <v>155</v>
      </c>
      <c r="J1199" s="3" t="s">
        <v>2686</v>
      </c>
      <c r="K1199" t="s">
        <v>2687</v>
      </c>
      <c r="L1199" s="4">
        <v>27</v>
      </c>
      <c r="M1199" s="4">
        <v>0</v>
      </c>
      <c r="N1199">
        <v>27</v>
      </c>
      <c r="O1199" t="s">
        <v>457</v>
      </c>
      <c r="P1199">
        <v>98</v>
      </c>
      <c r="Q1199">
        <f>QtyRemaining*EstMfgMin/60</f>
        <v>44.1</v>
      </c>
      <c r="U1199" t="e">
        <f t="shared" si="38"/>
        <v>#REF!</v>
      </c>
      <c r="V1199" s="5" t="e">
        <f t="shared" si="39"/>
        <v>#REF!</v>
      </c>
    </row>
    <row r="1200" spans="1:22" x14ac:dyDescent="0.25">
      <c r="A1200" s="2">
        <v>46101</v>
      </c>
      <c r="B1200" s="2">
        <v>45915</v>
      </c>
      <c r="C1200" t="s">
        <v>633</v>
      </c>
      <c r="D1200">
        <v>12</v>
      </c>
      <c r="E1200" t="s">
        <v>2688</v>
      </c>
      <c r="F1200" t="s">
        <v>261</v>
      </c>
      <c r="G1200" t="s">
        <v>262</v>
      </c>
      <c r="H1200" t="s">
        <v>2689</v>
      </c>
      <c r="I1200" t="s">
        <v>83</v>
      </c>
      <c r="J1200" s="3" t="s">
        <v>2690</v>
      </c>
      <c r="K1200" t="s">
        <v>131</v>
      </c>
      <c r="L1200" s="4">
        <v>167</v>
      </c>
      <c r="M1200" s="4">
        <v>0</v>
      </c>
      <c r="N1200">
        <v>167</v>
      </c>
      <c r="O1200" t="s">
        <v>94</v>
      </c>
      <c r="P1200">
        <v>120</v>
      </c>
      <c r="Q1200">
        <f>QtyRemaining*EstMfgMin/60</f>
        <v>334</v>
      </c>
      <c r="U1200" t="e">
        <f t="shared" si="38"/>
        <v>#REF!</v>
      </c>
      <c r="V1200" s="5" t="e">
        <f t="shared" si="39"/>
        <v>#REF!</v>
      </c>
    </row>
    <row r="1201" spans="1:22" x14ac:dyDescent="0.25">
      <c r="A1201" s="2">
        <v>46101</v>
      </c>
      <c r="B1201" s="2">
        <v>45915</v>
      </c>
      <c r="C1201" t="s">
        <v>633</v>
      </c>
      <c r="D1201">
        <v>12</v>
      </c>
      <c r="E1201" t="s">
        <v>2691</v>
      </c>
      <c r="F1201" t="s">
        <v>261</v>
      </c>
      <c r="G1201" t="s">
        <v>262</v>
      </c>
      <c r="H1201" t="s">
        <v>2692</v>
      </c>
      <c r="I1201" t="s">
        <v>83</v>
      </c>
      <c r="J1201" s="3" t="s">
        <v>2690</v>
      </c>
      <c r="K1201" t="s">
        <v>131</v>
      </c>
      <c r="L1201" s="4">
        <v>167</v>
      </c>
      <c r="M1201" s="4">
        <v>0</v>
      </c>
      <c r="N1201">
        <v>167</v>
      </c>
      <c r="O1201" t="s">
        <v>94</v>
      </c>
      <c r="P1201">
        <v>120</v>
      </c>
      <c r="Q1201">
        <f>QtyRemaining*EstMfgMin/60</f>
        <v>334</v>
      </c>
      <c r="U1201" t="e">
        <f t="shared" si="38"/>
        <v>#REF!</v>
      </c>
      <c r="V1201" s="5" t="e">
        <f t="shared" si="39"/>
        <v>#REF!</v>
      </c>
    </row>
    <row r="1202" spans="1:22" x14ac:dyDescent="0.25">
      <c r="A1202" s="2">
        <v>46101</v>
      </c>
      <c r="B1202" s="2">
        <v>45950</v>
      </c>
      <c r="C1202" t="s">
        <v>465</v>
      </c>
      <c r="D1202">
        <v>12</v>
      </c>
      <c r="E1202" t="s">
        <v>1493</v>
      </c>
      <c r="F1202" t="s">
        <v>211</v>
      </c>
      <c r="G1202" t="s">
        <v>467</v>
      </c>
      <c r="H1202" t="s">
        <v>1494</v>
      </c>
      <c r="I1202" t="s">
        <v>214</v>
      </c>
      <c r="J1202" s="3" t="s">
        <v>2693</v>
      </c>
      <c r="K1202" t="s">
        <v>2694</v>
      </c>
      <c r="L1202" s="4">
        <v>1</v>
      </c>
      <c r="M1202" s="4">
        <v>0</v>
      </c>
      <c r="N1202">
        <v>1</v>
      </c>
      <c r="O1202" t="s">
        <v>94</v>
      </c>
      <c r="P1202">
        <v>30</v>
      </c>
      <c r="Q1202">
        <f>QtyRemaining*EstMfgMin/60</f>
        <v>0.5</v>
      </c>
      <c r="U1202" t="e">
        <f t="shared" si="38"/>
        <v>#REF!</v>
      </c>
      <c r="V1202" s="5" t="e">
        <f t="shared" si="39"/>
        <v>#REF!</v>
      </c>
    </row>
    <row r="1203" spans="1:22" x14ac:dyDescent="0.25">
      <c r="A1203" s="2">
        <v>46101</v>
      </c>
      <c r="B1203" s="2">
        <v>45953</v>
      </c>
      <c r="C1203" t="s">
        <v>633</v>
      </c>
      <c r="D1203">
        <v>12</v>
      </c>
      <c r="E1203" t="s">
        <v>1806</v>
      </c>
      <c r="F1203" t="s">
        <v>261</v>
      </c>
      <c r="G1203" t="s">
        <v>1807</v>
      </c>
      <c r="H1203" t="s">
        <v>1808</v>
      </c>
      <c r="I1203" t="s">
        <v>45</v>
      </c>
      <c r="J1203" s="3" t="s">
        <v>1809</v>
      </c>
      <c r="K1203" t="s">
        <v>1810</v>
      </c>
      <c r="L1203" s="4">
        <v>7</v>
      </c>
      <c r="M1203" s="4">
        <v>0</v>
      </c>
      <c r="N1203">
        <v>7</v>
      </c>
      <c r="O1203" t="s">
        <v>118</v>
      </c>
      <c r="P1203">
        <v>0</v>
      </c>
      <c r="Q1203">
        <f>QtyRemaining*EstMfgMin/60</f>
        <v>0</v>
      </c>
      <c r="U1203" t="e">
        <f t="shared" si="38"/>
        <v>#REF!</v>
      </c>
      <c r="V1203" s="5" t="e">
        <f t="shared" si="39"/>
        <v>#REF!</v>
      </c>
    </row>
    <row r="1204" spans="1:22" x14ac:dyDescent="0.25">
      <c r="A1204" s="2">
        <v>46101</v>
      </c>
      <c r="B1204" s="2">
        <v>45957</v>
      </c>
      <c r="C1204" t="s">
        <v>232</v>
      </c>
      <c r="D1204">
        <v>12</v>
      </c>
      <c r="E1204" t="s">
        <v>2069</v>
      </c>
      <c r="F1204" t="s">
        <v>211</v>
      </c>
      <c r="G1204" t="s">
        <v>270</v>
      </c>
      <c r="H1204" t="s">
        <v>2070</v>
      </c>
      <c r="I1204" t="s">
        <v>214</v>
      </c>
      <c r="J1204" s="3" t="s">
        <v>2071</v>
      </c>
      <c r="K1204" t="s">
        <v>2072</v>
      </c>
      <c r="L1204" s="4">
        <v>300</v>
      </c>
      <c r="M1204" s="4">
        <v>0</v>
      </c>
      <c r="N1204">
        <v>300</v>
      </c>
      <c r="O1204" t="s">
        <v>118</v>
      </c>
      <c r="P1204">
        <v>8</v>
      </c>
      <c r="Q1204">
        <f>QtyRemaining*EstMfgMin/60</f>
        <v>40</v>
      </c>
      <c r="U1204" t="e">
        <f t="shared" si="38"/>
        <v>#REF!</v>
      </c>
      <c r="V1204" s="5" t="e">
        <f t="shared" si="39"/>
        <v>#REF!</v>
      </c>
    </row>
    <row r="1205" spans="1:22" x14ac:dyDescent="0.25">
      <c r="A1205" s="2">
        <v>46101</v>
      </c>
      <c r="B1205" s="2">
        <v>45958</v>
      </c>
      <c r="C1205" t="s">
        <v>478</v>
      </c>
      <c r="D1205">
        <v>12</v>
      </c>
      <c r="E1205" t="s">
        <v>1607</v>
      </c>
      <c r="F1205" t="s">
        <v>261</v>
      </c>
      <c r="G1205" t="s">
        <v>670</v>
      </c>
      <c r="H1205" t="s">
        <v>1608</v>
      </c>
      <c r="I1205" t="s">
        <v>83</v>
      </c>
      <c r="J1205" s="3" t="s">
        <v>2695</v>
      </c>
      <c r="K1205" t="s">
        <v>1335</v>
      </c>
      <c r="L1205" s="4">
        <v>34</v>
      </c>
      <c r="M1205" s="4">
        <v>0</v>
      </c>
      <c r="N1205">
        <v>34</v>
      </c>
      <c r="O1205" t="s">
        <v>176</v>
      </c>
      <c r="P1205">
        <v>60</v>
      </c>
      <c r="Q1205">
        <f>QtyRemaining*EstMfgMin/60</f>
        <v>34</v>
      </c>
      <c r="U1205" t="e">
        <f t="shared" si="38"/>
        <v>#REF!</v>
      </c>
      <c r="V1205" s="5" t="e">
        <f t="shared" si="39"/>
        <v>#REF!</v>
      </c>
    </row>
    <row r="1206" spans="1:22" x14ac:dyDescent="0.25">
      <c r="A1206" s="2">
        <v>46101</v>
      </c>
      <c r="B1206" s="2">
        <v>45972</v>
      </c>
      <c r="C1206" t="s">
        <v>650</v>
      </c>
      <c r="D1206">
        <v>12</v>
      </c>
      <c r="E1206" t="s">
        <v>2696</v>
      </c>
      <c r="F1206" t="s">
        <v>283</v>
      </c>
      <c r="G1206" t="s">
        <v>652</v>
      </c>
      <c r="H1206" t="s">
        <v>2697</v>
      </c>
      <c r="I1206" t="s">
        <v>1087</v>
      </c>
      <c r="J1206" s="3" t="s">
        <v>2698</v>
      </c>
      <c r="K1206" t="s">
        <v>2699</v>
      </c>
      <c r="L1206" s="4">
        <v>1</v>
      </c>
      <c r="M1206" s="4">
        <v>0</v>
      </c>
      <c r="N1206">
        <v>1</v>
      </c>
      <c r="O1206" t="s">
        <v>2210</v>
      </c>
      <c r="P1206">
        <v>145</v>
      </c>
      <c r="Q1206">
        <f>QtyRemaining*EstMfgMin/60</f>
        <v>2.4166666666666665</v>
      </c>
      <c r="U1206" t="e">
        <f t="shared" si="38"/>
        <v>#REF!</v>
      </c>
      <c r="V1206" s="5" t="e">
        <f t="shared" si="39"/>
        <v>#REF!</v>
      </c>
    </row>
    <row r="1207" spans="1:22" x14ac:dyDescent="0.25">
      <c r="A1207" s="2">
        <v>46101</v>
      </c>
      <c r="B1207" s="2">
        <v>45995</v>
      </c>
      <c r="C1207" t="s">
        <v>221</v>
      </c>
      <c r="D1207">
        <v>12</v>
      </c>
      <c r="E1207" t="s">
        <v>2700</v>
      </c>
      <c r="F1207" t="s">
        <v>211</v>
      </c>
      <c r="G1207" t="s">
        <v>1731</v>
      </c>
      <c r="H1207" t="s">
        <v>2701</v>
      </c>
      <c r="I1207" t="s">
        <v>256</v>
      </c>
      <c r="J1207" s="3" t="s">
        <v>2702</v>
      </c>
      <c r="K1207" t="s">
        <v>2703</v>
      </c>
      <c r="L1207" s="4">
        <v>150</v>
      </c>
      <c r="M1207" s="4">
        <v>0</v>
      </c>
      <c r="N1207">
        <v>150</v>
      </c>
      <c r="O1207" t="s">
        <v>86</v>
      </c>
      <c r="P1207">
        <v>5</v>
      </c>
      <c r="Q1207">
        <f>QtyRemaining*EstMfgMin/60</f>
        <v>12.5</v>
      </c>
      <c r="U1207" t="e">
        <f t="shared" si="38"/>
        <v>#REF!</v>
      </c>
      <c r="V1207" s="5" t="e">
        <f t="shared" si="39"/>
        <v>#REF!</v>
      </c>
    </row>
    <row r="1208" spans="1:22" x14ac:dyDescent="0.25">
      <c r="A1208" s="2">
        <v>46104</v>
      </c>
      <c r="B1208" s="2">
        <v>45721</v>
      </c>
      <c r="C1208" t="s">
        <v>478</v>
      </c>
      <c r="D1208">
        <v>13</v>
      </c>
      <c r="E1208" t="s">
        <v>2704</v>
      </c>
      <c r="F1208" t="s">
        <v>261</v>
      </c>
      <c r="G1208" t="s">
        <v>510</v>
      </c>
      <c r="H1208" t="s">
        <v>2705</v>
      </c>
      <c r="I1208" t="s">
        <v>83</v>
      </c>
      <c r="J1208" s="3" t="s">
        <v>2706</v>
      </c>
      <c r="K1208" t="s">
        <v>2707</v>
      </c>
      <c r="L1208" s="4">
        <v>40</v>
      </c>
      <c r="M1208" s="4">
        <v>0</v>
      </c>
      <c r="N1208">
        <v>40</v>
      </c>
      <c r="O1208" t="s">
        <v>2708</v>
      </c>
      <c r="P1208">
        <v>168</v>
      </c>
      <c r="Q1208">
        <f>QtyRemaining*EstMfgMin/60</f>
        <v>112</v>
      </c>
      <c r="U1208" t="e">
        <f t="shared" si="38"/>
        <v>#REF!</v>
      </c>
      <c r="V1208" s="5" t="e">
        <f t="shared" si="39"/>
        <v>#REF!</v>
      </c>
    </row>
    <row r="1209" spans="1:22" x14ac:dyDescent="0.25">
      <c r="A1209" s="2">
        <v>46104</v>
      </c>
      <c r="B1209" s="2">
        <v>45721</v>
      </c>
      <c r="C1209" t="s">
        <v>478</v>
      </c>
      <c r="D1209">
        <v>13</v>
      </c>
      <c r="E1209" t="s">
        <v>2704</v>
      </c>
      <c r="F1209" t="s">
        <v>261</v>
      </c>
      <c r="G1209" t="s">
        <v>510</v>
      </c>
      <c r="H1209" t="s">
        <v>2705</v>
      </c>
      <c r="I1209" t="s">
        <v>83</v>
      </c>
      <c r="J1209" s="3" t="s">
        <v>2709</v>
      </c>
      <c r="K1209" t="s">
        <v>2710</v>
      </c>
      <c r="L1209" s="4">
        <v>37</v>
      </c>
      <c r="M1209" s="4">
        <v>0</v>
      </c>
      <c r="N1209">
        <v>37</v>
      </c>
      <c r="O1209" t="s">
        <v>2711</v>
      </c>
      <c r="P1209">
        <v>253</v>
      </c>
      <c r="Q1209">
        <f>QtyRemaining*EstMfgMin/60</f>
        <v>156.01666666666668</v>
      </c>
      <c r="U1209" t="e">
        <f t="shared" si="38"/>
        <v>#REF!</v>
      </c>
      <c r="V1209" s="5" t="e">
        <f t="shared" si="39"/>
        <v>#REF!</v>
      </c>
    </row>
    <row r="1210" spans="1:22" x14ac:dyDescent="0.25">
      <c r="A1210" s="2">
        <v>46104</v>
      </c>
      <c r="B1210" s="2">
        <v>45721</v>
      </c>
      <c r="C1210" t="s">
        <v>478</v>
      </c>
      <c r="D1210">
        <v>13</v>
      </c>
      <c r="E1210" t="s">
        <v>2704</v>
      </c>
      <c r="F1210" t="s">
        <v>261</v>
      </c>
      <c r="G1210" t="s">
        <v>510</v>
      </c>
      <c r="H1210" t="s">
        <v>2705</v>
      </c>
      <c r="I1210" t="s">
        <v>83</v>
      </c>
      <c r="J1210" s="3" t="s">
        <v>2712</v>
      </c>
      <c r="K1210" t="s">
        <v>2713</v>
      </c>
      <c r="L1210" s="4">
        <v>42</v>
      </c>
      <c r="M1210" s="4">
        <v>0</v>
      </c>
      <c r="N1210">
        <v>42</v>
      </c>
      <c r="O1210" t="s">
        <v>2711</v>
      </c>
      <c r="P1210">
        <v>468</v>
      </c>
      <c r="Q1210">
        <f>QtyRemaining*EstMfgMin/60</f>
        <v>327.60000000000002</v>
      </c>
      <c r="U1210" t="e">
        <f t="shared" si="38"/>
        <v>#REF!</v>
      </c>
      <c r="V1210" s="5" t="e">
        <f t="shared" si="39"/>
        <v>#REF!</v>
      </c>
    </row>
    <row r="1211" spans="1:22" x14ac:dyDescent="0.25">
      <c r="A1211" s="2">
        <v>46104</v>
      </c>
      <c r="B1211" s="2">
        <v>45721</v>
      </c>
      <c r="C1211" t="s">
        <v>478</v>
      </c>
      <c r="D1211">
        <v>13</v>
      </c>
      <c r="E1211" t="s">
        <v>2704</v>
      </c>
      <c r="F1211" t="s">
        <v>261</v>
      </c>
      <c r="G1211" t="s">
        <v>510</v>
      </c>
      <c r="H1211" t="s">
        <v>2705</v>
      </c>
      <c r="I1211" t="s">
        <v>45</v>
      </c>
      <c r="J1211" s="3" t="s">
        <v>2714</v>
      </c>
      <c r="K1211" t="s">
        <v>2715</v>
      </c>
      <c r="L1211" s="4">
        <v>43</v>
      </c>
      <c r="M1211" s="4">
        <v>0</v>
      </c>
      <c r="N1211">
        <v>43</v>
      </c>
      <c r="O1211" t="s">
        <v>2716</v>
      </c>
      <c r="P1211">
        <v>0</v>
      </c>
      <c r="Q1211">
        <f>QtyRemaining*EstMfgMin/60</f>
        <v>0</v>
      </c>
      <c r="U1211" t="e">
        <f t="shared" si="38"/>
        <v>#REF!</v>
      </c>
      <c r="V1211" s="5" t="e">
        <f t="shared" si="39"/>
        <v>#REF!</v>
      </c>
    </row>
    <row r="1212" spans="1:22" x14ac:dyDescent="0.25">
      <c r="A1212" s="2">
        <v>46104</v>
      </c>
      <c r="B1212" s="2">
        <v>45721</v>
      </c>
      <c r="C1212" t="s">
        <v>478</v>
      </c>
      <c r="D1212">
        <v>13</v>
      </c>
      <c r="E1212" t="s">
        <v>2704</v>
      </c>
      <c r="F1212" t="s">
        <v>261</v>
      </c>
      <c r="G1212" t="s">
        <v>510</v>
      </c>
      <c r="H1212" t="s">
        <v>2705</v>
      </c>
      <c r="I1212" t="s">
        <v>874</v>
      </c>
      <c r="J1212" s="3" t="s">
        <v>875</v>
      </c>
      <c r="K1212" t="s">
        <v>1115</v>
      </c>
      <c r="L1212" s="4">
        <v>1</v>
      </c>
      <c r="M1212" s="4">
        <v>0</v>
      </c>
      <c r="N1212">
        <v>1</v>
      </c>
      <c r="P1212">
        <v>0</v>
      </c>
      <c r="Q1212">
        <f>QtyRemaining*EstMfgMin/60</f>
        <v>0</v>
      </c>
      <c r="U1212" t="e">
        <f t="shared" si="38"/>
        <v>#REF!</v>
      </c>
      <c r="V1212" s="5" t="e">
        <f t="shared" si="39"/>
        <v>#REF!</v>
      </c>
    </row>
    <row r="1213" spans="1:22" x14ac:dyDescent="0.25">
      <c r="A1213" s="2">
        <v>46104</v>
      </c>
      <c r="B1213" s="2">
        <v>45721</v>
      </c>
      <c r="C1213" t="s">
        <v>478</v>
      </c>
      <c r="D1213">
        <v>13</v>
      </c>
      <c r="E1213" t="s">
        <v>2704</v>
      </c>
      <c r="F1213" t="s">
        <v>261</v>
      </c>
      <c r="G1213" t="s">
        <v>510</v>
      </c>
      <c r="H1213" t="s">
        <v>2705</v>
      </c>
      <c r="I1213" t="s">
        <v>874</v>
      </c>
      <c r="J1213" s="3" t="s">
        <v>875</v>
      </c>
      <c r="K1213" t="s">
        <v>1115</v>
      </c>
      <c r="L1213" s="4">
        <v>1</v>
      </c>
      <c r="M1213" s="4">
        <v>0</v>
      </c>
      <c r="N1213">
        <v>1</v>
      </c>
      <c r="P1213">
        <v>0</v>
      </c>
      <c r="Q1213">
        <f>QtyRemaining*EstMfgMin/60</f>
        <v>0</v>
      </c>
      <c r="U1213" t="e">
        <f t="shared" si="38"/>
        <v>#REF!</v>
      </c>
      <c r="V1213" s="5" t="e">
        <f t="shared" si="39"/>
        <v>#REF!</v>
      </c>
    </row>
    <row r="1214" spans="1:22" x14ac:dyDescent="0.25">
      <c r="A1214" s="2">
        <v>46104</v>
      </c>
      <c r="B1214" s="2">
        <v>45721</v>
      </c>
      <c r="C1214" t="s">
        <v>478</v>
      </c>
      <c r="D1214">
        <v>13</v>
      </c>
      <c r="E1214" t="s">
        <v>2704</v>
      </c>
      <c r="F1214" t="s">
        <v>261</v>
      </c>
      <c r="G1214" t="s">
        <v>510</v>
      </c>
      <c r="H1214" t="s">
        <v>2705</v>
      </c>
      <c r="I1214" t="s">
        <v>874</v>
      </c>
      <c r="J1214" s="3" t="s">
        <v>875</v>
      </c>
      <c r="K1214" t="s">
        <v>1115</v>
      </c>
      <c r="L1214" s="4">
        <v>1</v>
      </c>
      <c r="M1214" s="4">
        <v>0</v>
      </c>
      <c r="N1214">
        <v>1</v>
      </c>
      <c r="P1214">
        <v>0</v>
      </c>
      <c r="Q1214">
        <f>QtyRemaining*EstMfgMin/60</f>
        <v>0</v>
      </c>
      <c r="U1214" t="e">
        <f t="shared" si="38"/>
        <v>#REF!</v>
      </c>
      <c r="V1214" s="5" t="e">
        <f t="shared" si="39"/>
        <v>#REF!</v>
      </c>
    </row>
    <row r="1215" spans="1:22" x14ac:dyDescent="0.25">
      <c r="A1215" s="2">
        <v>46104</v>
      </c>
      <c r="B1215" s="2">
        <v>45721</v>
      </c>
      <c r="C1215" t="s">
        <v>478</v>
      </c>
      <c r="D1215">
        <v>13</v>
      </c>
      <c r="E1215" t="s">
        <v>2704</v>
      </c>
      <c r="F1215" t="s">
        <v>261</v>
      </c>
      <c r="G1215" t="s">
        <v>510</v>
      </c>
      <c r="H1215" t="s">
        <v>2705</v>
      </c>
      <c r="I1215" t="s">
        <v>874</v>
      </c>
      <c r="J1215" s="3" t="s">
        <v>875</v>
      </c>
      <c r="K1215" t="s">
        <v>1115</v>
      </c>
      <c r="L1215" s="4">
        <v>1</v>
      </c>
      <c r="M1215" s="4">
        <v>0</v>
      </c>
      <c r="N1215">
        <v>1</v>
      </c>
      <c r="P1215">
        <v>0</v>
      </c>
      <c r="Q1215">
        <f>QtyRemaining*EstMfgMin/60</f>
        <v>0</v>
      </c>
      <c r="U1215" t="e">
        <f t="shared" si="38"/>
        <v>#REF!</v>
      </c>
      <c r="V1215" s="5" t="e">
        <f t="shared" si="39"/>
        <v>#REF!</v>
      </c>
    </row>
    <row r="1216" spans="1:22" x14ac:dyDescent="0.25">
      <c r="A1216" s="2">
        <v>46104</v>
      </c>
      <c r="B1216" s="2">
        <v>45909</v>
      </c>
      <c r="C1216" t="s">
        <v>485</v>
      </c>
      <c r="D1216">
        <v>13</v>
      </c>
      <c r="E1216" t="s">
        <v>2717</v>
      </c>
      <c r="F1216" t="s">
        <v>211</v>
      </c>
      <c r="G1216" t="s">
        <v>864</v>
      </c>
      <c r="H1216" t="s">
        <v>2718</v>
      </c>
      <c r="I1216" t="s">
        <v>214</v>
      </c>
      <c r="J1216" s="3" t="s">
        <v>2719</v>
      </c>
      <c r="K1216" t="s">
        <v>2720</v>
      </c>
      <c r="L1216" s="4">
        <v>100</v>
      </c>
      <c r="M1216" s="4">
        <v>0</v>
      </c>
      <c r="N1216">
        <v>100</v>
      </c>
      <c r="O1216" t="s">
        <v>176</v>
      </c>
      <c r="P1216">
        <v>10</v>
      </c>
      <c r="Q1216">
        <f>QtyRemaining*EstMfgMin/60</f>
        <v>16.666666666666668</v>
      </c>
      <c r="U1216" t="e">
        <f t="shared" si="38"/>
        <v>#REF!</v>
      </c>
      <c r="V1216" s="5" t="e">
        <f t="shared" si="39"/>
        <v>#REF!</v>
      </c>
    </row>
    <row r="1217" spans="1:22" x14ac:dyDescent="0.25">
      <c r="A1217" s="2">
        <v>46104</v>
      </c>
      <c r="B1217" s="2">
        <v>45950</v>
      </c>
      <c r="C1217" t="s">
        <v>465</v>
      </c>
      <c r="D1217">
        <v>13</v>
      </c>
      <c r="E1217" t="s">
        <v>2721</v>
      </c>
      <c r="F1217" t="s">
        <v>211</v>
      </c>
      <c r="G1217" t="s">
        <v>467</v>
      </c>
      <c r="H1217" t="s">
        <v>2722</v>
      </c>
      <c r="I1217" t="s">
        <v>214</v>
      </c>
      <c r="J1217" s="3" t="s">
        <v>2723</v>
      </c>
      <c r="K1217" t="s">
        <v>2724</v>
      </c>
      <c r="L1217" s="4">
        <v>2</v>
      </c>
      <c r="M1217" s="4">
        <v>0</v>
      </c>
      <c r="N1217">
        <v>2</v>
      </c>
      <c r="O1217" t="s">
        <v>86</v>
      </c>
      <c r="P1217">
        <v>50</v>
      </c>
      <c r="Q1217">
        <f>QtyRemaining*EstMfgMin/60</f>
        <v>1.6666666666666667</v>
      </c>
      <c r="U1217" t="e">
        <f t="shared" si="38"/>
        <v>#REF!</v>
      </c>
      <c r="V1217" s="5" t="e">
        <f t="shared" si="39"/>
        <v>#REF!</v>
      </c>
    </row>
    <row r="1218" spans="1:22" x14ac:dyDescent="0.25">
      <c r="A1218" s="2">
        <v>46104</v>
      </c>
      <c r="B1218" s="2">
        <v>45967</v>
      </c>
      <c r="C1218" t="s">
        <v>232</v>
      </c>
      <c r="D1218">
        <v>13</v>
      </c>
      <c r="E1218" t="s">
        <v>2487</v>
      </c>
      <c r="F1218" t="s">
        <v>211</v>
      </c>
      <c r="G1218" t="s">
        <v>1184</v>
      </c>
      <c r="H1218" t="s">
        <v>2488</v>
      </c>
      <c r="I1218" t="s">
        <v>83</v>
      </c>
      <c r="J1218" s="3" t="s">
        <v>1564</v>
      </c>
      <c r="K1218" t="s">
        <v>1565</v>
      </c>
      <c r="L1218" s="4">
        <v>5</v>
      </c>
      <c r="M1218" s="4">
        <v>0</v>
      </c>
      <c r="N1218">
        <v>5</v>
      </c>
      <c r="O1218" t="s">
        <v>1566</v>
      </c>
      <c r="P1218">
        <v>125</v>
      </c>
      <c r="Q1218">
        <f>QtyRemaining*EstMfgMin/60</f>
        <v>10.416666666666666</v>
      </c>
      <c r="U1218" t="e">
        <f t="shared" si="38"/>
        <v>#REF!</v>
      </c>
      <c r="V1218" s="5" t="e">
        <f t="shared" si="39"/>
        <v>#REF!</v>
      </c>
    </row>
    <row r="1219" spans="1:22" x14ac:dyDescent="0.25">
      <c r="A1219" s="2">
        <v>46105</v>
      </c>
      <c r="B1219" s="2">
        <v>45932</v>
      </c>
      <c r="C1219" t="s">
        <v>478</v>
      </c>
      <c r="D1219">
        <v>13</v>
      </c>
      <c r="E1219" t="s">
        <v>2725</v>
      </c>
      <c r="F1219" t="s">
        <v>261</v>
      </c>
      <c r="G1219" t="s">
        <v>510</v>
      </c>
      <c r="H1219" t="s">
        <v>2726</v>
      </c>
      <c r="I1219" t="s">
        <v>155</v>
      </c>
      <c r="J1219" s="3" t="s">
        <v>2727</v>
      </c>
      <c r="K1219" t="s">
        <v>2728</v>
      </c>
      <c r="L1219" s="4">
        <v>54</v>
      </c>
      <c r="M1219" s="4">
        <v>0</v>
      </c>
      <c r="N1219">
        <v>54</v>
      </c>
      <c r="O1219" t="s">
        <v>2729</v>
      </c>
      <c r="P1219">
        <v>5</v>
      </c>
      <c r="Q1219">
        <f>QtyRemaining*EstMfgMin/60</f>
        <v>4.5</v>
      </c>
      <c r="R1219" t="s">
        <v>967</v>
      </c>
      <c r="U1219" t="e">
        <f t="shared" ref="U1219:U1282" si="40">VLOOKUP(A1219,Calendar,13,FALSE)</f>
        <v>#REF!</v>
      </c>
      <c r="V1219" s="5" t="e">
        <f t="shared" ref="V1219:V1282" si="41">VLOOKUP(A1219,Calendar,14,FALSE)</f>
        <v>#REF!</v>
      </c>
    </row>
    <row r="1220" spans="1:22" x14ac:dyDescent="0.25">
      <c r="A1220" s="2">
        <v>46105</v>
      </c>
      <c r="B1220" s="2">
        <v>45938</v>
      </c>
      <c r="C1220" t="s">
        <v>633</v>
      </c>
      <c r="D1220">
        <v>13</v>
      </c>
      <c r="E1220" t="s">
        <v>2730</v>
      </c>
      <c r="F1220" t="s">
        <v>261</v>
      </c>
      <c r="G1220" t="s">
        <v>262</v>
      </c>
      <c r="H1220" t="s">
        <v>2731</v>
      </c>
      <c r="I1220" t="s">
        <v>155</v>
      </c>
      <c r="J1220" s="3" t="s">
        <v>1444</v>
      </c>
      <c r="K1220" t="s">
        <v>131</v>
      </c>
      <c r="L1220" s="4">
        <v>14</v>
      </c>
      <c r="M1220" s="4">
        <v>0</v>
      </c>
      <c r="N1220">
        <v>14</v>
      </c>
      <c r="O1220" t="s">
        <v>151</v>
      </c>
      <c r="P1220">
        <v>100</v>
      </c>
      <c r="Q1220">
        <f>QtyRemaining*EstMfgMin/60</f>
        <v>23.333333333333332</v>
      </c>
      <c r="U1220" t="e">
        <f t="shared" si="40"/>
        <v>#REF!</v>
      </c>
      <c r="V1220" s="5" t="e">
        <f t="shared" si="41"/>
        <v>#REF!</v>
      </c>
    </row>
    <row r="1221" spans="1:22" x14ac:dyDescent="0.25">
      <c r="A1221" s="2">
        <v>46105</v>
      </c>
      <c r="B1221" s="2">
        <v>46009</v>
      </c>
      <c r="C1221" t="s">
        <v>485</v>
      </c>
      <c r="D1221">
        <v>13</v>
      </c>
      <c r="E1221" t="s">
        <v>2732</v>
      </c>
      <c r="F1221" t="s">
        <v>211</v>
      </c>
      <c r="G1221" t="s">
        <v>864</v>
      </c>
      <c r="H1221" t="s">
        <v>2733</v>
      </c>
      <c r="I1221" t="s">
        <v>214</v>
      </c>
      <c r="J1221" s="3" t="s">
        <v>1432</v>
      </c>
      <c r="K1221" t="s">
        <v>1433</v>
      </c>
      <c r="L1221" s="4">
        <v>5</v>
      </c>
      <c r="M1221" s="4">
        <v>0</v>
      </c>
      <c r="N1221">
        <v>5</v>
      </c>
      <c r="O1221" t="s">
        <v>514</v>
      </c>
      <c r="P1221">
        <v>4</v>
      </c>
      <c r="Q1221">
        <f>QtyRemaining*EstMfgMin/60</f>
        <v>0.33333333333333331</v>
      </c>
      <c r="U1221" t="e">
        <f t="shared" si="40"/>
        <v>#REF!</v>
      </c>
      <c r="V1221" s="5" t="e">
        <f t="shared" si="41"/>
        <v>#REF!</v>
      </c>
    </row>
    <row r="1222" spans="1:22" x14ac:dyDescent="0.25">
      <c r="A1222" s="2">
        <v>46106</v>
      </c>
      <c r="B1222" s="2">
        <v>45586</v>
      </c>
      <c r="C1222" t="s">
        <v>478</v>
      </c>
      <c r="D1222">
        <v>13</v>
      </c>
      <c r="E1222" t="s">
        <v>2022</v>
      </c>
      <c r="F1222" t="s">
        <v>261</v>
      </c>
      <c r="G1222" t="s">
        <v>2023</v>
      </c>
      <c r="H1222" t="s">
        <v>2024</v>
      </c>
      <c r="I1222" t="s">
        <v>155</v>
      </c>
      <c r="J1222" s="3" t="s">
        <v>2025</v>
      </c>
      <c r="K1222" t="s">
        <v>2026</v>
      </c>
      <c r="L1222" s="4">
        <v>15</v>
      </c>
      <c r="M1222" s="4">
        <v>0</v>
      </c>
      <c r="N1222">
        <v>15</v>
      </c>
      <c r="O1222" t="s">
        <v>94</v>
      </c>
      <c r="P1222">
        <v>60</v>
      </c>
      <c r="Q1222">
        <f>QtyRemaining*EstMfgMin/60</f>
        <v>15</v>
      </c>
      <c r="R1222" t="s">
        <v>1062</v>
      </c>
      <c r="U1222" t="e">
        <f t="shared" si="40"/>
        <v>#REF!</v>
      </c>
      <c r="V1222" s="5" t="e">
        <f t="shared" si="41"/>
        <v>#REF!</v>
      </c>
    </row>
    <row r="1223" spans="1:22" x14ac:dyDescent="0.25">
      <c r="A1223" s="2">
        <v>46106</v>
      </c>
      <c r="B1223" s="2">
        <v>45958</v>
      </c>
      <c r="C1223" t="s">
        <v>570</v>
      </c>
      <c r="D1223">
        <v>13</v>
      </c>
      <c r="E1223" t="s">
        <v>810</v>
      </c>
      <c r="F1223" t="s">
        <v>261</v>
      </c>
      <c r="G1223" t="s">
        <v>811</v>
      </c>
      <c r="H1223" t="s">
        <v>812</v>
      </c>
      <c r="I1223" t="s">
        <v>83</v>
      </c>
      <c r="J1223" s="3" t="s">
        <v>2734</v>
      </c>
      <c r="K1223" t="s">
        <v>2735</v>
      </c>
      <c r="L1223" s="4">
        <v>34</v>
      </c>
      <c r="M1223" s="4">
        <v>0</v>
      </c>
      <c r="N1223">
        <v>34</v>
      </c>
      <c r="O1223" t="s">
        <v>118</v>
      </c>
      <c r="P1223">
        <v>21</v>
      </c>
      <c r="Q1223">
        <f>QtyRemaining*EstMfgMin/60</f>
        <v>11.9</v>
      </c>
      <c r="U1223" t="e">
        <f t="shared" si="40"/>
        <v>#REF!</v>
      </c>
      <c r="V1223" s="5" t="e">
        <f t="shared" si="41"/>
        <v>#REF!</v>
      </c>
    </row>
    <row r="1224" spans="1:22" x14ac:dyDescent="0.25">
      <c r="A1224" s="2">
        <v>46106</v>
      </c>
      <c r="B1224" s="2">
        <v>45995</v>
      </c>
      <c r="C1224" t="s">
        <v>485</v>
      </c>
      <c r="D1224">
        <v>13</v>
      </c>
      <c r="E1224" t="s">
        <v>2736</v>
      </c>
      <c r="F1224" t="s">
        <v>211</v>
      </c>
      <c r="G1224" t="s">
        <v>864</v>
      </c>
      <c r="H1224" t="s">
        <v>2737</v>
      </c>
      <c r="I1224" t="s">
        <v>214</v>
      </c>
      <c r="J1224" s="3" t="s">
        <v>2738</v>
      </c>
      <c r="K1224" t="s">
        <v>2739</v>
      </c>
      <c r="L1224" s="4">
        <v>25</v>
      </c>
      <c r="M1224" s="4">
        <v>0</v>
      </c>
      <c r="N1224">
        <v>25</v>
      </c>
      <c r="O1224" t="s">
        <v>1188</v>
      </c>
      <c r="P1224">
        <v>16</v>
      </c>
      <c r="Q1224">
        <f>QtyRemaining*EstMfgMin/60</f>
        <v>6.666666666666667</v>
      </c>
      <c r="U1224" t="e">
        <f t="shared" si="40"/>
        <v>#REF!</v>
      </c>
      <c r="V1224" s="5" t="e">
        <f t="shared" si="41"/>
        <v>#REF!</v>
      </c>
    </row>
    <row r="1225" spans="1:22" x14ac:dyDescent="0.25">
      <c r="A1225" s="2">
        <v>46106</v>
      </c>
      <c r="B1225" s="2">
        <v>46003</v>
      </c>
      <c r="C1225" t="s">
        <v>465</v>
      </c>
      <c r="D1225">
        <v>13</v>
      </c>
      <c r="E1225" t="s">
        <v>1621</v>
      </c>
      <c r="F1225" t="s">
        <v>211</v>
      </c>
      <c r="G1225" t="s">
        <v>467</v>
      </c>
      <c r="H1225" t="s">
        <v>1622</v>
      </c>
      <c r="I1225" t="s">
        <v>214</v>
      </c>
      <c r="J1225" s="3" t="s">
        <v>2668</v>
      </c>
      <c r="K1225" t="s">
        <v>2669</v>
      </c>
      <c r="L1225" s="4">
        <v>6</v>
      </c>
      <c r="M1225" s="4">
        <v>0</v>
      </c>
      <c r="N1225">
        <v>6</v>
      </c>
      <c r="O1225" t="s">
        <v>86</v>
      </c>
      <c r="P1225">
        <v>14</v>
      </c>
      <c r="Q1225">
        <f>QtyRemaining*EstMfgMin/60</f>
        <v>1.4</v>
      </c>
      <c r="U1225" t="e">
        <f t="shared" si="40"/>
        <v>#REF!</v>
      </c>
      <c r="V1225" s="5" t="e">
        <f t="shared" si="41"/>
        <v>#REF!</v>
      </c>
    </row>
    <row r="1226" spans="1:22" x14ac:dyDescent="0.25">
      <c r="A1226" s="2">
        <v>46107</v>
      </c>
      <c r="B1226" s="2">
        <v>45993</v>
      </c>
      <c r="C1226" t="s">
        <v>465</v>
      </c>
      <c r="D1226">
        <v>13</v>
      </c>
      <c r="E1226" t="s">
        <v>2446</v>
      </c>
      <c r="F1226" t="s">
        <v>211</v>
      </c>
      <c r="G1226" t="s">
        <v>467</v>
      </c>
      <c r="H1226" t="s">
        <v>2447</v>
      </c>
      <c r="I1226" t="s">
        <v>214</v>
      </c>
      <c r="J1226" s="3" t="s">
        <v>2740</v>
      </c>
      <c r="K1226" t="s">
        <v>2741</v>
      </c>
      <c r="L1226" s="4">
        <v>1</v>
      </c>
      <c r="M1226" s="4">
        <v>0</v>
      </c>
      <c r="N1226">
        <v>1</v>
      </c>
      <c r="O1226" t="s">
        <v>86</v>
      </c>
      <c r="P1226">
        <v>78</v>
      </c>
      <c r="Q1226">
        <f>QtyRemaining*EstMfgMin/60</f>
        <v>1.3</v>
      </c>
      <c r="U1226" t="e">
        <f t="shared" si="40"/>
        <v>#REF!</v>
      </c>
      <c r="V1226" s="5" t="e">
        <f t="shared" si="41"/>
        <v>#REF!</v>
      </c>
    </row>
    <row r="1227" spans="1:22" x14ac:dyDescent="0.25">
      <c r="A1227" s="2">
        <v>46107</v>
      </c>
      <c r="B1227" s="2">
        <v>45995</v>
      </c>
      <c r="C1227" t="s">
        <v>485</v>
      </c>
      <c r="D1227">
        <v>13</v>
      </c>
      <c r="E1227" t="s">
        <v>2742</v>
      </c>
      <c r="F1227" t="s">
        <v>211</v>
      </c>
      <c r="G1227" t="s">
        <v>864</v>
      </c>
      <c r="H1227" t="s">
        <v>2743</v>
      </c>
      <c r="I1227" t="s">
        <v>214</v>
      </c>
      <c r="J1227" s="3" t="s">
        <v>2744</v>
      </c>
      <c r="K1227" t="s">
        <v>2745</v>
      </c>
      <c r="L1227" s="4">
        <v>125</v>
      </c>
      <c r="M1227" s="4">
        <v>0</v>
      </c>
      <c r="N1227">
        <v>125</v>
      </c>
      <c r="O1227" t="s">
        <v>211</v>
      </c>
      <c r="P1227">
        <v>5</v>
      </c>
      <c r="Q1227">
        <f>QtyRemaining*EstMfgMin/60</f>
        <v>10.416666666666666</v>
      </c>
      <c r="U1227" t="e">
        <f t="shared" si="40"/>
        <v>#REF!</v>
      </c>
      <c r="V1227" s="5" t="e">
        <f t="shared" si="41"/>
        <v>#REF!</v>
      </c>
    </row>
    <row r="1228" spans="1:22" x14ac:dyDescent="0.25">
      <c r="A1228" s="2">
        <v>46107</v>
      </c>
      <c r="B1228" s="2">
        <v>45995</v>
      </c>
      <c r="C1228" t="s">
        <v>485</v>
      </c>
      <c r="D1228">
        <v>13</v>
      </c>
      <c r="E1228" t="s">
        <v>2742</v>
      </c>
      <c r="F1228" t="s">
        <v>211</v>
      </c>
      <c r="G1228" t="s">
        <v>864</v>
      </c>
      <c r="H1228" t="s">
        <v>2743</v>
      </c>
      <c r="I1228" t="s">
        <v>214</v>
      </c>
      <c r="J1228" s="3" t="s">
        <v>1784</v>
      </c>
      <c r="K1228" t="s">
        <v>1785</v>
      </c>
      <c r="L1228" s="4">
        <v>25</v>
      </c>
      <c r="M1228" s="4">
        <v>0</v>
      </c>
      <c r="N1228">
        <v>25</v>
      </c>
      <c r="O1228" t="s">
        <v>514</v>
      </c>
      <c r="P1228">
        <v>14</v>
      </c>
      <c r="Q1228">
        <f>QtyRemaining*EstMfgMin/60</f>
        <v>5.833333333333333</v>
      </c>
      <c r="U1228" t="e">
        <f t="shared" si="40"/>
        <v>#REF!</v>
      </c>
      <c r="V1228" s="5" t="e">
        <f t="shared" si="41"/>
        <v>#REF!</v>
      </c>
    </row>
    <row r="1229" spans="1:22" x14ac:dyDescent="0.25">
      <c r="A1229" s="2">
        <v>46107</v>
      </c>
      <c r="B1229" s="2">
        <v>45995</v>
      </c>
      <c r="C1229" t="s">
        <v>485</v>
      </c>
      <c r="D1229">
        <v>13</v>
      </c>
      <c r="E1229" t="s">
        <v>2742</v>
      </c>
      <c r="F1229" t="s">
        <v>211</v>
      </c>
      <c r="G1229" t="s">
        <v>864</v>
      </c>
      <c r="H1229" t="s">
        <v>2743</v>
      </c>
      <c r="I1229" t="s">
        <v>214</v>
      </c>
      <c r="J1229" s="3" t="s">
        <v>2746</v>
      </c>
      <c r="K1229" t="s">
        <v>2747</v>
      </c>
      <c r="L1229" s="4">
        <v>100</v>
      </c>
      <c r="M1229" s="4">
        <v>0</v>
      </c>
      <c r="N1229">
        <v>100</v>
      </c>
      <c r="O1229" t="s">
        <v>211</v>
      </c>
      <c r="P1229">
        <v>12</v>
      </c>
      <c r="Q1229">
        <f>QtyRemaining*EstMfgMin/60</f>
        <v>20</v>
      </c>
      <c r="U1229" t="e">
        <f t="shared" si="40"/>
        <v>#REF!</v>
      </c>
      <c r="V1229" s="5" t="e">
        <f t="shared" si="41"/>
        <v>#REF!</v>
      </c>
    </row>
    <row r="1230" spans="1:22" x14ac:dyDescent="0.25">
      <c r="A1230" s="2">
        <v>46107</v>
      </c>
      <c r="B1230" s="2">
        <v>45995</v>
      </c>
      <c r="C1230" t="s">
        <v>485</v>
      </c>
      <c r="D1230">
        <v>13</v>
      </c>
      <c r="E1230" t="s">
        <v>2748</v>
      </c>
      <c r="F1230" t="s">
        <v>211</v>
      </c>
      <c r="G1230" t="s">
        <v>864</v>
      </c>
      <c r="H1230" t="s">
        <v>2749</v>
      </c>
      <c r="I1230" t="s">
        <v>214</v>
      </c>
      <c r="J1230" s="3" t="s">
        <v>2750</v>
      </c>
      <c r="K1230" t="s">
        <v>2751</v>
      </c>
      <c r="L1230" s="4">
        <v>50</v>
      </c>
      <c r="M1230" s="4">
        <v>0</v>
      </c>
      <c r="N1230">
        <v>50</v>
      </c>
      <c r="O1230" t="s">
        <v>86</v>
      </c>
      <c r="P1230">
        <v>28</v>
      </c>
      <c r="Q1230">
        <f>QtyRemaining*EstMfgMin/60</f>
        <v>23.333333333333332</v>
      </c>
      <c r="U1230" t="e">
        <f t="shared" si="40"/>
        <v>#REF!</v>
      </c>
      <c r="V1230" s="5" t="e">
        <f t="shared" si="41"/>
        <v>#REF!</v>
      </c>
    </row>
    <row r="1231" spans="1:22" x14ac:dyDescent="0.25">
      <c r="A1231" s="2">
        <v>46107</v>
      </c>
      <c r="B1231" s="2">
        <v>45995</v>
      </c>
      <c r="C1231" t="s">
        <v>485</v>
      </c>
      <c r="D1231">
        <v>13</v>
      </c>
      <c r="E1231" t="s">
        <v>2748</v>
      </c>
      <c r="F1231" t="s">
        <v>211</v>
      </c>
      <c r="G1231" t="s">
        <v>864</v>
      </c>
      <c r="H1231" t="s">
        <v>2749</v>
      </c>
      <c r="I1231" t="s">
        <v>214</v>
      </c>
      <c r="J1231" s="3" t="s">
        <v>2662</v>
      </c>
      <c r="K1231" t="s">
        <v>1776</v>
      </c>
      <c r="L1231" s="4">
        <v>150</v>
      </c>
      <c r="M1231" s="4">
        <v>0</v>
      </c>
      <c r="N1231">
        <v>150</v>
      </c>
      <c r="O1231" t="s">
        <v>176</v>
      </c>
      <c r="P1231">
        <v>9</v>
      </c>
      <c r="Q1231">
        <f>QtyRemaining*EstMfgMin/60</f>
        <v>22.5</v>
      </c>
      <c r="U1231" t="e">
        <f t="shared" si="40"/>
        <v>#REF!</v>
      </c>
      <c r="V1231" s="5" t="e">
        <f t="shared" si="41"/>
        <v>#REF!</v>
      </c>
    </row>
    <row r="1232" spans="1:22" x14ac:dyDescent="0.25">
      <c r="A1232" s="2">
        <v>46108</v>
      </c>
      <c r="B1232" s="2">
        <v>45783</v>
      </c>
      <c r="C1232" t="s">
        <v>287</v>
      </c>
      <c r="D1232">
        <v>13</v>
      </c>
      <c r="E1232" t="s">
        <v>2752</v>
      </c>
      <c r="F1232" t="s">
        <v>211</v>
      </c>
      <c r="G1232" t="s">
        <v>289</v>
      </c>
      <c r="H1232" t="s">
        <v>2753</v>
      </c>
      <c r="I1232" t="s">
        <v>214</v>
      </c>
      <c r="J1232" s="3" t="s">
        <v>2754</v>
      </c>
      <c r="K1232" t="s">
        <v>2675</v>
      </c>
      <c r="L1232" s="4">
        <v>400</v>
      </c>
      <c r="M1232" s="4">
        <v>0</v>
      </c>
      <c r="N1232">
        <v>400</v>
      </c>
      <c r="O1232" t="s">
        <v>86</v>
      </c>
      <c r="P1232">
        <v>10</v>
      </c>
      <c r="Q1232">
        <f>QtyRemaining*EstMfgMin/60</f>
        <v>66.666666666666671</v>
      </c>
      <c r="U1232" t="e">
        <f t="shared" si="40"/>
        <v>#REF!</v>
      </c>
      <c r="V1232" s="5" t="e">
        <f t="shared" si="41"/>
        <v>#REF!</v>
      </c>
    </row>
    <row r="1233" spans="1:22" x14ac:dyDescent="0.25">
      <c r="A1233" s="2">
        <v>46108</v>
      </c>
      <c r="B1233" s="2">
        <v>45783</v>
      </c>
      <c r="C1233" t="s">
        <v>287</v>
      </c>
      <c r="D1233">
        <v>13</v>
      </c>
      <c r="E1233" t="s">
        <v>2752</v>
      </c>
      <c r="F1233" t="s">
        <v>211</v>
      </c>
      <c r="G1233" t="s">
        <v>289</v>
      </c>
      <c r="H1233" t="s">
        <v>2753</v>
      </c>
      <c r="I1233" t="s">
        <v>214</v>
      </c>
      <c r="J1233" s="3" t="s">
        <v>2674</v>
      </c>
      <c r="K1233" t="s">
        <v>2675</v>
      </c>
      <c r="L1233" s="4">
        <v>400</v>
      </c>
      <c r="M1233" s="4">
        <v>0</v>
      </c>
      <c r="N1233">
        <v>400</v>
      </c>
      <c r="O1233" t="s">
        <v>86</v>
      </c>
      <c r="P1233">
        <v>10</v>
      </c>
      <c r="Q1233">
        <f>QtyRemaining*EstMfgMin/60</f>
        <v>66.666666666666671</v>
      </c>
      <c r="U1233" t="e">
        <f t="shared" si="40"/>
        <v>#REF!</v>
      </c>
      <c r="V1233" s="5" t="e">
        <f t="shared" si="41"/>
        <v>#REF!</v>
      </c>
    </row>
    <row r="1234" spans="1:22" x14ac:dyDescent="0.25">
      <c r="A1234" s="2">
        <v>46108</v>
      </c>
      <c r="B1234" s="2">
        <v>45783</v>
      </c>
      <c r="C1234" t="s">
        <v>287</v>
      </c>
      <c r="D1234">
        <v>13</v>
      </c>
      <c r="E1234" t="s">
        <v>2752</v>
      </c>
      <c r="F1234" t="s">
        <v>211</v>
      </c>
      <c r="G1234" t="s">
        <v>289</v>
      </c>
      <c r="H1234" t="s">
        <v>2753</v>
      </c>
      <c r="I1234" t="s">
        <v>214</v>
      </c>
      <c r="J1234" s="3" t="s">
        <v>2755</v>
      </c>
      <c r="K1234" t="s">
        <v>2675</v>
      </c>
      <c r="L1234" s="4">
        <v>400</v>
      </c>
      <c r="M1234" s="4">
        <v>0</v>
      </c>
      <c r="N1234">
        <v>400</v>
      </c>
      <c r="O1234" t="s">
        <v>86</v>
      </c>
      <c r="P1234">
        <v>10</v>
      </c>
      <c r="Q1234">
        <f>QtyRemaining*EstMfgMin/60</f>
        <v>66.666666666666671</v>
      </c>
      <c r="U1234" t="e">
        <f t="shared" si="40"/>
        <v>#REF!</v>
      </c>
      <c r="V1234" s="5" t="e">
        <f t="shared" si="41"/>
        <v>#REF!</v>
      </c>
    </row>
    <row r="1235" spans="1:22" x14ac:dyDescent="0.25">
      <c r="A1235" s="2">
        <v>46108</v>
      </c>
      <c r="B1235" s="2">
        <v>45891</v>
      </c>
      <c r="C1235" t="s">
        <v>478</v>
      </c>
      <c r="D1235">
        <v>13</v>
      </c>
      <c r="E1235" t="s">
        <v>1376</v>
      </c>
      <c r="F1235" t="s">
        <v>261</v>
      </c>
      <c r="G1235" t="s">
        <v>1377</v>
      </c>
      <c r="H1235" t="s">
        <v>1378</v>
      </c>
      <c r="I1235" t="s">
        <v>83</v>
      </c>
      <c r="J1235" s="3" t="s">
        <v>1379</v>
      </c>
      <c r="K1235" t="s">
        <v>1380</v>
      </c>
      <c r="L1235" s="4">
        <v>9</v>
      </c>
      <c r="M1235" s="4">
        <v>0</v>
      </c>
      <c r="N1235">
        <v>9</v>
      </c>
      <c r="O1235" t="s">
        <v>118</v>
      </c>
      <c r="P1235">
        <v>60</v>
      </c>
      <c r="Q1235">
        <f>QtyRemaining*EstMfgMin/60</f>
        <v>9</v>
      </c>
      <c r="U1235" t="e">
        <f t="shared" si="40"/>
        <v>#REF!</v>
      </c>
      <c r="V1235" s="5" t="e">
        <f t="shared" si="41"/>
        <v>#REF!</v>
      </c>
    </row>
    <row r="1236" spans="1:22" x14ac:dyDescent="0.25">
      <c r="A1236" s="2">
        <v>46108</v>
      </c>
      <c r="B1236" s="2">
        <v>45953</v>
      </c>
      <c r="C1236" t="s">
        <v>633</v>
      </c>
      <c r="D1236">
        <v>13</v>
      </c>
      <c r="E1236" t="s">
        <v>2756</v>
      </c>
      <c r="F1236" t="s">
        <v>261</v>
      </c>
      <c r="G1236" t="s">
        <v>262</v>
      </c>
      <c r="H1236" t="s">
        <v>2757</v>
      </c>
      <c r="I1236" t="s">
        <v>45</v>
      </c>
      <c r="J1236" s="3" t="s">
        <v>2758</v>
      </c>
      <c r="K1236" t="s">
        <v>2759</v>
      </c>
      <c r="L1236" s="4">
        <v>50</v>
      </c>
      <c r="M1236" s="4">
        <v>0</v>
      </c>
      <c r="N1236">
        <v>50</v>
      </c>
      <c r="O1236" t="s">
        <v>690</v>
      </c>
      <c r="P1236">
        <v>100</v>
      </c>
      <c r="Q1236">
        <f>QtyRemaining*EstMfgMin/60</f>
        <v>83.333333333333329</v>
      </c>
      <c r="U1236" t="e">
        <f t="shared" si="40"/>
        <v>#REF!</v>
      </c>
      <c r="V1236" s="5" t="e">
        <f t="shared" si="41"/>
        <v>#REF!</v>
      </c>
    </row>
    <row r="1237" spans="1:22" x14ac:dyDescent="0.25">
      <c r="A1237" s="2">
        <v>46108</v>
      </c>
      <c r="B1237" s="2">
        <v>45965</v>
      </c>
      <c r="C1237" t="s">
        <v>570</v>
      </c>
      <c r="D1237">
        <v>13</v>
      </c>
      <c r="E1237" t="s">
        <v>2760</v>
      </c>
      <c r="F1237" t="s">
        <v>261</v>
      </c>
      <c r="G1237" t="s">
        <v>2761</v>
      </c>
      <c r="H1237" t="s">
        <v>2762</v>
      </c>
      <c r="I1237" t="s">
        <v>83</v>
      </c>
      <c r="J1237" s="3" t="s">
        <v>2763</v>
      </c>
      <c r="K1237" t="s">
        <v>2764</v>
      </c>
      <c r="L1237" s="4">
        <v>50</v>
      </c>
      <c r="M1237" s="4">
        <v>0</v>
      </c>
      <c r="N1237">
        <v>50</v>
      </c>
      <c r="O1237" t="s">
        <v>86</v>
      </c>
      <c r="P1237">
        <v>35</v>
      </c>
      <c r="Q1237">
        <f>QtyRemaining*EstMfgMin/60</f>
        <v>29.166666666666668</v>
      </c>
      <c r="U1237" t="e">
        <f t="shared" si="40"/>
        <v>#REF!</v>
      </c>
      <c r="V1237" s="5" t="e">
        <f t="shared" si="41"/>
        <v>#REF!</v>
      </c>
    </row>
    <row r="1238" spans="1:22" x14ac:dyDescent="0.25">
      <c r="A1238" s="2">
        <v>46108</v>
      </c>
      <c r="B1238" s="2">
        <v>45982</v>
      </c>
      <c r="C1238" t="s">
        <v>1168</v>
      </c>
      <c r="D1238">
        <v>13</v>
      </c>
      <c r="E1238" t="s">
        <v>2765</v>
      </c>
      <c r="F1238" t="s">
        <v>283</v>
      </c>
      <c r="G1238" t="s">
        <v>1170</v>
      </c>
      <c r="H1238" t="s">
        <v>2766</v>
      </c>
      <c r="I1238" t="s">
        <v>224</v>
      </c>
      <c r="J1238" s="3" t="s">
        <v>2250</v>
      </c>
      <c r="K1238" t="s">
        <v>2251</v>
      </c>
      <c r="L1238" s="4">
        <v>25</v>
      </c>
      <c r="M1238" s="4">
        <v>0</v>
      </c>
      <c r="N1238">
        <v>25</v>
      </c>
      <c r="O1238" t="s">
        <v>176</v>
      </c>
      <c r="P1238">
        <v>70</v>
      </c>
      <c r="Q1238">
        <f>QtyRemaining*EstMfgMin/60</f>
        <v>29.166666666666668</v>
      </c>
      <c r="U1238" t="e">
        <f t="shared" si="40"/>
        <v>#REF!</v>
      </c>
      <c r="V1238" s="5" t="e">
        <f t="shared" si="41"/>
        <v>#REF!</v>
      </c>
    </row>
    <row r="1239" spans="1:22" x14ac:dyDescent="0.25">
      <c r="A1239" s="2">
        <v>46108</v>
      </c>
      <c r="B1239" s="2">
        <v>46010</v>
      </c>
      <c r="C1239" t="s">
        <v>650</v>
      </c>
      <c r="D1239">
        <v>13</v>
      </c>
      <c r="E1239" t="s">
        <v>2767</v>
      </c>
      <c r="F1239" t="s">
        <v>283</v>
      </c>
      <c r="G1239" t="s">
        <v>652</v>
      </c>
      <c r="H1239" t="s">
        <v>2768</v>
      </c>
      <c r="I1239" t="s">
        <v>1087</v>
      </c>
      <c r="J1239" s="3" t="s">
        <v>2769</v>
      </c>
      <c r="K1239" t="s">
        <v>2770</v>
      </c>
      <c r="L1239" s="4">
        <v>1</v>
      </c>
      <c r="M1239" s="4">
        <v>0</v>
      </c>
      <c r="N1239">
        <v>1</v>
      </c>
      <c r="O1239" t="s">
        <v>1090</v>
      </c>
      <c r="P1239">
        <v>30</v>
      </c>
      <c r="Q1239">
        <f>QtyRemaining*EstMfgMin/60</f>
        <v>0.5</v>
      </c>
      <c r="R1239" t="s">
        <v>1062</v>
      </c>
      <c r="U1239" t="e">
        <f t="shared" si="40"/>
        <v>#REF!</v>
      </c>
      <c r="V1239" s="5" t="e">
        <f t="shared" si="41"/>
        <v>#REF!</v>
      </c>
    </row>
    <row r="1240" spans="1:22" x14ac:dyDescent="0.25">
      <c r="A1240" s="2">
        <v>46108</v>
      </c>
      <c r="B1240" s="2">
        <v>46010</v>
      </c>
      <c r="C1240" t="s">
        <v>633</v>
      </c>
      <c r="D1240">
        <v>13</v>
      </c>
      <c r="E1240" t="s">
        <v>2771</v>
      </c>
      <c r="F1240" t="s">
        <v>261</v>
      </c>
      <c r="G1240" t="s">
        <v>262</v>
      </c>
      <c r="H1240" t="s">
        <v>2772</v>
      </c>
      <c r="I1240" t="s">
        <v>45</v>
      </c>
      <c r="J1240" s="3" t="s">
        <v>2773</v>
      </c>
      <c r="K1240" t="s">
        <v>2774</v>
      </c>
      <c r="L1240" s="4">
        <v>10</v>
      </c>
      <c r="M1240" s="4">
        <v>0</v>
      </c>
      <c r="N1240">
        <v>10</v>
      </c>
      <c r="O1240" t="s">
        <v>176</v>
      </c>
      <c r="P1240">
        <v>0</v>
      </c>
      <c r="Q1240">
        <f>QtyRemaining*EstMfgMin/60</f>
        <v>0</v>
      </c>
      <c r="U1240" t="e">
        <f t="shared" si="40"/>
        <v>#REF!</v>
      </c>
      <c r="V1240" s="5" t="e">
        <f t="shared" si="41"/>
        <v>#REF!</v>
      </c>
    </row>
    <row r="1241" spans="1:22" x14ac:dyDescent="0.25">
      <c r="A1241" s="2">
        <v>46111</v>
      </c>
      <c r="B1241" s="2">
        <v>45548</v>
      </c>
      <c r="C1241" t="s">
        <v>633</v>
      </c>
      <c r="D1241">
        <v>14</v>
      </c>
      <c r="E1241" t="s">
        <v>2775</v>
      </c>
      <c r="F1241" t="s">
        <v>211</v>
      </c>
      <c r="G1241" t="s">
        <v>262</v>
      </c>
      <c r="H1241" t="s">
        <v>2776</v>
      </c>
      <c r="I1241" t="s">
        <v>83</v>
      </c>
      <c r="J1241" s="3" t="s">
        <v>1845</v>
      </c>
      <c r="K1241" t="s">
        <v>1846</v>
      </c>
      <c r="L1241" s="4">
        <v>37</v>
      </c>
      <c r="M1241" s="4">
        <v>0</v>
      </c>
      <c r="N1241">
        <v>37</v>
      </c>
      <c r="O1241" t="s">
        <v>176</v>
      </c>
      <c r="P1241">
        <v>66</v>
      </c>
      <c r="Q1241">
        <f>QtyRemaining*EstMfgMin/60</f>
        <v>40.700000000000003</v>
      </c>
      <c r="S1241" t="s">
        <v>499</v>
      </c>
      <c r="U1241" t="e">
        <f t="shared" si="40"/>
        <v>#REF!</v>
      </c>
      <c r="V1241" s="5" t="e">
        <f t="shared" si="41"/>
        <v>#REF!</v>
      </c>
    </row>
    <row r="1242" spans="1:22" x14ac:dyDescent="0.25">
      <c r="A1242" s="2">
        <v>46111</v>
      </c>
      <c r="B1242" s="2">
        <v>45636</v>
      </c>
      <c r="C1242" t="s">
        <v>2145</v>
      </c>
      <c r="D1242">
        <v>14</v>
      </c>
      <c r="E1242" t="s">
        <v>2777</v>
      </c>
      <c r="F1242" t="s">
        <v>261</v>
      </c>
      <c r="G1242" t="s">
        <v>2147</v>
      </c>
      <c r="H1242" t="s">
        <v>2778</v>
      </c>
      <c r="I1242" t="s">
        <v>155</v>
      </c>
      <c r="J1242" s="3" t="s">
        <v>2779</v>
      </c>
      <c r="K1242" t="s">
        <v>2780</v>
      </c>
      <c r="L1242" s="4">
        <v>5</v>
      </c>
      <c r="M1242" s="4">
        <v>0</v>
      </c>
      <c r="N1242">
        <v>5</v>
      </c>
      <c r="O1242" t="s">
        <v>176</v>
      </c>
      <c r="P1242">
        <v>26</v>
      </c>
      <c r="Q1242">
        <f>QtyRemaining*EstMfgMin/60</f>
        <v>2.1666666666666665</v>
      </c>
      <c r="R1242" t="s">
        <v>1062</v>
      </c>
      <c r="U1242" t="e">
        <f t="shared" si="40"/>
        <v>#REF!</v>
      </c>
      <c r="V1242" s="5" t="e">
        <f t="shared" si="41"/>
        <v>#REF!</v>
      </c>
    </row>
    <row r="1243" spans="1:22" x14ac:dyDescent="0.25">
      <c r="A1243" s="2">
        <v>46111</v>
      </c>
      <c r="B1243" s="2">
        <v>45636</v>
      </c>
      <c r="C1243" t="s">
        <v>2145</v>
      </c>
      <c r="D1243">
        <v>14</v>
      </c>
      <c r="E1243" t="s">
        <v>2777</v>
      </c>
      <c r="F1243" t="s">
        <v>261</v>
      </c>
      <c r="G1243" t="s">
        <v>2147</v>
      </c>
      <c r="H1243" t="s">
        <v>2778</v>
      </c>
      <c r="I1243" t="s">
        <v>155</v>
      </c>
      <c r="J1243" s="3" t="s">
        <v>2779</v>
      </c>
      <c r="K1243" t="s">
        <v>2780</v>
      </c>
      <c r="L1243" s="4">
        <v>1</v>
      </c>
      <c r="M1243" s="4">
        <v>0</v>
      </c>
      <c r="N1243">
        <v>1</v>
      </c>
      <c r="O1243" t="s">
        <v>176</v>
      </c>
      <c r="P1243">
        <v>26</v>
      </c>
      <c r="Q1243">
        <f>QtyRemaining*EstMfgMin/60</f>
        <v>0.43333333333333335</v>
      </c>
      <c r="R1243" t="s">
        <v>2781</v>
      </c>
      <c r="U1243" t="e">
        <f t="shared" si="40"/>
        <v>#REF!</v>
      </c>
      <c r="V1243" s="5" t="e">
        <f t="shared" si="41"/>
        <v>#REF!</v>
      </c>
    </row>
    <row r="1244" spans="1:22" x14ac:dyDescent="0.25">
      <c r="A1244" s="2">
        <v>46111</v>
      </c>
      <c r="B1244" s="2">
        <v>45957</v>
      </c>
      <c r="C1244" t="s">
        <v>633</v>
      </c>
      <c r="D1244">
        <v>14</v>
      </c>
      <c r="E1244" t="s">
        <v>2782</v>
      </c>
      <c r="F1244" t="s">
        <v>261</v>
      </c>
      <c r="G1244" t="s">
        <v>262</v>
      </c>
      <c r="H1244" t="s">
        <v>2783</v>
      </c>
      <c r="I1244" t="s">
        <v>45</v>
      </c>
      <c r="J1244" s="3" t="s">
        <v>2784</v>
      </c>
      <c r="K1244" t="s">
        <v>2785</v>
      </c>
      <c r="L1244" s="4">
        <v>10</v>
      </c>
      <c r="M1244" s="4">
        <v>0</v>
      </c>
      <c r="N1244">
        <v>10</v>
      </c>
      <c r="O1244" t="s">
        <v>266</v>
      </c>
      <c r="P1244">
        <v>46</v>
      </c>
      <c r="Q1244">
        <f>QtyRemaining*EstMfgMin/60</f>
        <v>7.666666666666667</v>
      </c>
      <c r="U1244" t="e">
        <f t="shared" si="40"/>
        <v>#REF!</v>
      </c>
      <c r="V1244" s="5" t="e">
        <f t="shared" si="41"/>
        <v>#REF!</v>
      </c>
    </row>
    <row r="1245" spans="1:22" x14ac:dyDescent="0.25">
      <c r="A1245" s="2">
        <v>46111</v>
      </c>
      <c r="B1245" s="2">
        <v>45967</v>
      </c>
      <c r="C1245" t="s">
        <v>485</v>
      </c>
      <c r="D1245">
        <v>14</v>
      </c>
      <c r="E1245" t="s">
        <v>863</v>
      </c>
      <c r="F1245" t="s">
        <v>211</v>
      </c>
      <c r="G1245" t="s">
        <v>864</v>
      </c>
      <c r="H1245" t="s">
        <v>865</v>
      </c>
      <c r="I1245" t="s">
        <v>214</v>
      </c>
      <c r="J1245" s="3" t="s">
        <v>866</v>
      </c>
      <c r="K1245" t="s">
        <v>867</v>
      </c>
      <c r="L1245" s="4">
        <v>50</v>
      </c>
      <c r="M1245" s="4">
        <v>0</v>
      </c>
      <c r="N1245">
        <v>50</v>
      </c>
      <c r="O1245" t="s">
        <v>868</v>
      </c>
      <c r="P1245">
        <v>10</v>
      </c>
      <c r="Q1245">
        <f>QtyRemaining*EstMfgMin/60</f>
        <v>8.3333333333333339</v>
      </c>
      <c r="U1245" t="e">
        <f t="shared" si="40"/>
        <v>#REF!</v>
      </c>
      <c r="V1245" s="5" t="e">
        <f t="shared" si="41"/>
        <v>#REF!</v>
      </c>
    </row>
    <row r="1246" spans="1:22" x14ac:dyDescent="0.25">
      <c r="A1246" s="2">
        <v>46111</v>
      </c>
      <c r="B1246" s="2">
        <v>45967</v>
      </c>
      <c r="C1246" t="s">
        <v>485</v>
      </c>
      <c r="D1246">
        <v>14</v>
      </c>
      <c r="E1246" t="s">
        <v>863</v>
      </c>
      <c r="F1246" t="s">
        <v>211</v>
      </c>
      <c r="G1246" t="s">
        <v>864</v>
      </c>
      <c r="H1246" t="s">
        <v>865</v>
      </c>
      <c r="I1246" t="s">
        <v>214</v>
      </c>
      <c r="J1246" s="3" t="s">
        <v>869</v>
      </c>
      <c r="K1246" t="s">
        <v>870</v>
      </c>
      <c r="L1246" s="4">
        <v>75</v>
      </c>
      <c r="M1246" s="4">
        <v>0</v>
      </c>
      <c r="N1246">
        <v>75</v>
      </c>
      <c r="O1246" t="s">
        <v>871</v>
      </c>
      <c r="P1246">
        <v>333</v>
      </c>
      <c r="Q1246">
        <f>QtyRemaining*EstMfgMin/60</f>
        <v>416.25</v>
      </c>
      <c r="U1246" t="e">
        <f t="shared" si="40"/>
        <v>#REF!</v>
      </c>
      <c r="V1246" s="5" t="e">
        <f t="shared" si="41"/>
        <v>#REF!</v>
      </c>
    </row>
    <row r="1247" spans="1:22" x14ac:dyDescent="0.25">
      <c r="A1247" s="2">
        <v>46111</v>
      </c>
      <c r="B1247" s="2">
        <v>45967</v>
      </c>
      <c r="C1247" t="s">
        <v>485</v>
      </c>
      <c r="D1247">
        <v>14</v>
      </c>
      <c r="E1247" t="s">
        <v>863</v>
      </c>
      <c r="F1247" t="s">
        <v>211</v>
      </c>
      <c r="G1247" t="s">
        <v>864</v>
      </c>
      <c r="H1247" t="s">
        <v>865</v>
      </c>
      <c r="I1247" t="s">
        <v>214</v>
      </c>
      <c r="J1247" s="3" t="s">
        <v>2786</v>
      </c>
      <c r="K1247" t="s">
        <v>2787</v>
      </c>
      <c r="L1247" s="4">
        <v>50</v>
      </c>
      <c r="M1247" s="4">
        <v>0</v>
      </c>
      <c r="N1247">
        <v>50</v>
      </c>
      <c r="O1247" t="s">
        <v>514</v>
      </c>
      <c r="P1247">
        <v>16</v>
      </c>
      <c r="Q1247">
        <f>QtyRemaining*EstMfgMin/60</f>
        <v>13.333333333333334</v>
      </c>
      <c r="U1247" t="e">
        <f t="shared" si="40"/>
        <v>#REF!</v>
      </c>
      <c r="V1247" s="5" t="e">
        <f t="shared" si="41"/>
        <v>#REF!</v>
      </c>
    </row>
    <row r="1248" spans="1:22" x14ac:dyDescent="0.25">
      <c r="A1248" s="2">
        <v>46111</v>
      </c>
      <c r="B1248" s="2">
        <v>45967</v>
      </c>
      <c r="C1248" t="s">
        <v>485</v>
      </c>
      <c r="D1248">
        <v>14</v>
      </c>
      <c r="E1248" t="s">
        <v>863</v>
      </c>
      <c r="F1248" t="s">
        <v>211</v>
      </c>
      <c r="G1248" t="s">
        <v>864</v>
      </c>
      <c r="H1248" t="s">
        <v>865</v>
      </c>
      <c r="I1248" t="s">
        <v>214</v>
      </c>
      <c r="J1248" s="3" t="s">
        <v>2788</v>
      </c>
      <c r="K1248" t="s">
        <v>2789</v>
      </c>
      <c r="L1248" s="4">
        <v>50</v>
      </c>
      <c r="M1248" s="4">
        <v>0</v>
      </c>
      <c r="N1248">
        <v>50</v>
      </c>
      <c r="O1248" t="s">
        <v>871</v>
      </c>
      <c r="P1248">
        <v>8</v>
      </c>
      <c r="Q1248">
        <f>QtyRemaining*EstMfgMin/60</f>
        <v>6.666666666666667</v>
      </c>
      <c r="U1248" t="e">
        <f t="shared" si="40"/>
        <v>#REF!</v>
      </c>
      <c r="V1248" s="5" t="e">
        <f t="shared" si="41"/>
        <v>#REF!</v>
      </c>
    </row>
    <row r="1249" spans="1:22" x14ac:dyDescent="0.25">
      <c r="A1249" s="2">
        <v>46111</v>
      </c>
      <c r="B1249" s="2">
        <v>45967</v>
      </c>
      <c r="C1249" t="s">
        <v>485</v>
      </c>
      <c r="D1249">
        <v>14</v>
      </c>
      <c r="E1249" t="s">
        <v>863</v>
      </c>
      <c r="F1249" t="s">
        <v>211</v>
      </c>
      <c r="G1249" t="s">
        <v>864</v>
      </c>
      <c r="H1249" t="s">
        <v>865</v>
      </c>
      <c r="I1249" t="s">
        <v>214</v>
      </c>
      <c r="J1249" s="3" t="s">
        <v>2790</v>
      </c>
      <c r="K1249" t="s">
        <v>2791</v>
      </c>
      <c r="L1249" s="4">
        <v>50</v>
      </c>
      <c r="M1249" s="4">
        <v>0</v>
      </c>
      <c r="N1249">
        <v>50</v>
      </c>
      <c r="O1249" t="s">
        <v>868</v>
      </c>
      <c r="P1249">
        <v>26</v>
      </c>
      <c r="Q1249">
        <f>QtyRemaining*EstMfgMin/60</f>
        <v>21.666666666666668</v>
      </c>
      <c r="U1249" t="e">
        <f t="shared" si="40"/>
        <v>#REF!</v>
      </c>
      <c r="V1249" s="5" t="e">
        <f t="shared" si="41"/>
        <v>#REF!</v>
      </c>
    </row>
    <row r="1250" spans="1:22" x14ac:dyDescent="0.25">
      <c r="A1250" s="2">
        <v>46111</v>
      </c>
      <c r="B1250" s="2">
        <v>45967</v>
      </c>
      <c r="C1250" t="s">
        <v>485</v>
      </c>
      <c r="D1250">
        <v>14</v>
      </c>
      <c r="E1250" t="s">
        <v>2792</v>
      </c>
      <c r="F1250" t="s">
        <v>211</v>
      </c>
      <c r="G1250" t="s">
        <v>864</v>
      </c>
      <c r="H1250" t="s">
        <v>2793</v>
      </c>
      <c r="I1250" t="s">
        <v>214</v>
      </c>
      <c r="J1250" s="3" t="s">
        <v>2794</v>
      </c>
      <c r="K1250" t="s">
        <v>2795</v>
      </c>
      <c r="L1250" s="4">
        <v>75</v>
      </c>
      <c r="M1250" s="4">
        <v>0</v>
      </c>
      <c r="N1250">
        <v>75</v>
      </c>
      <c r="O1250" t="s">
        <v>514</v>
      </c>
      <c r="P1250">
        <v>12</v>
      </c>
      <c r="Q1250">
        <f>QtyRemaining*EstMfgMin/60</f>
        <v>15</v>
      </c>
      <c r="U1250" t="e">
        <f t="shared" si="40"/>
        <v>#REF!</v>
      </c>
      <c r="V1250" s="5" t="e">
        <f t="shared" si="41"/>
        <v>#REF!</v>
      </c>
    </row>
    <row r="1251" spans="1:22" x14ac:dyDescent="0.25">
      <c r="A1251" s="2">
        <v>46111</v>
      </c>
      <c r="B1251" s="2">
        <v>45972</v>
      </c>
      <c r="C1251" t="s">
        <v>485</v>
      </c>
      <c r="D1251">
        <v>14</v>
      </c>
      <c r="E1251" t="s">
        <v>1078</v>
      </c>
      <c r="F1251" t="s">
        <v>211</v>
      </c>
      <c r="G1251" t="s">
        <v>761</v>
      </c>
      <c r="H1251" t="s">
        <v>1079</v>
      </c>
      <c r="I1251" t="s">
        <v>214</v>
      </c>
      <c r="J1251" s="3" t="s">
        <v>1615</v>
      </c>
      <c r="K1251" t="s">
        <v>1616</v>
      </c>
      <c r="L1251" s="4">
        <v>80</v>
      </c>
      <c r="M1251" s="4">
        <v>0</v>
      </c>
      <c r="N1251">
        <v>80</v>
      </c>
      <c r="O1251" t="s">
        <v>1082</v>
      </c>
      <c r="P1251">
        <v>12</v>
      </c>
      <c r="Q1251">
        <f>QtyRemaining*EstMfgMin/60</f>
        <v>16</v>
      </c>
      <c r="U1251" t="e">
        <f t="shared" si="40"/>
        <v>#REF!</v>
      </c>
      <c r="V1251" s="5" t="e">
        <f t="shared" si="41"/>
        <v>#REF!</v>
      </c>
    </row>
    <row r="1252" spans="1:22" x14ac:dyDescent="0.25">
      <c r="A1252" s="2">
        <v>46111</v>
      </c>
      <c r="B1252" s="2">
        <v>46009</v>
      </c>
      <c r="C1252" t="s">
        <v>485</v>
      </c>
      <c r="D1252">
        <v>14</v>
      </c>
      <c r="E1252" t="s">
        <v>1426</v>
      </c>
      <c r="F1252" t="s">
        <v>211</v>
      </c>
      <c r="G1252" t="s">
        <v>864</v>
      </c>
      <c r="H1252" t="s">
        <v>1427</v>
      </c>
      <c r="I1252" t="s">
        <v>214</v>
      </c>
      <c r="J1252" s="3" t="s">
        <v>1784</v>
      </c>
      <c r="K1252" t="s">
        <v>1785</v>
      </c>
      <c r="L1252" s="4">
        <v>25</v>
      </c>
      <c r="M1252" s="4">
        <v>0</v>
      </c>
      <c r="N1252">
        <v>25</v>
      </c>
      <c r="O1252" t="s">
        <v>514</v>
      </c>
      <c r="P1252">
        <v>14</v>
      </c>
      <c r="Q1252">
        <f>QtyRemaining*EstMfgMin/60</f>
        <v>5.833333333333333</v>
      </c>
      <c r="U1252" t="e">
        <f t="shared" si="40"/>
        <v>#REF!</v>
      </c>
      <c r="V1252" s="5" t="e">
        <f t="shared" si="41"/>
        <v>#REF!</v>
      </c>
    </row>
    <row r="1253" spans="1:22" x14ac:dyDescent="0.25">
      <c r="A1253" s="2">
        <v>46111</v>
      </c>
      <c r="B1253" s="2">
        <v>46009</v>
      </c>
      <c r="C1253" t="s">
        <v>485</v>
      </c>
      <c r="D1253">
        <v>14</v>
      </c>
      <c r="E1253" t="s">
        <v>1426</v>
      </c>
      <c r="F1253" t="s">
        <v>211</v>
      </c>
      <c r="G1253" t="s">
        <v>864</v>
      </c>
      <c r="H1253" t="s">
        <v>1427</v>
      </c>
      <c r="I1253" t="s">
        <v>214</v>
      </c>
      <c r="J1253" s="3" t="s">
        <v>2796</v>
      </c>
      <c r="K1253" t="s">
        <v>2797</v>
      </c>
      <c r="L1253" s="4">
        <v>80</v>
      </c>
      <c r="M1253" s="4">
        <v>0</v>
      </c>
      <c r="N1253">
        <v>80</v>
      </c>
      <c r="O1253" t="s">
        <v>211</v>
      </c>
      <c r="P1253">
        <v>16</v>
      </c>
      <c r="Q1253">
        <f>QtyRemaining*EstMfgMin/60</f>
        <v>21.333333333333332</v>
      </c>
      <c r="U1253" t="e">
        <f t="shared" si="40"/>
        <v>#REF!</v>
      </c>
      <c r="V1253" s="5" t="e">
        <f t="shared" si="41"/>
        <v>#REF!</v>
      </c>
    </row>
    <row r="1254" spans="1:22" x14ac:dyDescent="0.25">
      <c r="A1254" s="2">
        <v>46111</v>
      </c>
      <c r="B1254" s="2">
        <v>46045</v>
      </c>
      <c r="C1254" t="s">
        <v>485</v>
      </c>
      <c r="D1254">
        <v>14</v>
      </c>
      <c r="E1254" t="s">
        <v>2798</v>
      </c>
      <c r="F1254" t="s">
        <v>211</v>
      </c>
      <c r="G1254" t="s">
        <v>864</v>
      </c>
      <c r="H1254" t="s">
        <v>2799</v>
      </c>
      <c r="I1254" t="s">
        <v>214</v>
      </c>
      <c r="J1254" s="3" t="s">
        <v>1784</v>
      </c>
      <c r="K1254" t="s">
        <v>1785</v>
      </c>
      <c r="L1254" s="4">
        <v>25</v>
      </c>
      <c r="M1254" s="4">
        <v>0</v>
      </c>
      <c r="N1254">
        <v>25</v>
      </c>
      <c r="O1254" t="s">
        <v>514</v>
      </c>
      <c r="P1254">
        <v>14</v>
      </c>
      <c r="Q1254">
        <f>QtyRemaining*EstMfgMin/60</f>
        <v>5.833333333333333</v>
      </c>
      <c r="U1254" t="e">
        <f t="shared" si="40"/>
        <v>#REF!</v>
      </c>
      <c r="V1254" s="5" t="e">
        <f t="shared" si="41"/>
        <v>#REF!</v>
      </c>
    </row>
    <row r="1255" spans="1:22" x14ac:dyDescent="0.25">
      <c r="A1255" s="2">
        <v>46111</v>
      </c>
      <c r="B1255" s="2">
        <v>46045</v>
      </c>
      <c r="C1255" t="s">
        <v>485</v>
      </c>
      <c r="D1255">
        <v>14</v>
      </c>
      <c r="E1255" t="s">
        <v>2800</v>
      </c>
      <c r="F1255" t="s">
        <v>211</v>
      </c>
      <c r="G1255" t="s">
        <v>864</v>
      </c>
      <c r="H1255" t="s">
        <v>2801</v>
      </c>
      <c r="I1255" t="s">
        <v>214</v>
      </c>
      <c r="J1255" s="3" t="s">
        <v>2802</v>
      </c>
      <c r="K1255" t="s">
        <v>2803</v>
      </c>
      <c r="L1255" s="4">
        <v>25</v>
      </c>
      <c r="M1255" s="4">
        <v>0</v>
      </c>
      <c r="N1255">
        <v>25</v>
      </c>
      <c r="O1255" t="s">
        <v>514</v>
      </c>
      <c r="P1255">
        <v>9</v>
      </c>
      <c r="Q1255">
        <f>QtyRemaining*EstMfgMin/60</f>
        <v>3.75</v>
      </c>
      <c r="U1255" t="e">
        <f t="shared" si="40"/>
        <v>#REF!</v>
      </c>
      <c r="V1255" s="5" t="e">
        <f t="shared" si="41"/>
        <v>#REF!</v>
      </c>
    </row>
    <row r="1256" spans="1:22" x14ac:dyDescent="0.25">
      <c r="A1256" s="2">
        <v>46111</v>
      </c>
      <c r="B1256" s="2">
        <v>46045</v>
      </c>
      <c r="C1256" t="s">
        <v>485</v>
      </c>
      <c r="D1256">
        <v>14</v>
      </c>
      <c r="E1256" t="s">
        <v>2800</v>
      </c>
      <c r="F1256" t="s">
        <v>211</v>
      </c>
      <c r="G1256" t="s">
        <v>864</v>
      </c>
      <c r="H1256" t="s">
        <v>2801</v>
      </c>
      <c r="I1256" t="s">
        <v>214</v>
      </c>
      <c r="J1256" s="3" t="s">
        <v>2804</v>
      </c>
      <c r="K1256" t="s">
        <v>2805</v>
      </c>
      <c r="L1256" s="4">
        <v>50</v>
      </c>
      <c r="M1256" s="4">
        <v>0</v>
      </c>
      <c r="N1256">
        <v>50</v>
      </c>
      <c r="O1256" t="s">
        <v>176</v>
      </c>
      <c r="P1256">
        <v>10</v>
      </c>
      <c r="Q1256">
        <f>QtyRemaining*EstMfgMin/60</f>
        <v>8.3333333333333339</v>
      </c>
      <c r="U1256" t="e">
        <f t="shared" si="40"/>
        <v>#REF!</v>
      </c>
      <c r="V1256" s="5" t="e">
        <f t="shared" si="41"/>
        <v>#REF!</v>
      </c>
    </row>
    <row r="1257" spans="1:22" x14ac:dyDescent="0.25">
      <c r="A1257" s="2">
        <v>46111</v>
      </c>
      <c r="B1257" s="2">
        <v>46045</v>
      </c>
      <c r="C1257" t="s">
        <v>485</v>
      </c>
      <c r="D1257">
        <v>14</v>
      </c>
      <c r="E1257" t="s">
        <v>2800</v>
      </c>
      <c r="F1257" t="s">
        <v>211</v>
      </c>
      <c r="G1257" t="s">
        <v>864</v>
      </c>
      <c r="H1257" t="s">
        <v>2801</v>
      </c>
      <c r="I1257" t="s">
        <v>214</v>
      </c>
      <c r="J1257" s="3" t="s">
        <v>2806</v>
      </c>
      <c r="K1257" t="s">
        <v>2745</v>
      </c>
      <c r="L1257" s="4">
        <v>200</v>
      </c>
      <c r="M1257" s="4">
        <v>0</v>
      </c>
      <c r="N1257">
        <v>200</v>
      </c>
      <c r="O1257" t="s">
        <v>211</v>
      </c>
      <c r="P1257">
        <v>8</v>
      </c>
      <c r="Q1257">
        <f>QtyRemaining*EstMfgMin/60</f>
        <v>26.666666666666668</v>
      </c>
      <c r="U1257" t="e">
        <f t="shared" si="40"/>
        <v>#REF!</v>
      </c>
      <c r="V1257" s="5" t="e">
        <f t="shared" si="41"/>
        <v>#REF!</v>
      </c>
    </row>
    <row r="1258" spans="1:22" x14ac:dyDescent="0.25">
      <c r="A1258" s="2">
        <v>46111</v>
      </c>
      <c r="B1258" s="2">
        <v>46051</v>
      </c>
      <c r="C1258" t="s">
        <v>485</v>
      </c>
      <c r="D1258">
        <v>14</v>
      </c>
      <c r="E1258" t="s">
        <v>2807</v>
      </c>
      <c r="F1258" t="s">
        <v>211</v>
      </c>
      <c r="G1258" t="s">
        <v>864</v>
      </c>
      <c r="H1258" t="s">
        <v>2808</v>
      </c>
      <c r="I1258" t="s">
        <v>214</v>
      </c>
      <c r="J1258" s="3" t="s">
        <v>2809</v>
      </c>
      <c r="K1258" t="s">
        <v>2810</v>
      </c>
      <c r="L1258" s="4">
        <v>100</v>
      </c>
      <c r="M1258" s="4">
        <v>0</v>
      </c>
      <c r="N1258">
        <v>100</v>
      </c>
      <c r="O1258" t="s">
        <v>86</v>
      </c>
      <c r="P1258">
        <v>10</v>
      </c>
      <c r="Q1258">
        <f>QtyRemaining*EstMfgMin/60</f>
        <v>16.666666666666668</v>
      </c>
      <c r="U1258" t="e">
        <f t="shared" si="40"/>
        <v>#REF!</v>
      </c>
      <c r="V1258" s="5" t="e">
        <f t="shared" si="41"/>
        <v>#REF!</v>
      </c>
    </row>
    <row r="1259" spans="1:22" x14ac:dyDescent="0.25">
      <c r="A1259" s="2">
        <v>46111</v>
      </c>
      <c r="B1259" s="2">
        <v>46051</v>
      </c>
      <c r="C1259" t="s">
        <v>485</v>
      </c>
      <c r="D1259">
        <v>14</v>
      </c>
      <c r="E1259" t="s">
        <v>2807</v>
      </c>
      <c r="F1259" t="s">
        <v>211</v>
      </c>
      <c r="G1259" t="s">
        <v>864</v>
      </c>
      <c r="H1259" t="s">
        <v>2808</v>
      </c>
      <c r="I1259" t="s">
        <v>214</v>
      </c>
      <c r="J1259" s="3" t="s">
        <v>2387</v>
      </c>
      <c r="K1259" t="s">
        <v>2388</v>
      </c>
      <c r="L1259" s="4">
        <v>25</v>
      </c>
      <c r="M1259" s="4">
        <v>0</v>
      </c>
      <c r="N1259">
        <v>25</v>
      </c>
      <c r="O1259" t="s">
        <v>868</v>
      </c>
      <c r="P1259">
        <v>35</v>
      </c>
      <c r="Q1259">
        <f>QtyRemaining*EstMfgMin/60</f>
        <v>14.583333333333334</v>
      </c>
      <c r="U1259" t="e">
        <f t="shared" si="40"/>
        <v>#REF!</v>
      </c>
      <c r="V1259" s="5" t="e">
        <f t="shared" si="41"/>
        <v>#REF!</v>
      </c>
    </row>
    <row r="1260" spans="1:22" x14ac:dyDescent="0.25">
      <c r="A1260" s="2">
        <v>46111</v>
      </c>
      <c r="B1260" s="2">
        <v>46051</v>
      </c>
      <c r="C1260" t="s">
        <v>485</v>
      </c>
      <c r="D1260">
        <v>14</v>
      </c>
      <c r="E1260" t="s">
        <v>2807</v>
      </c>
      <c r="F1260" t="s">
        <v>211</v>
      </c>
      <c r="G1260" t="s">
        <v>864</v>
      </c>
      <c r="H1260" t="s">
        <v>2808</v>
      </c>
      <c r="I1260" t="s">
        <v>214</v>
      </c>
      <c r="J1260" s="3" t="s">
        <v>2811</v>
      </c>
      <c r="K1260" t="s">
        <v>2812</v>
      </c>
      <c r="L1260" s="4">
        <v>150</v>
      </c>
      <c r="M1260" s="4">
        <v>0</v>
      </c>
      <c r="N1260">
        <v>150</v>
      </c>
      <c r="O1260" t="s">
        <v>176</v>
      </c>
      <c r="P1260">
        <v>7</v>
      </c>
      <c r="Q1260">
        <f>QtyRemaining*EstMfgMin/60</f>
        <v>17.5</v>
      </c>
      <c r="U1260" t="e">
        <f t="shared" si="40"/>
        <v>#REF!</v>
      </c>
      <c r="V1260" s="5" t="e">
        <f t="shared" si="41"/>
        <v>#REF!</v>
      </c>
    </row>
    <row r="1261" spans="1:22" x14ac:dyDescent="0.25">
      <c r="A1261" s="2">
        <v>46111</v>
      </c>
      <c r="B1261" s="2">
        <v>46051</v>
      </c>
      <c r="C1261" t="s">
        <v>485</v>
      </c>
      <c r="D1261">
        <v>14</v>
      </c>
      <c r="E1261" t="s">
        <v>2807</v>
      </c>
      <c r="F1261" t="s">
        <v>211</v>
      </c>
      <c r="G1261" t="s">
        <v>864</v>
      </c>
      <c r="H1261" t="s">
        <v>2808</v>
      </c>
      <c r="I1261" t="s">
        <v>214</v>
      </c>
      <c r="J1261" s="3" t="s">
        <v>2813</v>
      </c>
      <c r="K1261" t="s">
        <v>2814</v>
      </c>
      <c r="L1261" s="4">
        <v>150</v>
      </c>
      <c r="M1261" s="4">
        <v>0</v>
      </c>
      <c r="N1261">
        <v>150</v>
      </c>
      <c r="O1261" t="s">
        <v>176</v>
      </c>
      <c r="P1261">
        <v>7</v>
      </c>
      <c r="Q1261">
        <f>QtyRemaining*EstMfgMin/60</f>
        <v>17.5</v>
      </c>
      <c r="U1261" t="e">
        <f t="shared" si="40"/>
        <v>#REF!</v>
      </c>
      <c r="V1261" s="5" t="e">
        <f t="shared" si="41"/>
        <v>#REF!</v>
      </c>
    </row>
    <row r="1262" spans="1:22" x14ac:dyDescent="0.25">
      <c r="A1262" s="2">
        <v>46112</v>
      </c>
      <c r="B1262" s="2">
        <v>45541</v>
      </c>
      <c r="C1262" t="s">
        <v>633</v>
      </c>
      <c r="D1262">
        <v>14</v>
      </c>
      <c r="E1262" t="s">
        <v>1582</v>
      </c>
      <c r="F1262" t="s">
        <v>261</v>
      </c>
      <c r="G1262" t="s">
        <v>1583</v>
      </c>
      <c r="H1262" t="s">
        <v>1584</v>
      </c>
      <c r="I1262" t="s">
        <v>83</v>
      </c>
      <c r="J1262" s="3" t="s">
        <v>1585</v>
      </c>
      <c r="K1262" t="s">
        <v>1586</v>
      </c>
      <c r="L1262" s="4">
        <v>4</v>
      </c>
      <c r="M1262" s="4">
        <v>0</v>
      </c>
      <c r="N1262">
        <v>4</v>
      </c>
      <c r="P1262">
        <v>0</v>
      </c>
      <c r="Q1262">
        <f>QtyRemaining*EstMfgMin/60</f>
        <v>0</v>
      </c>
      <c r="U1262" t="e">
        <f t="shared" si="40"/>
        <v>#REF!</v>
      </c>
      <c r="V1262" s="5" t="e">
        <f t="shared" si="41"/>
        <v>#REF!</v>
      </c>
    </row>
    <row r="1263" spans="1:22" x14ac:dyDescent="0.25">
      <c r="A1263" s="2">
        <v>46112</v>
      </c>
      <c r="B1263" s="2">
        <v>45636</v>
      </c>
      <c r="C1263" t="s">
        <v>2145</v>
      </c>
      <c r="D1263">
        <v>14</v>
      </c>
      <c r="E1263" t="s">
        <v>2815</v>
      </c>
      <c r="F1263" t="s">
        <v>261</v>
      </c>
      <c r="G1263" t="s">
        <v>2147</v>
      </c>
      <c r="H1263" t="s">
        <v>2816</v>
      </c>
      <c r="I1263" t="s">
        <v>155</v>
      </c>
      <c r="J1263" s="3" t="s">
        <v>2817</v>
      </c>
      <c r="K1263" t="s">
        <v>2818</v>
      </c>
      <c r="L1263" s="4">
        <v>6</v>
      </c>
      <c r="M1263" s="4">
        <v>0</v>
      </c>
      <c r="N1263">
        <v>6</v>
      </c>
      <c r="O1263" t="s">
        <v>86</v>
      </c>
      <c r="P1263">
        <v>18</v>
      </c>
      <c r="Q1263">
        <f>QtyRemaining*EstMfgMin/60</f>
        <v>1.8</v>
      </c>
      <c r="R1263" t="s">
        <v>1062</v>
      </c>
      <c r="U1263" t="e">
        <f t="shared" si="40"/>
        <v>#REF!</v>
      </c>
      <c r="V1263" s="5" t="e">
        <f t="shared" si="41"/>
        <v>#REF!</v>
      </c>
    </row>
    <row r="1264" spans="1:22" x14ac:dyDescent="0.25">
      <c r="A1264" s="2">
        <v>46112</v>
      </c>
      <c r="B1264" s="2">
        <v>45636</v>
      </c>
      <c r="C1264" t="s">
        <v>2145</v>
      </c>
      <c r="D1264">
        <v>14</v>
      </c>
      <c r="E1264" t="s">
        <v>2819</v>
      </c>
      <c r="F1264" t="s">
        <v>261</v>
      </c>
      <c r="G1264" t="s">
        <v>2147</v>
      </c>
      <c r="H1264" t="s">
        <v>2820</v>
      </c>
      <c r="I1264" t="s">
        <v>155</v>
      </c>
      <c r="J1264" s="3" t="s">
        <v>2821</v>
      </c>
      <c r="K1264" t="s">
        <v>2822</v>
      </c>
      <c r="L1264" s="4">
        <v>6</v>
      </c>
      <c r="M1264" s="4">
        <v>0</v>
      </c>
      <c r="N1264">
        <v>6</v>
      </c>
      <c r="O1264" t="s">
        <v>457</v>
      </c>
      <c r="P1264">
        <v>22</v>
      </c>
      <c r="Q1264">
        <f>QtyRemaining*EstMfgMin/60</f>
        <v>2.2000000000000002</v>
      </c>
      <c r="R1264" t="s">
        <v>1062</v>
      </c>
      <c r="U1264" t="e">
        <f t="shared" si="40"/>
        <v>#REF!</v>
      </c>
      <c r="V1264" s="5" t="e">
        <f t="shared" si="41"/>
        <v>#REF!</v>
      </c>
    </row>
    <row r="1265" spans="1:22" x14ac:dyDescent="0.25">
      <c r="A1265" s="2">
        <v>46112</v>
      </c>
      <c r="B1265" s="2">
        <v>45636</v>
      </c>
      <c r="C1265" t="s">
        <v>2145</v>
      </c>
      <c r="D1265">
        <v>14</v>
      </c>
      <c r="E1265" t="s">
        <v>2819</v>
      </c>
      <c r="F1265" t="s">
        <v>261</v>
      </c>
      <c r="G1265" t="s">
        <v>2147</v>
      </c>
      <c r="H1265" t="s">
        <v>2820</v>
      </c>
      <c r="I1265" t="s">
        <v>155</v>
      </c>
      <c r="J1265" s="3" t="s">
        <v>2823</v>
      </c>
      <c r="K1265" t="s">
        <v>2824</v>
      </c>
      <c r="L1265" s="4">
        <v>9</v>
      </c>
      <c r="M1265" s="4">
        <v>0</v>
      </c>
      <c r="N1265">
        <v>9</v>
      </c>
      <c r="P1265">
        <v>0</v>
      </c>
      <c r="Q1265">
        <f>QtyRemaining*EstMfgMin/60</f>
        <v>0</v>
      </c>
      <c r="U1265" t="e">
        <f t="shared" si="40"/>
        <v>#REF!</v>
      </c>
      <c r="V1265" s="5" t="e">
        <f t="shared" si="41"/>
        <v>#REF!</v>
      </c>
    </row>
    <row r="1266" spans="1:22" x14ac:dyDescent="0.25">
      <c r="A1266" s="2">
        <v>46112</v>
      </c>
      <c r="B1266" s="2">
        <v>45933</v>
      </c>
      <c r="C1266" t="s">
        <v>478</v>
      </c>
      <c r="D1266">
        <v>14</v>
      </c>
      <c r="E1266" t="s">
        <v>1488</v>
      </c>
      <c r="F1266" t="s">
        <v>261</v>
      </c>
      <c r="G1266" t="s">
        <v>1228</v>
      </c>
      <c r="H1266" t="s">
        <v>1489</v>
      </c>
      <c r="I1266" t="s">
        <v>155</v>
      </c>
      <c r="J1266" s="3" t="s">
        <v>1490</v>
      </c>
      <c r="K1266" t="s">
        <v>1491</v>
      </c>
      <c r="L1266" s="4">
        <v>4</v>
      </c>
      <c r="M1266" s="4">
        <v>0</v>
      </c>
      <c r="N1266">
        <v>4</v>
      </c>
      <c r="O1266" t="s">
        <v>146</v>
      </c>
      <c r="P1266">
        <v>52</v>
      </c>
      <c r="Q1266">
        <f>QtyRemaining*EstMfgMin/60</f>
        <v>3.4666666666666668</v>
      </c>
      <c r="R1266" t="s">
        <v>967</v>
      </c>
      <c r="U1266" t="e">
        <f t="shared" si="40"/>
        <v>#REF!</v>
      </c>
      <c r="V1266" s="5" t="e">
        <f t="shared" si="41"/>
        <v>#REF!</v>
      </c>
    </row>
    <row r="1267" spans="1:22" x14ac:dyDescent="0.25">
      <c r="A1267" s="2">
        <v>46113</v>
      </c>
      <c r="B1267" s="2">
        <v>45586</v>
      </c>
      <c r="C1267" t="s">
        <v>478</v>
      </c>
      <c r="D1267">
        <v>14</v>
      </c>
      <c r="E1267" t="s">
        <v>2022</v>
      </c>
      <c r="F1267" t="s">
        <v>261</v>
      </c>
      <c r="G1267" t="s">
        <v>2023</v>
      </c>
      <c r="H1267" t="s">
        <v>2024</v>
      </c>
      <c r="I1267" t="s">
        <v>155</v>
      </c>
      <c r="J1267" s="3" t="s">
        <v>2025</v>
      </c>
      <c r="K1267" t="s">
        <v>2026</v>
      </c>
      <c r="L1267" s="4">
        <v>15</v>
      </c>
      <c r="M1267" s="4">
        <v>0</v>
      </c>
      <c r="N1267">
        <v>15</v>
      </c>
      <c r="O1267" t="s">
        <v>94</v>
      </c>
      <c r="P1267">
        <v>60</v>
      </c>
      <c r="Q1267">
        <f>QtyRemaining*EstMfgMin/60</f>
        <v>15</v>
      </c>
      <c r="R1267" t="s">
        <v>1062</v>
      </c>
      <c r="U1267" t="e">
        <f t="shared" si="40"/>
        <v>#REF!</v>
      </c>
      <c r="V1267" s="5" t="e">
        <f t="shared" si="41"/>
        <v>#REF!</v>
      </c>
    </row>
    <row r="1268" spans="1:22" x14ac:dyDescent="0.25">
      <c r="A1268" s="2">
        <v>46113</v>
      </c>
      <c r="B1268" s="2">
        <v>45586</v>
      </c>
      <c r="C1268" t="s">
        <v>478</v>
      </c>
      <c r="D1268">
        <v>14</v>
      </c>
      <c r="E1268" t="s">
        <v>2022</v>
      </c>
      <c r="F1268" t="s">
        <v>261</v>
      </c>
      <c r="G1268" t="s">
        <v>2023</v>
      </c>
      <c r="H1268" t="s">
        <v>2024</v>
      </c>
      <c r="I1268" t="s">
        <v>155</v>
      </c>
      <c r="J1268" s="3" t="s">
        <v>2025</v>
      </c>
      <c r="K1268" t="s">
        <v>2026</v>
      </c>
      <c r="L1268" s="4">
        <v>15</v>
      </c>
      <c r="M1268" s="4">
        <v>0</v>
      </c>
      <c r="N1268">
        <v>15</v>
      </c>
      <c r="O1268" t="s">
        <v>94</v>
      </c>
      <c r="P1268">
        <v>60</v>
      </c>
      <c r="Q1268">
        <f>QtyRemaining*EstMfgMin/60</f>
        <v>15</v>
      </c>
      <c r="R1268" t="s">
        <v>1062</v>
      </c>
      <c r="U1268" t="e">
        <f t="shared" si="40"/>
        <v>#REF!</v>
      </c>
      <c r="V1268" s="5" t="e">
        <f t="shared" si="41"/>
        <v>#REF!</v>
      </c>
    </row>
    <row r="1269" spans="1:22" x14ac:dyDescent="0.25">
      <c r="A1269" s="2">
        <v>46113</v>
      </c>
      <c r="B1269" s="2">
        <v>45825</v>
      </c>
      <c r="C1269" t="s">
        <v>221</v>
      </c>
      <c r="D1269">
        <v>14</v>
      </c>
      <c r="E1269" t="s">
        <v>2825</v>
      </c>
      <c r="F1269" t="s">
        <v>211</v>
      </c>
      <c r="G1269" t="s">
        <v>1731</v>
      </c>
      <c r="H1269" t="s">
        <v>2826</v>
      </c>
      <c r="I1269" t="s">
        <v>256</v>
      </c>
      <c r="J1269" s="3" t="s">
        <v>2827</v>
      </c>
      <c r="K1269" t="s">
        <v>2828</v>
      </c>
      <c r="L1269" s="4">
        <v>46</v>
      </c>
      <c r="M1269" s="4">
        <v>0</v>
      </c>
      <c r="N1269">
        <v>46</v>
      </c>
      <c r="O1269" t="s">
        <v>146</v>
      </c>
      <c r="P1269">
        <v>11</v>
      </c>
      <c r="Q1269">
        <f>QtyRemaining*EstMfgMin/60</f>
        <v>8.4333333333333336</v>
      </c>
      <c r="U1269" t="e">
        <f t="shared" si="40"/>
        <v>#REF!</v>
      </c>
      <c r="V1269" s="5" t="e">
        <f t="shared" si="41"/>
        <v>#REF!</v>
      </c>
    </row>
    <row r="1270" spans="1:22" x14ac:dyDescent="0.25">
      <c r="A1270" s="2">
        <v>46113</v>
      </c>
      <c r="B1270" s="2">
        <v>45904</v>
      </c>
      <c r="C1270" t="s">
        <v>550</v>
      </c>
      <c r="D1270">
        <v>14</v>
      </c>
      <c r="E1270" t="s">
        <v>2829</v>
      </c>
      <c r="F1270" t="s">
        <v>261</v>
      </c>
      <c r="G1270" t="s">
        <v>552</v>
      </c>
      <c r="H1270" t="s">
        <v>2830</v>
      </c>
      <c r="I1270" t="s">
        <v>45</v>
      </c>
      <c r="J1270" s="3" t="s">
        <v>2831</v>
      </c>
      <c r="K1270" t="s">
        <v>2832</v>
      </c>
      <c r="L1270" s="4">
        <v>67</v>
      </c>
      <c r="M1270" s="4">
        <v>55</v>
      </c>
      <c r="N1270">
        <v>12</v>
      </c>
      <c r="O1270" t="s">
        <v>2833</v>
      </c>
      <c r="P1270">
        <v>0</v>
      </c>
      <c r="Q1270">
        <f>QtyRemaining*EstMfgMin/60</f>
        <v>0</v>
      </c>
      <c r="U1270" t="e">
        <f t="shared" si="40"/>
        <v>#REF!</v>
      </c>
      <c r="V1270" s="5" t="e">
        <f t="shared" si="41"/>
        <v>#REF!</v>
      </c>
    </row>
    <row r="1271" spans="1:22" x14ac:dyDescent="0.25">
      <c r="A1271" s="2">
        <v>46113</v>
      </c>
      <c r="B1271" s="2">
        <v>45972</v>
      </c>
      <c r="C1271" t="s">
        <v>485</v>
      </c>
      <c r="D1271">
        <v>14</v>
      </c>
      <c r="E1271" t="s">
        <v>1078</v>
      </c>
      <c r="F1271" t="s">
        <v>211</v>
      </c>
      <c r="G1271" t="s">
        <v>761</v>
      </c>
      <c r="H1271" t="s">
        <v>1079</v>
      </c>
      <c r="I1271" t="s">
        <v>214</v>
      </c>
      <c r="J1271" s="3" t="s">
        <v>2834</v>
      </c>
      <c r="K1271" t="s">
        <v>2835</v>
      </c>
      <c r="L1271" s="4">
        <v>100</v>
      </c>
      <c r="M1271" s="4">
        <v>0</v>
      </c>
      <c r="N1271">
        <v>100</v>
      </c>
      <c r="O1271" t="s">
        <v>1082</v>
      </c>
      <c r="P1271">
        <v>6</v>
      </c>
      <c r="Q1271">
        <f>QtyRemaining*EstMfgMin/60</f>
        <v>10</v>
      </c>
      <c r="U1271" t="e">
        <f t="shared" si="40"/>
        <v>#REF!</v>
      </c>
      <c r="V1271" s="5" t="e">
        <f t="shared" si="41"/>
        <v>#REF!</v>
      </c>
    </row>
    <row r="1272" spans="1:22" x14ac:dyDescent="0.25">
      <c r="A1272" s="2">
        <v>46113</v>
      </c>
      <c r="B1272" s="2">
        <v>45972</v>
      </c>
      <c r="C1272" t="s">
        <v>485</v>
      </c>
      <c r="D1272">
        <v>14</v>
      </c>
      <c r="E1272" t="s">
        <v>1078</v>
      </c>
      <c r="F1272" t="s">
        <v>211</v>
      </c>
      <c r="G1272" t="s">
        <v>761</v>
      </c>
      <c r="H1272" t="s">
        <v>1079</v>
      </c>
      <c r="I1272" t="s">
        <v>214</v>
      </c>
      <c r="J1272" s="3" t="s">
        <v>2836</v>
      </c>
      <c r="K1272" t="s">
        <v>2837</v>
      </c>
      <c r="L1272" s="4">
        <v>40</v>
      </c>
      <c r="M1272" s="4">
        <v>0</v>
      </c>
      <c r="N1272">
        <v>40</v>
      </c>
      <c r="O1272" t="s">
        <v>86</v>
      </c>
      <c r="P1272">
        <v>8</v>
      </c>
      <c r="Q1272">
        <f>QtyRemaining*EstMfgMin/60</f>
        <v>5.333333333333333</v>
      </c>
      <c r="U1272" t="e">
        <f t="shared" si="40"/>
        <v>#REF!</v>
      </c>
      <c r="V1272" s="5" t="e">
        <f t="shared" si="41"/>
        <v>#REF!</v>
      </c>
    </row>
    <row r="1273" spans="1:22" x14ac:dyDescent="0.25">
      <c r="A1273" s="2">
        <v>46113</v>
      </c>
      <c r="B1273" s="2">
        <v>46003</v>
      </c>
      <c r="C1273" t="s">
        <v>478</v>
      </c>
      <c r="D1273">
        <v>14</v>
      </c>
      <c r="E1273" t="s">
        <v>2421</v>
      </c>
      <c r="F1273" t="s">
        <v>261</v>
      </c>
      <c r="G1273" t="s">
        <v>670</v>
      </c>
      <c r="H1273" t="s">
        <v>2422</v>
      </c>
      <c r="I1273" t="s">
        <v>83</v>
      </c>
      <c r="J1273" s="3" t="s">
        <v>2838</v>
      </c>
      <c r="K1273" t="s">
        <v>2021</v>
      </c>
      <c r="L1273" s="4">
        <v>150</v>
      </c>
      <c r="M1273" s="4">
        <v>0</v>
      </c>
      <c r="N1273">
        <v>150</v>
      </c>
      <c r="O1273" t="s">
        <v>118</v>
      </c>
      <c r="P1273">
        <v>24</v>
      </c>
      <c r="Q1273">
        <f>QtyRemaining*EstMfgMin/60</f>
        <v>60</v>
      </c>
      <c r="U1273" t="e">
        <f t="shared" si="40"/>
        <v>#REF!</v>
      </c>
      <c r="V1273" s="5" t="e">
        <f t="shared" si="41"/>
        <v>#REF!</v>
      </c>
    </row>
    <row r="1274" spans="1:22" x14ac:dyDescent="0.25">
      <c r="A1274" s="2">
        <v>46114</v>
      </c>
      <c r="B1274" s="2">
        <v>46027</v>
      </c>
      <c r="C1274" t="s">
        <v>287</v>
      </c>
      <c r="D1274">
        <v>14</v>
      </c>
      <c r="E1274" t="s">
        <v>2839</v>
      </c>
      <c r="F1274" t="s">
        <v>211</v>
      </c>
      <c r="G1274" t="s">
        <v>289</v>
      </c>
      <c r="H1274" t="s">
        <v>2840</v>
      </c>
      <c r="I1274" t="s">
        <v>214</v>
      </c>
      <c r="J1274" s="3" t="s">
        <v>2841</v>
      </c>
      <c r="K1274" t="s">
        <v>2842</v>
      </c>
      <c r="L1274" s="4">
        <v>400</v>
      </c>
      <c r="M1274" s="4">
        <v>0</v>
      </c>
      <c r="N1274">
        <v>400</v>
      </c>
      <c r="O1274" t="s">
        <v>146</v>
      </c>
      <c r="P1274">
        <v>5</v>
      </c>
      <c r="Q1274">
        <f>QtyRemaining*EstMfgMin/60</f>
        <v>33.333333333333336</v>
      </c>
      <c r="U1274" t="e">
        <f t="shared" si="40"/>
        <v>#REF!</v>
      </c>
      <c r="V1274" s="5" t="e">
        <f t="shared" si="41"/>
        <v>#REF!</v>
      </c>
    </row>
    <row r="1275" spans="1:22" x14ac:dyDescent="0.25">
      <c r="A1275" s="2">
        <v>46114</v>
      </c>
      <c r="B1275" s="2">
        <v>46045</v>
      </c>
      <c r="C1275" t="s">
        <v>465</v>
      </c>
      <c r="D1275">
        <v>14</v>
      </c>
      <c r="E1275" t="s">
        <v>2843</v>
      </c>
      <c r="F1275" t="s">
        <v>211</v>
      </c>
      <c r="G1275" t="s">
        <v>467</v>
      </c>
      <c r="H1275" t="s">
        <v>2844</v>
      </c>
      <c r="I1275" t="s">
        <v>214</v>
      </c>
      <c r="J1275" s="3" t="s">
        <v>2845</v>
      </c>
      <c r="K1275" t="s">
        <v>2846</v>
      </c>
      <c r="L1275" s="4">
        <v>3</v>
      </c>
      <c r="M1275" s="4">
        <v>0</v>
      </c>
      <c r="N1275">
        <v>3</v>
      </c>
      <c r="O1275" t="s">
        <v>86</v>
      </c>
      <c r="P1275">
        <v>60</v>
      </c>
      <c r="Q1275">
        <f>QtyRemaining*EstMfgMin/60</f>
        <v>3</v>
      </c>
      <c r="U1275" t="e">
        <f t="shared" si="40"/>
        <v>#REF!</v>
      </c>
      <c r="V1275" s="5" t="e">
        <f t="shared" si="41"/>
        <v>#REF!</v>
      </c>
    </row>
    <row r="1276" spans="1:22" x14ac:dyDescent="0.25">
      <c r="A1276" s="2">
        <v>46114</v>
      </c>
      <c r="B1276" s="2">
        <v>46045</v>
      </c>
      <c r="C1276" t="s">
        <v>465</v>
      </c>
      <c r="D1276">
        <v>14</v>
      </c>
      <c r="E1276" t="s">
        <v>2843</v>
      </c>
      <c r="F1276" t="s">
        <v>211</v>
      </c>
      <c r="G1276" t="s">
        <v>467</v>
      </c>
      <c r="H1276" t="s">
        <v>2844</v>
      </c>
      <c r="I1276" t="s">
        <v>214</v>
      </c>
      <c r="J1276" s="3" t="s">
        <v>1571</v>
      </c>
      <c r="K1276" t="s">
        <v>2847</v>
      </c>
      <c r="L1276" s="4">
        <v>25</v>
      </c>
      <c r="M1276" s="4">
        <v>0</v>
      </c>
      <c r="N1276">
        <v>25</v>
      </c>
      <c r="O1276" t="s">
        <v>176</v>
      </c>
      <c r="P1276">
        <v>22</v>
      </c>
      <c r="Q1276">
        <f>QtyRemaining*EstMfgMin/60</f>
        <v>9.1666666666666661</v>
      </c>
      <c r="U1276" t="e">
        <f t="shared" si="40"/>
        <v>#REF!</v>
      </c>
      <c r="V1276" s="5" t="e">
        <f t="shared" si="41"/>
        <v>#REF!</v>
      </c>
    </row>
    <row r="1277" spans="1:22" x14ac:dyDescent="0.25">
      <c r="A1277" s="2">
        <v>46115</v>
      </c>
      <c r="B1277" s="2">
        <v>45953</v>
      </c>
      <c r="C1277" t="s">
        <v>633</v>
      </c>
      <c r="D1277">
        <v>14</v>
      </c>
      <c r="E1277" t="s">
        <v>2848</v>
      </c>
      <c r="F1277" t="s">
        <v>261</v>
      </c>
      <c r="G1277" t="s">
        <v>262</v>
      </c>
      <c r="H1277" t="s">
        <v>2849</v>
      </c>
      <c r="I1277" t="s">
        <v>83</v>
      </c>
      <c r="J1277" s="3" t="s">
        <v>2850</v>
      </c>
      <c r="K1277" t="s">
        <v>2851</v>
      </c>
      <c r="L1277" s="4">
        <v>24</v>
      </c>
      <c r="M1277" s="4">
        <v>0</v>
      </c>
      <c r="N1277">
        <v>24</v>
      </c>
      <c r="O1277" t="s">
        <v>118</v>
      </c>
      <c r="P1277">
        <v>60</v>
      </c>
      <c r="Q1277">
        <f>QtyRemaining*EstMfgMin/60</f>
        <v>24</v>
      </c>
      <c r="U1277" t="e">
        <f t="shared" si="40"/>
        <v>#REF!</v>
      </c>
      <c r="V1277" s="5" t="e">
        <f t="shared" si="41"/>
        <v>#REF!</v>
      </c>
    </row>
    <row r="1278" spans="1:22" x14ac:dyDescent="0.25">
      <c r="A1278" s="2">
        <v>46115</v>
      </c>
      <c r="B1278" s="2">
        <v>45960</v>
      </c>
      <c r="C1278" t="s">
        <v>485</v>
      </c>
      <c r="D1278">
        <v>14</v>
      </c>
      <c r="E1278" t="s">
        <v>2852</v>
      </c>
      <c r="F1278" t="s">
        <v>211</v>
      </c>
      <c r="G1278" t="s">
        <v>2077</v>
      </c>
      <c r="H1278" t="s">
        <v>2853</v>
      </c>
      <c r="I1278" t="s">
        <v>214</v>
      </c>
      <c r="J1278" s="3" t="s">
        <v>2854</v>
      </c>
      <c r="K1278" t="s">
        <v>2855</v>
      </c>
      <c r="L1278" s="4">
        <v>10</v>
      </c>
      <c r="M1278" s="4">
        <v>0</v>
      </c>
      <c r="N1278">
        <v>10</v>
      </c>
      <c r="O1278" t="s">
        <v>86</v>
      </c>
      <c r="P1278">
        <v>17</v>
      </c>
      <c r="Q1278">
        <f>QtyRemaining*EstMfgMin/60</f>
        <v>2.8333333333333335</v>
      </c>
      <c r="U1278" t="e">
        <f t="shared" si="40"/>
        <v>#REF!</v>
      </c>
      <c r="V1278" s="5" t="e">
        <f t="shared" si="41"/>
        <v>#REF!</v>
      </c>
    </row>
    <row r="1279" spans="1:22" x14ac:dyDescent="0.25">
      <c r="A1279" s="2">
        <v>46115</v>
      </c>
      <c r="B1279" s="2">
        <v>45972</v>
      </c>
      <c r="C1279" t="s">
        <v>485</v>
      </c>
      <c r="D1279">
        <v>14</v>
      </c>
      <c r="E1279" t="s">
        <v>1078</v>
      </c>
      <c r="F1279" t="s">
        <v>211</v>
      </c>
      <c r="G1279" t="s">
        <v>761</v>
      </c>
      <c r="H1279" t="s">
        <v>1079</v>
      </c>
      <c r="I1279" t="s">
        <v>214</v>
      </c>
      <c r="J1279" s="3" t="s">
        <v>2434</v>
      </c>
      <c r="K1279" t="s">
        <v>2435</v>
      </c>
      <c r="L1279" s="4">
        <v>40</v>
      </c>
      <c r="M1279" s="4">
        <v>0</v>
      </c>
      <c r="N1279">
        <v>40</v>
      </c>
      <c r="O1279" t="s">
        <v>1082</v>
      </c>
      <c r="P1279">
        <v>24</v>
      </c>
      <c r="Q1279">
        <f>QtyRemaining*EstMfgMin/60</f>
        <v>16</v>
      </c>
      <c r="U1279" t="e">
        <f t="shared" si="40"/>
        <v>#REF!</v>
      </c>
      <c r="V1279" s="5" t="e">
        <f t="shared" si="41"/>
        <v>#REF!</v>
      </c>
    </row>
    <row r="1280" spans="1:22" x14ac:dyDescent="0.25">
      <c r="A1280" s="2">
        <v>46115</v>
      </c>
      <c r="B1280" s="2">
        <v>45972</v>
      </c>
      <c r="C1280" t="s">
        <v>485</v>
      </c>
      <c r="D1280">
        <v>14</v>
      </c>
      <c r="E1280" t="s">
        <v>1078</v>
      </c>
      <c r="F1280" t="s">
        <v>211</v>
      </c>
      <c r="G1280" t="s">
        <v>761</v>
      </c>
      <c r="H1280" t="s">
        <v>1079</v>
      </c>
      <c r="I1280" t="s">
        <v>214</v>
      </c>
      <c r="J1280" s="3" t="s">
        <v>2436</v>
      </c>
      <c r="K1280" t="s">
        <v>2437</v>
      </c>
      <c r="L1280" s="4">
        <v>20</v>
      </c>
      <c r="M1280" s="4">
        <v>0</v>
      </c>
      <c r="N1280">
        <v>20</v>
      </c>
      <c r="O1280" t="s">
        <v>176</v>
      </c>
      <c r="P1280">
        <v>20</v>
      </c>
      <c r="Q1280">
        <f>QtyRemaining*EstMfgMin/60</f>
        <v>6.666666666666667</v>
      </c>
      <c r="U1280" t="e">
        <f t="shared" si="40"/>
        <v>#REF!</v>
      </c>
      <c r="V1280" s="5" t="e">
        <f t="shared" si="41"/>
        <v>#REF!</v>
      </c>
    </row>
    <row r="1281" spans="1:22" x14ac:dyDescent="0.25">
      <c r="A1281" s="2">
        <v>46115</v>
      </c>
      <c r="B1281" s="2">
        <v>45972</v>
      </c>
      <c r="C1281" t="s">
        <v>485</v>
      </c>
      <c r="D1281">
        <v>14</v>
      </c>
      <c r="E1281" t="s">
        <v>1078</v>
      </c>
      <c r="F1281" t="s">
        <v>211</v>
      </c>
      <c r="G1281" t="s">
        <v>761</v>
      </c>
      <c r="H1281" t="s">
        <v>1079</v>
      </c>
      <c r="I1281" t="s">
        <v>214</v>
      </c>
      <c r="J1281" s="3" t="s">
        <v>1788</v>
      </c>
      <c r="K1281" t="s">
        <v>1789</v>
      </c>
      <c r="L1281" s="4">
        <v>20</v>
      </c>
      <c r="M1281" s="4">
        <v>0</v>
      </c>
      <c r="N1281">
        <v>20</v>
      </c>
      <c r="O1281" t="s">
        <v>765</v>
      </c>
      <c r="P1281">
        <v>16</v>
      </c>
      <c r="Q1281">
        <f>QtyRemaining*EstMfgMin/60</f>
        <v>5.333333333333333</v>
      </c>
      <c r="U1281" t="e">
        <f t="shared" si="40"/>
        <v>#REF!</v>
      </c>
      <c r="V1281" s="5" t="e">
        <f t="shared" si="41"/>
        <v>#REF!</v>
      </c>
    </row>
    <row r="1282" spans="1:22" x14ac:dyDescent="0.25">
      <c r="A1282" s="2">
        <v>46115</v>
      </c>
      <c r="B1282" s="2">
        <v>45972</v>
      </c>
      <c r="C1282" t="s">
        <v>485</v>
      </c>
      <c r="D1282">
        <v>14</v>
      </c>
      <c r="E1282" t="s">
        <v>1078</v>
      </c>
      <c r="F1282" t="s">
        <v>211</v>
      </c>
      <c r="G1282" t="s">
        <v>761</v>
      </c>
      <c r="H1282" t="s">
        <v>1079</v>
      </c>
      <c r="I1282" t="s">
        <v>214</v>
      </c>
      <c r="J1282" s="3" t="s">
        <v>1642</v>
      </c>
      <c r="K1282" t="s">
        <v>1643</v>
      </c>
      <c r="L1282" s="4">
        <v>50</v>
      </c>
      <c r="M1282" s="4">
        <v>0</v>
      </c>
      <c r="N1282">
        <v>50</v>
      </c>
      <c r="O1282" t="s">
        <v>1082</v>
      </c>
      <c r="P1282">
        <v>6</v>
      </c>
      <c r="Q1282">
        <f>QtyRemaining*EstMfgMin/60</f>
        <v>5</v>
      </c>
      <c r="U1282" t="e">
        <f t="shared" si="40"/>
        <v>#REF!</v>
      </c>
      <c r="V1282" s="5" t="e">
        <f t="shared" si="41"/>
        <v>#REF!</v>
      </c>
    </row>
    <row r="1283" spans="1:22" x14ac:dyDescent="0.25">
      <c r="A1283" s="2">
        <v>46115</v>
      </c>
      <c r="B1283" s="2">
        <v>45993</v>
      </c>
      <c r="C1283" t="s">
        <v>650</v>
      </c>
      <c r="D1283">
        <v>14</v>
      </c>
      <c r="E1283" t="s">
        <v>1960</v>
      </c>
      <c r="F1283" t="s">
        <v>283</v>
      </c>
      <c r="G1283" t="s">
        <v>652</v>
      </c>
      <c r="H1283" t="s">
        <v>1961</v>
      </c>
      <c r="I1283" t="s">
        <v>1087</v>
      </c>
      <c r="J1283" s="3" t="s">
        <v>2856</v>
      </c>
      <c r="K1283" t="s">
        <v>2857</v>
      </c>
      <c r="L1283" s="4">
        <v>1</v>
      </c>
      <c r="M1283" s="4">
        <v>0</v>
      </c>
      <c r="N1283">
        <v>1</v>
      </c>
      <c r="O1283" t="s">
        <v>656</v>
      </c>
      <c r="P1283">
        <v>60</v>
      </c>
      <c r="Q1283">
        <f>QtyRemaining*EstMfgMin/60</f>
        <v>1</v>
      </c>
      <c r="R1283" t="s">
        <v>1062</v>
      </c>
      <c r="U1283" t="e">
        <f t="shared" ref="U1283:U1346" si="42">VLOOKUP(A1283,Calendar,13,FALSE)</f>
        <v>#REF!</v>
      </c>
      <c r="V1283" s="5" t="e">
        <f t="shared" ref="V1283:V1346" si="43">VLOOKUP(A1283,Calendar,14,FALSE)</f>
        <v>#REF!</v>
      </c>
    </row>
    <row r="1284" spans="1:22" x14ac:dyDescent="0.25">
      <c r="A1284" s="2">
        <v>46115</v>
      </c>
      <c r="B1284" s="2">
        <v>45994</v>
      </c>
      <c r="C1284" t="s">
        <v>465</v>
      </c>
      <c r="D1284">
        <v>14</v>
      </c>
      <c r="E1284" t="s">
        <v>2670</v>
      </c>
      <c r="F1284" t="s">
        <v>211</v>
      </c>
      <c r="G1284" t="s">
        <v>467</v>
      </c>
      <c r="H1284" t="s">
        <v>2671</v>
      </c>
      <c r="I1284" t="s">
        <v>214</v>
      </c>
      <c r="J1284" s="3" t="s">
        <v>2858</v>
      </c>
      <c r="K1284" t="s">
        <v>2859</v>
      </c>
      <c r="L1284" s="4">
        <v>1</v>
      </c>
      <c r="M1284" s="4">
        <v>0</v>
      </c>
      <c r="N1284">
        <v>1</v>
      </c>
      <c r="O1284" t="s">
        <v>457</v>
      </c>
      <c r="P1284">
        <v>42</v>
      </c>
      <c r="Q1284">
        <f>QtyRemaining*EstMfgMin/60</f>
        <v>0.7</v>
      </c>
      <c r="U1284" t="e">
        <f t="shared" si="42"/>
        <v>#REF!</v>
      </c>
      <c r="V1284" s="5" t="e">
        <f t="shared" si="43"/>
        <v>#REF!</v>
      </c>
    </row>
    <row r="1285" spans="1:22" x14ac:dyDescent="0.25">
      <c r="A1285" s="2">
        <v>46115</v>
      </c>
      <c r="B1285" s="2">
        <v>46031</v>
      </c>
      <c r="C1285" t="s">
        <v>1168</v>
      </c>
      <c r="D1285">
        <v>14</v>
      </c>
      <c r="E1285" t="s">
        <v>2860</v>
      </c>
      <c r="F1285" t="s">
        <v>283</v>
      </c>
      <c r="G1285" t="s">
        <v>1170</v>
      </c>
      <c r="H1285" t="s">
        <v>2861</v>
      </c>
      <c r="I1285" t="s">
        <v>224</v>
      </c>
      <c r="J1285" s="3" t="s">
        <v>2862</v>
      </c>
      <c r="K1285" t="s">
        <v>2863</v>
      </c>
      <c r="L1285" s="4">
        <v>20</v>
      </c>
      <c r="M1285" s="4">
        <v>0</v>
      </c>
      <c r="N1285">
        <v>20</v>
      </c>
      <c r="O1285" t="s">
        <v>2864</v>
      </c>
      <c r="P1285">
        <v>74</v>
      </c>
      <c r="Q1285">
        <f>QtyRemaining*EstMfgMin/60</f>
        <v>24.666666666666668</v>
      </c>
      <c r="U1285" t="e">
        <f t="shared" si="42"/>
        <v>#REF!</v>
      </c>
      <c r="V1285" s="5" t="e">
        <f t="shared" si="43"/>
        <v>#REF!</v>
      </c>
    </row>
    <row r="1286" spans="1:22" x14ac:dyDescent="0.25">
      <c r="A1286" s="2">
        <v>46115</v>
      </c>
      <c r="B1286" s="2">
        <v>46045</v>
      </c>
      <c r="C1286" t="s">
        <v>465</v>
      </c>
      <c r="D1286">
        <v>14</v>
      </c>
      <c r="E1286" t="s">
        <v>2843</v>
      </c>
      <c r="F1286" t="s">
        <v>211</v>
      </c>
      <c r="G1286" t="s">
        <v>467</v>
      </c>
      <c r="H1286" t="s">
        <v>2844</v>
      </c>
      <c r="I1286" t="s">
        <v>214</v>
      </c>
      <c r="J1286" s="3" t="s">
        <v>2865</v>
      </c>
      <c r="K1286" t="s">
        <v>2866</v>
      </c>
      <c r="L1286" s="4">
        <v>3</v>
      </c>
      <c r="M1286" s="4">
        <v>0</v>
      </c>
      <c r="N1286">
        <v>3</v>
      </c>
      <c r="O1286" t="s">
        <v>176</v>
      </c>
      <c r="P1286">
        <v>24</v>
      </c>
      <c r="Q1286">
        <f>QtyRemaining*EstMfgMin/60</f>
        <v>1.2</v>
      </c>
      <c r="U1286" t="e">
        <f t="shared" si="42"/>
        <v>#REF!</v>
      </c>
      <c r="V1286" s="5" t="e">
        <f t="shared" si="43"/>
        <v>#REF!</v>
      </c>
    </row>
    <row r="1287" spans="1:22" x14ac:dyDescent="0.25">
      <c r="A1287" s="2">
        <v>46118</v>
      </c>
      <c r="B1287" s="2">
        <v>45429</v>
      </c>
      <c r="C1287" t="s">
        <v>633</v>
      </c>
      <c r="D1287">
        <v>15</v>
      </c>
      <c r="E1287" t="s">
        <v>2867</v>
      </c>
      <c r="F1287" t="s">
        <v>261</v>
      </c>
      <c r="G1287" t="s">
        <v>262</v>
      </c>
      <c r="H1287" t="s">
        <v>2868</v>
      </c>
      <c r="I1287" t="s">
        <v>83</v>
      </c>
      <c r="J1287" s="3" t="s">
        <v>2869</v>
      </c>
      <c r="K1287" t="s">
        <v>131</v>
      </c>
      <c r="L1287" s="4">
        <v>343</v>
      </c>
      <c r="M1287" s="4">
        <v>0</v>
      </c>
      <c r="N1287">
        <v>343</v>
      </c>
      <c r="O1287" t="s">
        <v>146</v>
      </c>
      <c r="P1287">
        <v>0</v>
      </c>
      <c r="Q1287">
        <f>QtyRemaining*EstMfgMin/60</f>
        <v>0</v>
      </c>
      <c r="R1287" t="s">
        <v>2870</v>
      </c>
      <c r="S1287" t="s">
        <v>268</v>
      </c>
      <c r="U1287" t="e">
        <f t="shared" si="42"/>
        <v>#REF!</v>
      </c>
      <c r="V1287" s="5" t="e">
        <f t="shared" si="43"/>
        <v>#REF!</v>
      </c>
    </row>
    <row r="1288" spans="1:22" x14ac:dyDescent="0.25">
      <c r="A1288" s="2">
        <v>46118</v>
      </c>
      <c r="B1288" s="2">
        <v>45968</v>
      </c>
      <c r="C1288" t="s">
        <v>232</v>
      </c>
      <c r="D1288">
        <v>15</v>
      </c>
      <c r="E1288" t="s">
        <v>2871</v>
      </c>
      <c r="F1288" t="s">
        <v>211</v>
      </c>
      <c r="G1288" t="s">
        <v>1184</v>
      </c>
      <c r="H1288" t="s">
        <v>2872</v>
      </c>
      <c r="I1288" t="s">
        <v>83</v>
      </c>
      <c r="J1288" s="3" t="s">
        <v>1564</v>
      </c>
      <c r="K1288" t="s">
        <v>1565</v>
      </c>
      <c r="L1288" s="4">
        <v>4</v>
      </c>
      <c r="M1288" s="4">
        <v>0</v>
      </c>
      <c r="N1288">
        <v>4</v>
      </c>
      <c r="O1288" t="s">
        <v>1566</v>
      </c>
      <c r="P1288">
        <v>125</v>
      </c>
      <c r="Q1288">
        <f>QtyRemaining*EstMfgMin/60</f>
        <v>8.3333333333333339</v>
      </c>
      <c r="U1288" t="e">
        <f t="shared" si="42"/>
        <v>#REF!</v>
      </c>
      <c r="V1288" s="5" t="e">
        <f t="shared" si="43"/>
        <v>#REF!</v>
      </c>
    </row>
    <row r="1289" spans="1:22" x14ac:dyDescent="0.25">
      <c r="A1289" s="2">
        <v>46118</v>
      </c>
      <c r="B1289" s="2">
        <v>45981</v>
      </c>
      <c r="C1289" t="s">
        <v>478</v>
      </c>
      <c r="D1289">
        <v>15</v>
      </c>
      <c r="E1289" t="s">
        <v>1202</v>
      </c>
      <c r="F1289" t="s">
        <v>261</v>
      </c>
      <c r="G1289" t="s">
        <v>1021</v>
      </c>
      <c r="H1289" t="s">
        <v>1203</v>
      </c>
      <c r="I1289" t="s">
        <v>83</v>
      </c>
      <c r="J1289" s="3" t="s">
        <v>2873</v>
      </c>
      <c r="K1289" t="s">
        <v>2874</v>
      </c>
      <c r="L1289" s="4">
        <v>1</v>
      </c>
      <c r="M1289" s="4">
        <v>0</v>
      </c>
      <c r="N1289">
        <v>1</v>
      </c>
      <c r="O1289" t="s">
        <v>457</v>
      </c>
      <c r="P1289">
        <v>66</v>
      </c>
      <c r="Q1289">
        <f>QtyRemaining*EstMfgMin/60</f>
        <v>1.1000000000000001</v>
      </c>
      <c r="U1289" t="e">
        <f t="shared" si="42"/>
        <v>#REF!</v>
      </c>
      <c r="V1289" s="5" t="e">
        <f t="shared" si="43"/>
        <v>#REF!</v>
      </c>
    </row>
    <row r="1290" spans="1:22" x14ac:dyDescent="0.25">
      <c r="A1290" s="2">
        <v>46118</v>
      </c>
      <c r="B1290" s="2">
        <v>45982</v>
      </c>
      <c r="C1290" t="s">
        <v>633</v>
      </c>
      <c r="D1290">
        <v>15</v>
      </c>
      <c r="E1290" t="s">
        <v>2875</v>
      </c>
      <c r="F1290" t="s">
        <v>261</v>
      </c>
      <c r="G1290" t="s">
        <v>262</v>
      </c>
      <c r="H1290" t="s">
        <v>2876</v>
      </c>
      <c r="I1290" t="s">
        <v>83</v>
      </c>
      <c r="J1290" s="3" t="s">
        <v>2877</v>
      </c>
      <c r="K1290" t="s">
        <v>2878</v>
      </c>
      <c r="L1290" s="4">
        <v>124</v>
      </c>
      <c r="M1290" s="4">
        <v>0</v>
      </c>
      <c r="N1290">
        <v>124</v>
      </c>
      <c r="O1290" t="s">
        <v>668</v>
      </c>
      <c r="P1290">
        <v>75</v>
      </c>
      <c r="Q1290">
        <f>QtyRemaining*EstMfgMin/60</f>
        <v>155</v>
      </c>
      <c r="U1290" t="e">
        <f t="shared" si="42"/>
        <v>#REF!</v>
      </c>
      <c r="V1290" s="5" t="e">
        <f t="shared" si="43"/>
        <v>#REF!</v>
      </c>
    </row>
    <row r="1291" spans="1:22" x14ac:dyDescent="0.25">
      <c r="A1291" s="2">
        <v>46118</v>
      </c>
      <c r="B1291" s="2">
        <v>46038</v>
      </c>
      <c r="C1291" t="s">
        <v>1168</v>
      </c>
      <c r="D1291">
        <v>15</v>
      </c>
      <c r="E1291" t="s">
        <v>2879</v>
      </c>
      <c r="F1291" t="s">
        <v>283</v>
      </c>
      <c r="G1291" t="s">
        <v>1170</v>
      </c>
      <c r="H1291" t="s">
        <v>2880</v>
      </c>
      <c r="I1291" t="s">
        <v>224</v>
      </c>
      <c r="J1291" s="3" t="s">
        <v>2310</v>
      </c>
      <c r="K1291" t="s">
        <v>2881</v>
      </c>
      <c r="L1291" s="4">
        <v>3</v>
      </c>
      <c r="M1291" s="4">
        <v>0</v>
      </c>
      <c r="N1291">
        <v>3</v>
      </c>
      <c r="O1291" t="s">
        <v>2312</v>
      </c>
      <c r="P1291">
        <v>90</v>
      </c>
      <c r="Q1291">
        <f>QtyRemaining*EstMfgMin/60</f>
        <v>4.5</v>
      </c>
      <c r="U1291" t="e">
        <f t="shared" si="42"/>
        <v>#REF!</v>
      </c>
      <c r="V1291" s="5" t="e">
        <f t="shared" si="43"/>
        <v>#REF!</v>
      </c>
    </row>
    <row r="1292" spans="1:22" x14ac:dyDescent="0.25">
      <c r="A1292" s="2">
        <v>46118</v>
      </c>
      <c r="B1292" s="2">
        <v>46045</v>
      </c>
      <c r="C1292" t="s">
        <v>485</v>
      </c>
      <c r="D1292">
        <v>15</v>
      </c>
      <c r="E1292" t="s">
        <v>2882</v>
      </c>
      <c r="F1292" t="s">
        <v>211</v>
      </c>
      <c r="G1292" t="s">
        <v>864</v>
      </c>
      <c r="H1292" t="s">
        <v>2883</v>
      </c>
      <c r="I1292" t="s">
        <v>214</v>
      </c>
      <c r="J1292" s="3" t="s">
        <v>2884</v>
      </c>
      <c r="K1292" t="s">
        <v>2885</v>
      </c>
      <c r="L1292" s="4">
        <v>60</v>
      </c>
      <c r="M1292" s="4">
        <v>0</v>
      </c>
      <c r="N1292">
        <v>60</v>
      </c>
      <c r="O1292" t="s">
        <v>176</v>
      </c>
      <c r="P1292">
        <v>32</v>
      </c>
      <c r="Q1292">
        <f>QtyRemaining*EstMfgMin/60</f>
        <v>32</v>
      </c>
      <c r="U1292" t="e">
        <f t="shared" si="42"/>
        <v>#REF!</v>
      </c>
      <c r="V1292" s="5" t="e">
        <f t="shared" si="43"/>
        <v>#REF!</v>
      </c>
    </row>
    <row r="1293" spans="1:22" x14ac:dyDescent="0.25">
      <c r="A1293" s="2">
        <v>46118</v>
      </c>
      <c r="B1293" s="2">
        <v>46045</v>
      </c>
      <c r="C1293" t="s">
        <v>485</v>
      </c>
      <c r="D1293">
        <v>15</v>
      </c>
      <c r="E1293" t="s">
        <v>2882</v>
      </c>
      <c r="F1293" t="s">
        <v>211</v>
      </c>
      <c r="G1293" t="s">
        <v>864</v>
      </c>
      <c r="H1293" t="s">
        <v>2883</v>
      </c>
      <c r="I1293" t="s">
        <v>214</v>
      </c>
      <c r="J1293" s="3" t="s">
        <v>1773</v>
      </c>
      <c r="K1293" t="s">
        <v>1774</v>
      </c>
      <c r="L1293" s="4">
        <v>100</v>
      </c>
      <c r="M1293" s="4">
        <v>0</v>
      </c>
      <c r="N1293">
        <v>100</v>
      </c>
      <c r="O1293" t="s">
        <v>176</v>
      </c>
      <c r="P1293">
        <v>7</v>
      </c>
      <c r="Q1293">
        <f>QtyRemaining*EstMfgMin/60</f>
        <v>11.666666666666666</v>
      </c>
      <c r="U1293" t="e">
        <f t="shared" si="42"/>
        <v>#REF!</v>
      </c>
      <c r="V1293" s="5" t="e">
        <f t="shared" si="43"/>
        <v>#REF!</v>
      </c>
    </row>
    <row r="1294" spans="1:22" x14ac:dyDescent="0.25">
      <c r="A1294" s="2">
        <v>46119</v>
      </c>
      <c r="B1294" s="2">
        <v>45735</v>
      </c>
      <c r="C1294" t="s">
        <v>633</v>
      </c>
      <c r="D1294">
        <v>15</v>
      </c>
      <c r="E1294" t="s">
        <v>2886</v>
      </c>
      <c r="F1294" t="s">
        <v>211</v>
      </c>
      <c r="G1294" t="s">
        <v>262</v>
      </c>
      <c r="H1294" t="s">
        <v>2887</v>
      </c>
      <c r="I1294" t="s">
        <v>83</v>
      </c>
      <c r="J1294" s="3" t="s">
        <v>2888</v>
      </c>
      <c r="K1294" t="s">
        <v>2889</v>
      </c>
      <c r="L1294" s="4">
        <v>61</v>
      </c>
      <c r="M1294" s="4">
        <v>0</v>
      </c>
      <c r="N1294">
        <v>61</v>
      </c>
      <c r="O1294" t="s">
        <v>94</v>
      </c>
      <c r="P1294">
        <v>960</v>
      </c>
      <c r="Q1294">
        <f>QtyRemaining*EstMfgMin/60</f>
        <v>976</v>
      </c>
      <c r="S1294" t="s">
        <v>280</v>
      </c>
      <c r="U1294" t="e">
        <f t="shared" si="42"/>
        <v>#REF!</v>
      </c>
      <c r="V1294" s="5" t="e">
        <f t="shared" si="43"/>
        <v>#REF!</v>
      </c>
    </row>
    <row r="1295" spans="1:22" x14ac:dyDescent="0.25">
      <c r="A1295" s="2">
        <v>46119</v>
      </c>
      <c r="B1295" s="2">
        <v>45958</v>
      </c>
      <c r="C1295" t="s">
        <v>478</v>
      </c>
      <c r="D1295">
        <v>15</v>
      </c>
      <c r="E1295" t="s">
        <v>1027</v>
      </c>
      <c r="F1295" t="s">
        <v>261</v>
      </c>
      <c r="G1295" t="s">
        <v>670</v>
      </c>
      <c r="H1295" t="s">
        <v>1028</v>
      </c>
      <c r="I1295" t="s">
        <v>83</v>
      </c>
      <c r="J1295" s="3" t="s">
        <v>1031</v>
      </c>
      <c r="K1295" t="s">
        <v>1032</v>
      </c>
      <c r="L1295" s="4">
        <v>86</v>
      </c>
      <c r="M1295" s="4">
        <v>0</v>
      </c>
      <c r="N1295">
        <v>86</v>
      </c>
      <c r="O1295" t="s">
        <v>176</v>
      </c>
      <c r="P1295">
        <v>129</v>
      </c>
      <c r="Q1295">
        <f>QtyRemaining*EstMfgMin/60</f>
        <v>184.9</v>
      </c>
      <c r="U1295" t="e">
        <f t="shared" si="42"/>
        <v>#REF!</v>
      </c>
      <c r="V1295" s="5" t="e">
        <f t="shared" si="43"/>
        <v>#REF!</v>
      </c>
    </row>
    <row r="1296" spans="1:22" x14ac:dyDescent="0.25">
      <c r="A1296" s="2">
        <v>46119</v>
      </c>
      <c r="B1296" s="2">
        <v>46051</v>
      </c>
      <c r="C1296" t="s">
        <v>485</v>
      </c>
      <c r="D1296">
        <v>15</v>
      </c>
      <c r="E1296" t="s">
        <v>2127</v>
      </c>
      <c r="F1296" t="s">
        <v>211</v>
      </c>
      <c r="G1296" t="s">
        <v>864</v>
      </c>
      <c r="H1296" t="s">
        <v>2128</v>
      </c>
      <c r="I1296" t="s">
        <v>214</v>
      </c>
      <c r="J1296" s="3" t="s">
        <v>2890</v>
      </c>
      <c r="K1296" t="s">
        <v>2891</v>
      </c>
      <c r="L1296" s="4">
        <v>5</v>
      </c>
      <c r="M1296" s="4">
        <v>0</v>
      </c>
      <c r="N1296">
        <v>5</v>
      </c>
      <c r="O1296" t="s">
        <v>514</v>
      </c>
      <c r="P1296">
        <v>9</v>
      </c>
      <c r="Q1296">
        <f>QtyRemaining*EstMfgMin/60</f>
        <v>0.75</v>
      </c>
      <c r="U1296" t="e">
        <f t="shared" si="42"/>
        <v>#REF!</v>
      </c>
      <c r="V1296" s="5" t="e">
        <f t="shared" si="43"/>
        <v>#REF!</v>
      </c>
    </row>
    <row r="1297" spans="1:22" x14ac:dyDescent="0.25">
      <c r="A1297" s="2">
        <v>46120</v>
      </c>
      <c r="B1297" s="2">
        <v>45586</v>
      </c>
      <c r="C1297" t="s">
        <v>478</v>
      </c>
      <c r="D1297">
        <v>15</v>
      </c>
      <c r="E1297" t="s">
        <v>2022</v>
      </c>
      <c r="F1297" t="s">
        <v>261</v>
      </c>
      <c r="G1297" t="s">
        <v>2023</v>
      </c>
      <c r="H1297" t="s">
        <v>2024</v>
      </c>
      <c r="I1297" t="s">
        <v>155</v>
      </c>
      <c r="J1297" s="3" t="s">
        <v>2025</v>
      </c>
      <c r="K1297" t="s">
        <v>2026</v>
      </c>
      <c r="L1297" s="4">
        <v>15</v>
      </c>
      <c r="M1297" s="4">
        <v>0</v>
      </c>
      <c r="N1297">
        <v>15</v>
      </c>
      <c r="O1297" t="s">
        <v>94</v>
      </c>
      <c r="P1297">
        <v>60</v>
      </c>
      <c r="Q1297">
        <f>QtyRemaining*EstMfgMin/60</f>
        <v>15</v>
      </c>
      <c r="R1297" t="s">
        <v>1062</v>
      </c>
      <c r="U1297" t="e">
        <f t="shared" si="42"/>
        <v>#REF!</v>
      </c>
      <c r="V1297" s="5" t="e">
        <f t="shared" si="43"/>
        <v>#REF!</v>
      </c>
    </row>
    <row r="1298" spans="1:22" x14ac:dyDescent="0.25">
      <c r="A1298" s="2">
        <v>46120</v>
      </c>
      <c r="B1298" s="2">
        <v>45586</v>
      </c>
      <c r="C1298" t="s">
        <v>478</v>
      </c>
      <c r="D1298">
        <v>15</v>
      </c>
      <c r="E1298" t="s">
        <v>2022</v>
      </c>
      <c r="F1298" t="s">
        <v>261</v>
      </c>
      <c r="G1298" t="s">
        <v>2023</v>
      </c>
      <c r="H1298" t="s">
        <v>2024</v>
      </c>
      <c r="I1298" t="s">
        <v>155</v>
      </c>
      <c r="J1298" s="3" t="s">
        <v>2025</v>
      </c>
      <c r="K1298" t="s">
        <v>2026</v>
      </c>
      <c r="L1298" s="4">
        <v>15</v>
      </c>
      <c r="M1298" s="4">
        <v>0</v>
      </c>
      <c r="N1298">
        <v>15</v>
      </c>
      <c r="O1298" t="s">
        <v>94</v>
      </c>
      <c r="P1298">
        <v>60</v>
      </c>
      <c r="Q1298">
        <f>QtyRemaining*EstMfgMin/60</f>
        <v>15</v>
      </c>
      <c r="R1298" t="s">
        <v>1062</v>
      </c>
      <c r="U1298" t="e">
        <f t="shared" si="42"/>
        <v>#REF!</v>
      </c>
      <c r="V1298" s="5" t="e">
        <f t="shared" si="43"/>
        <v>#REF!</v>
      </c>
    </row>
    <row r="1299" spans="1:22" x14ac:dyDescent="0.25">
      <c r="A1299" s="2">
        <v>46120</v>
      </c>
      <c r="B1299" s="2">
        <v>45610</v>
      </c>
      <c r="C1299" t="s">
        <v>478</v>
      </c>
      <c r="D1299">
        <v>15</v>
      </c>
      <c r="E1299" t="s">
        <v>2892</v>
      </c>
      <c r="F1299" t="s">
        <v>261</v>
      </c>
      <c r="G1299" t="s">
        <v>1228</v>
      </c>
      <c r="H1299" t="s">
        <v>2893</v>
      </c>
      <c r="I1299" t="s">
        <v>155</v>
      </c>
      <c r="J1299" s="3" t="s">
        <v>2894</v>
      </c>
      <c r="K1299" t="s">
        <v>2895</v>
      </c>
      <c r="L1299" s="4">
        <v>36</v>
      </c>
      <c r="M1299" s="4">
        <v>0</v>
      </c>
      <c r="N1299">
        <v>36</v>
      </c>
      <c r="O1299" t="s">
        <v>86</v>
      </c>
      <c r="P1299">
        <v>80</v>
      </c>
      <c r="Q1299">
        <f>QtyRemaining*EstMfgMin/60</f>
        <v>48</v>
      </c>
      <c r="R1299" t="s">
        <v>2896</v>
      </c>
      <c r="U1299" t="e">
        <f t="shared" si="42"/>
        <v>#REF!</v>
      </c>
      <c r="V1299" s="5" t="e">
        <f t="shared" si="43"/>
        <v>#REF!</v>
      </c>
    </row>
    <row r="1300" spans="1:22" x14ac:dyDescent="0.25">
      <c r="A1300" s="2">
        <v>46120</v>
      </c>
      <c r="B1300" s="2">
        <v>45700</v>
      </c>
      <c r="C1300" t="s">
        <v>523</v>
      </c>
      <c r="D1300">
        <v>15</v>
      </c>
      <c r="E1300" t="s">
        <v>524</v>
      </c>
      <c r="F1300" t="s">
        <v>261</v>
      </c>
      <c r="G1300" t="s">
        <v>525</v>
      </c>
      <c r="H1300" t="s">
        <v>526</v>
      </c>
      <c r="I1300" t="s">
        <v>83</v>
      </c>
      <c r="J1300" s="3" t="s">
        <v>1142</v>
      </c>
      <c r="K1300" t="s">
        <v>1141</v>
      </c>
      <c r="L1300" s="4">
        <v>10</v>
      </c>
      <c r="M1300" s="4">
        <v>0</v>
      </c>
      <c r="N1300">
        <v>10</v>
      </c>
      <c r="O1300" t="s">
        <v>118</v>
      </c>
      <c r="P1300">
        <v>105</v>
      </c>
      <c r="Q1300">
        <f>QtyRemaining*EstMfgMin/60</f>
        <v>17.5</v>
      </c>
      <c r="U1300" t="e">
        <f t="shared" si="42"/>
        <v>#REF!</v>
      </c>
      <c r="V1300" s="5" t="e">
        <f t="shared" si="43"/>
        <v>#REF!</v>
      </c>
    </row>
    <row r="1301" spans="1:22" x14ac:dyDescent="0.25">
      <c r="A1301" s="2">
        <v>46120</v>
      </c>
      <c r="B1301" s="2">
        <v>45700</v>
      </c>
      <c r="C1301" t="s">
        <v>523</v>
      </c>
      <c r="D1301">
        <v>15</v>
      </c>
      <c r="E1301" t="s">
        <v>524</v>
      </c>
      <c r="F1301" t="s">
        <v>261</v>
      </c>
      <c r="G1301" t="s">
        <v>525</v>
      </c>
      <c r="H1301" t="s">
        <v>526</v>
      </c>
      <c r="I1301" t="s">
        <v>83</v>
      </c>
      <c r="J1301" s="3" t="s">
        <v>1143</v>
      </c>
      <c r="K1301" t="s">
        <v>1141</v>
      </c>
      <c r="L1301" s="4">
        <v>10</v>
      </c>
      <c r="M1301" s="4">
        <v>0</v>
      </c>
      <c r="N1301">
        <v>10</v>
      </c>
      <c r="O1301" t="s">
        <v>118</v>
      </c>
      <c r="P1301">
        <v>105</v>
      </c>
      <c r="Q1301">
        <f>QtyRemaining*EstMfgMin/60</f>
        <v>17.5</v>
      </c>
      <c r="U1301" t="e">
        <f t="shared" si="42"/>
        <v>#REF!</v>
      </c>
      <c r="V1301" s="5" t="e">
        <f t="shared" si="43"/>
        <v>#REF!</v>
      </c>
    </row>
    <row r="1302" spans="1:22" x14ac:dyDescent="0.25">
      <c r="A1302" s="2">
        <v>46120</v>
      </c>
      <c r="B1302" s="2">
        <v>45700</v>
      </c>
      <c r="C1302" t="s">
        <v>523</v>
      </c>
      <c r="D1302">
        <v>15</v>
      </c>
      <c r="E1302" t="s">
        <v>524</v>
      </c>
      <c r="F1302" t="s">
        <v>261</v>
      </c>
      <c r="G1302" t="s">
        <v>525</v>
      </c>
      <c r="H1302" t="s">
        <v>526</v>
      </c>
      <c r="I1302" t="s">
        <v>83</v>
      </c>
      <c r="J1302" s="3" t="s">
        <v>1144</v>
      </c>
      <c r="K1302" t="s">
        <v>1141</v>
      </c>
      <c r="L1302" s="4">
        <v>10</v>
      </c>
      <c r="M1302" s="4">
        <v>0</v>
      </c>
      <c r="N1302">
        <v>10</v>
      </c>
      <c r="O1302" t="s">
        <v>118</v>
      </c>
      <c r="P1302">
        <v>105</v>
      </c>
      <c r="Q1302">
        <f>QtyRemaining*EstMfgMin/60</f>
        <v>17.5</v>
      </c>
      <c r="U1302" t="e">
        <f t="shared" si="42"/>
        <v>#REF!</v>
      </c>
      <c r="V1302" s="5" t="e">
        <f t="shared" si="43"/>
        <v>#REF!</v>
      </c>
    </row>
    <row r="1303" spans="1:22" x14ac:dyDescent="0.25">
      <c r="A1303" s="2">
        <v>46120</v>
      </c>
      <c r="B1303" s="2">
        <v>45700</v>
      </c>
      <c r="C1303" t="s">
        <v>523</v>
      </c>
      <c r="D1303">
        <v>15</v>
      </c>
      <c r="E1303" t="s">
        <v>524</v>
      </c>
      <c r="F1303" t="s">
        <v>261</v>
      </c>
      <c r="G1303" t="s">
        <v>525</v>
      </c>
      <c r="H1303" t="s">
        <v>526</v>
      </c>
      <c r="I1303" t="s">
        <v>83</v>
      </c>
      <c r="J1303" s="3" t="s">
        <v>1145</v>
      </c>
      <c r="K1303" t="s">
        <v>1141</v>
      </c>
      <c r="L1303" s="4">
        <v>10</v>
      </c>
      <c r="M1303" s="4">
        <v>0</v>
      </c>
      <c r="N1303">
        <v>10</v>
      </c>
      <c r="O1303" t="s">
        <v>118</v>
      </c>
      <c r="P1303">
        <v>105</v>
      </c>
      <c r="Q1303">
        <f>QtyRemaining*EstMfgMin/60</f>
        <v>17.5</v>
      </c>
      <c r="U1303" t="e">
        <f t="shared" si="42"/>
        <v>#REF!</v>
      </c>
      <c r="V1303" s="5" t="e">
        <f t="shared" si="43"/>
        <v>#REF!</v>
      </c>
    </row>
    <row r="1304" spans="1:22" x14ac:dyDescent="0.25">
      <c r="A1304" s="2">
        <v>46120</v>
      </c>
      <c r="B1304" s="2">
        <v>45972</v>
      </c>
      <c r="C1304" t="s">
        <v>485</v>
      </c>
      <c r="D1304">
        <v>15</v>
      </c>
      <c r="E1304" t="s">
        <v>1078</v>
      </c>
      <c r="F1304" t="s">
        <v>211</v>
      </c>
      <c r="G1304" t="s">
        <v>761</v>
      </c>
      <c r="H1304" t="s">
        <v>1079</v>
      </c>
      <c r="I1304" t="s">
        <v>214</v>
      </c>
      <c r="J1304" s="3" t="s">
        <v>2438</v>
      </c>
      <c r="K1304" t="s">
        <v>2439</v>
      </c>
      <c r="L1304" s="4">
        <v>30</v>
      </c>
      <c r="M1304" s="4">
        <v>0</v>
      </c>
      <c r="N1304">
        <v>30</v>
      </c>
      <c r="O1304" t="s">
        <v>1082</v>
      </c>
      <c r="P1304">
        <v>20</v>
      </c>
      <c r="Q1304">
        <f>QtyRemaining*EstMfgMin/60</f>
        <v>10</v>
      </c>
      <c r="U1304" t="e">
        <f t="shared" si="42"/>
        <v>#REF!</v>
      </c>
      <c r="V1304" s="5" t="e">
        <f t="shared" si="43"/>
        <v>#REF!</v>
      </c>
    </row>
    <row r="1305" spans="1:22" x14ac:dyDescent="0.25">
      <c r="A1305" s="2">
        <v>46120</v>
      </c>
      <c r="B1305" s="2">
        <v>45981</v>
      </c>
      <c r="C1305" t="s">
        <v>478</v>
      </c>
      <c r="D1305">
        <v>15</v>
      </c>
      <c r="E1305" t="s">
        <v>1909</v>
      </c>
      <c r="F1305" t="s">
        <v>261</v>
      </c>
      <c r="G1305" t="s">
        <v>670</v>
      </c>
      <c r="H1305" t="s">
        <v>1910</v>
      </c>
      <c r="I1305" t="s">
        <v>83</v>
      </c>
      <c r="J1305" s="3" t="s">
        <v>2897</v>
      </c>
      <c r="K1305" t="s">
        <v>2898</v>
      </c>
      <c r="L1305" s="4">
        <v>210</v>
      </c>
      <c r="M1305" s="4">
        <v>0</v>
      </c>
      <c r="N1305">
        <v>210</v>
      </c>
      <c r="O1305" t="s">
        <v>176</v>
      </c>
      <c r="P1305">
        <v>22</v>
      </c>
      <c r="Q1305">
        <f>QtyRemaining*EstMfgMin/60</f>
        <v>77</v>
      </c>
      <c r="U1305" t="e">
        <f t="shared" si="42"/>
        <v>#REF!</v>
      </c>
      <c r="V1305" s="5" t="e">
        <f t="shared" si="43"/>
        <v>#REF!</v>
      </c>
    </row>
    <row r="1306" spans="1:22" x14ac:dyDescent="0.25">
      <c r="A1306" s="2">
        <v>46120</v>
      </c>
      <c r="B1306" s="2">
        <v>45981</v>
      </c>
      <c r="C1306" t="s">
        <v>478</v>
      </c>
      <c r="D1306">
        <v>15</v>
      </c>
      <c r="E1306" t="s">
        <v>1909</v>
      </c>
      <c r="F1306" t="s">
        <v>261</v>
      </c>
      <c r="G1306" t="s">
        <v>670</v>
      </c>
      <c r="H1306" t="s">
        <v>1910</v>
      </c>
      <c r="I1306" t="s">
        <v>83</v>
      </c>
      <c r="J1306" s="3" t="s">
        <v>2897</v>
      </c>
      <c r="K1306" t="s">
        <v>2898</v>
      </c>
      <c r="L1306" s="4">
        <v>69</v>
      </c>
      <c r="M1306" s="4">
        <v>0</v>
      </c>
      <c r="N1306">
        <v>69</v>
      </c>
      <c r="O1306" t="s">
        <v>176</v>
      </c>
      <c r="P1306">
        <v>40</v>
      </c>
      <c r="Q1306">
        <f>QtyRemaining*EstMfgMin/60</f>
        <v>46</v>
      </c>
      <c r="U1306" t="e">
        <f t="shared" si="42"/>
        <v>#REF!</v>
      </c>
      <c r="V1306" s="5" t="e">
        <f t="shared" si="43"/>
        <v>#REF!</v>
      </c>
    </row>
    <row r="1307" spans="1:22" x14ac:dyDescent="0.25">
      <c r="A1307" s="2">
        <v>46120</v>
      </c>
      <c r="B1307" s="2">
        <v>45981</v>
      </c>
      <c r="C1307" t="s">
        <v>478</v>
      </c>
      <c r="D1307">
        <v>15</v>
      </c>
      <c r="E1307" t="s">
        <v>1909</v>
      </c>
      <c r="F1307" t="s">
        <v>261</v>
      </c>
      <c r="G1307" t="s">
        <v>670</v>
      </c>
      <c r="H1307" t="s">
        <v>1910</v>
      </c>
      <c r="I1307" t="s">
        <v>83</v>
      </c>
      <c r="J1307" s="3" t="s">
        <v>2899</v>
      </c>
      <c r="K1307" t="s">
        <v>2900</v>
      </c>
      <c r="L1307" s="4">
        <v>69</v>
      </c>
      <c r="M1307" s="4">
        <v>0</v>
      </c>
      <c r="N1307">
        <v>69</v>
      </c>
      <c r="O1307" t="s">
        <v>176</v>
      </c>
      <c r="P1307">
        <v>60</v>
      </c>
      <c r="Q1307">
        <f>QtyRemaining*EstMfgMin/60</f>
        <v>69</v>
      </c>
      <c r="U1307" t="e">
        <f t="shared" si="42"/>
        <v>#REF!</v>
      </c>
      <c r="V1307" s="5" t="e">
        <f t="shared" si="43"/>
        <v>#REF!</v>
      </c>
    </row>
    <row r="1308" spans="1:22" x14ac:dyDescent="0.25">
      <c r="A1308" s="2">
        <v>46120</v>
      </c>
      <c r="B1308" s="2">
        <v>46045</v>
      </c>
      <c r="C1308" t="s">
        <v>465</v>
      </c>
      <c r="D1308">
        <v>15</v>
      </c>
      <c r="E1308" t="s">
        <v>2161</v>
      </c>
      <c r="F1308" t="s">
        <v>211</v>
      </c>
      <c r="G1308" t="s">
        <v>467</v>
      </c>
      <c r="H1308" t="s">
        <v>2162</v>
      </c>
      <c r="I1308" t="s">
        <v>214</v>
      </c>
      <c r="J1308" s="3" t="s">
        <v>1726</v>
      </c>
      <c r="K1308" t="s">
        <v>1968</v>
      </c>
      <c r="L1308" s="4">
        <v>2</v>
      </c>
      <c r="M1308" s="4">
        <v>0</v>
      </c>
      <c r="N1308">
        <v>2</v>
      </c>
      <c r="O1308" t="s">
        <v>176</v>
      </c>
      <c r="P1308">
        <v>20</v>
      </c>
      <c r="Q1308">
        <f>QtyRemaining*EstMfgMin/60</f>
        <v>0.66666666666666663</v>
      </c>
      <c r="U1308" t="e">
        <f t="shared" si="42"/>
        <v>#REF!</v>
      </c>
      <c r="V1308" s="5" t="e">
        <f t="shared" si="43"/>
        <v>#REF!</v>
      </c>
    </row>
    <row r="1309" spans="1:22" x14ac:dyDescent="0.25">
      <c r="A1309" s="2">
        <v>46120</v>
      </c>
      <c r="B1309" s="2">
        <v>46045</v>
      </c>
      <c r="C1309" t="s">
        <v>465</v>
      </c>
      <c r="D1309">
        <v>15</v>
      </c>
      <c r="E1309" t="s">
        <v>2161</v>
      </c>
      <c r="F1309" t="s">
        <v>211</v>
      </c>
      <c r="G1309" t="s">
        <v>467</v>
      </c>
      <c r="H1309" t="s">
        <v>2162</v>
      </c>
      <c r="I1309" t="s">
        <v>214</v>
      </c>
      <c r="J1309" s="3" t="s">
        <v>1578</v>
      </c>
      <c r="K1309" t="s">
        <v>1579</v>
      </c>
      <c r="L1309" s="4">
        <v>2</v>
      </c>
      <c r="M1309" s="4">
        <v>0</v>
      </c>
      <c r="N1309">
        <v>2</v>
      </c>
      <c r="O1309" t="s">
        <v>86</v>
      </c>
      <c r="P1309">
        <v>20</v>
      </c>
      <c r="Q1309">
        <f>QtyRemaining*EstMfgMin/60</f>
        <v>0.66666666666666663</v>
      </c>
      <c r="U1309" t="e">
        <f t="shared" si="42"/>
        <v>#REF!</v>
      </c>
      <c r="V1309" s="5" t="e">
        <f t="shared" si="43"/>
        <v>#REF!</v>
      </c>
    </row>
    <row r="1310" spans="1:22" x14ac:dyDescent="0.25">
      <c r="A1310" s="2">
        <v>46121</v>
      </c>
      <c r="B1310" s="2">
        <v>45783</v>
      </c>
      <c r="C1310" t="s">
        <v>478</v>
      </c>
      <c r="D1310">
        <v>15</v>
      </c>
      <c r="E1310" t="s">
        <v>1227</v>
      </c>
      <c r="F1310" t="s">
        <v>261</v>
      </c>
      <c r="G1310" t="s">
        <v>1228</v>
      </c>
      <c r="H1310" t="s">
        <v>1229</v>
      </c>
      <c r="I1310" t="s">
        <v>83</v>
      </c>
      <c r="J1310" s="3" t="s">
        <v>1230</v>
      </c>
      <c r="K1310" t="s">
        <v>1231</v>
      </c>
      <c r="L1310" s="4">
        <v>21</v>
      </c>
      <c r="M1310" s="4">
        <v>0</v>
      </c>
      <c r="N1310">
        <v>21</v>
      </c>
      <c r="O1310" t="s">
        <v>457</v>
      </c>
      <c r="P1310">
        <v>15</v>
      </c>
      <c r="Q1310">
        <f>QtyRemaining*EstMfgMin/60</f>
        <v>5.25</v>
      </c>
      <c r="S1310" t="s">
        <v>1026</v>
      </c>
      <c r="U1310" t="e">
        <f t="shared" si="42"/>
        <v>#REF!</v>
      </c>
      <c r="V1310" s="5" t="e">
        <f t="shared" si="43"/>
        <v>#REF!</v>
      </c>
    </row>
    <row r="1311" spans="1:22" x14ac:dyDescent="0.25">
      <c r="A1311" s="2">
        <v>46121</v>
      </c>
      <c r="B1311" s="2">
        <v>46030</v>
      </c>
      <c r="C1311" t="s">
        <v>1168</v>
      </c>
      <c r="D1311">
        <v>15</v>
      </c>
      <c r="E1311" t="s">
        <v>2901</v>
      </c>
      <c r="F1311" t="s">
        <v>283</v>
      </c>
      <c r="G1311" t="s">
        <v>1170</v>
      </c>
      <c r="H1311" t="s">
        <v>2902</v>
      </c>
      <c r="I1311" t="s">
        <v>224</v>
      </c>
      <c r="J1311" s="3" t="s">
        <v>2903</v>
      </c>
      <c r="K1311" t="s">
        <v>2904</v>
      </c>
      <c r="L1311" s="4">
        <v>20</v>
      </c>
      <c r="M1311" s="4">
        <v>0</v>
      </c>
      <c r="N1311">
        <v>20</v>
      </c>
      <c r="O1311" t="s">
        <v>702</v>
      </c>
      <c r="P1311">
        <v>74</v>
      </c>
      <c r="Q1311">
        <f>QtyRemaining*EstMfgMin/60</f>
        <v>24.666666666666668</v>
      </c>
      <c r="U1311" t="e">
        <f t="shared" si="42"/>
        <v>#REF!</v>
      </c>
      <c r="V1311" s="5" t="e">
        <f t="shared" si="43"/>
        <v>#REF!</v>
      </c>
    </row>
    <row r="1312" spans="1:22" x14ac:dyDescent="0.25">
      <c r="A1312" s="2">
        <v>46121</v>
      </c>
      <c r="B1312" s="2">
        <v>46030</v>
      </c>
      <c r="C1312" t="s">
        <v>1168</v>
      </c>
      <c r="D1312">
        <v>15</v>
      </c>
      <c r="E1312" t="s">
        <v>2905</v>
      </c>
      <c r="F1312" t="s">
        <v>283</v>
      </c>
      <c r="G1312" t="s">
        <v>1170</v>
      </c>
      <c r="H1312" t="s">
        <v>2906</v>
      </c>
      <c r="I1312" t="s">
        <v>224</v>
      </c>
      <c r="J1312" s="3" t="s">
        <v>2907</v>
      </c>
      <c r="K1312" t="s">
        <v>2908</v>
      </c>
      <c r="L1312" s="4">
        <v>20</v>
      </c>
      <c r="M1312" s="4">
        <v>0</v>
      </c>
      <c r="N1312">
        <v>20</v>
      </c>
      <c r="O1312" t="s">
        <v>702</v>
      </c>
      <c r="P1312">
        <v>90</v>
      </c>
      <c r="Q1312">
        <f>QtyRemaining*EstMfgMin/60</f>
        <v>30</v>
      </c>
      <c r="U1312" t="e">
        <f t="shared" si="42"/>
        <v>#REF!</v>
      </c>
      <c r="V1312" s="5" t="e">
        <f t="shared" si="43"/>
        <v>#REF!</v>
      </c>
    </row>
    <row r="1313" spans="1:22" x14ac:dyDescent="0.25">
      <c r="A1313" s="2">
        <v>46122</v>
      </c>
      <c r="B1313" s="2">
        <v>45632</v>
      </c>
      <c r="C1313" t="s">
        <v>478</v>
      </c>
      <c r="D1313">
        <v>15</v>
      </c>
      <c r="E1313" t="s">
        <v>1137</v>
      </c>
      <c r="F1313" t="s">
        <v>261</v>
      </c>
      <c r="G1313" t="s">
        <v>510</v>
      </c>
      <c r="H1313" t="s">
        <v>1138</v>
      </c>
      <c r="I1313" t="s">
        <v>122</v>
      </c>
      <c r="J1313" s="3" t="s">
        <v>512</v>
      </c>
      <c r="K1313" t="s">
        <v>513</v>
      </c>
      <c r="L1313" s="4">
        <v>5</v>
      </c>
      <c r="M1313" s="4">
        <v>0</v>
      </c>
      <c r="N1313">
        <v>5</v>
      </c>
      <c r="O1313" t="s">
        <v>1139</v>
      </c>
      <c r="P1313">
        <v>1394</v>
      </c>
      <c r="Q1313">
        <f>QtyRemaining*EstMfgMin/60</f>
        <v>116.16666666666667</v>
      </c>
      <c r="U1313" t="e">
        <f t="shared" si="42"/>
        <v>#REF!</v>
      </c>
      <c r="V1313" s="5" t="e">
        <f t="shared" si="43"/>
        <v>#REF!</v>
      </c>
    </row>
    <row r="1314" spans="1:22" x14ac:dyDescent="0.25">
      <c r="A1314" s="2">
        <v>46122</v>
      </c>
      <c r="B1314" s="2">
        <v>45845</v>
      </c>
      <c r="C1314" t="s">
        <v>650</v>
      </c>
      <c r="D1314">
        <v>15</v>
      </c>
      <c r="E1314" t="s">
        <v>2909</v>
      </c>
      <c r="F1314" t="s">
        <v>283</v>
      </c>
      <c r="G1314" t="s">
        <v>652</v>
      </c>
      <c r="H1314" t="s">
        <v>2910</v>
      </c>
      <c r="I1314" t="s">
        <v>1087</v>
      </c>
      <c r="J1314" s="3" t="s">
        <v>2911</v>
      </c>
      <c r="K1314" t="s">
        <v>2912</v>
      </c>
      <c r="L1314" s="4">
        <v>32</v>
      </c>
      <c r="M1314" s="4">
        <v>0</v>
      </c>
      <c r="N1314">
        <v>32</v>
      </c>
      <c r="O1314" t="s">
        <v>656</v>
      </c>
      <c r="P1314">
        <v>115</v>
      </c>
      <c r="Q1314">
        <f>QtyRemaining*EstMfgMin/60</f>
        <v>61.333333333333336</v>
      </c>
      <c r="R1314" t="s">
        <v>1062</v>
      </c>
      <c r="U1314" t="e">
        <f t="shared" si="42"/>
        <v>#REF!</v>
      </c>
      <c r="V1314" s="5" t="e">
        <f t="shared" si="43"/>
        <v>#REF!</v>
      </c>
    </row>
    <row r="1315" spans="1:22" x14ac:dyDescent="0.25">
      <c r="A1315" s="2">
        <v>46122</v>
      </c>
      <c r="B1315" s="2">
        <v>45971</v>
      </c>
      <c r="C1315" t="s">
        <v>650</v>
      </c>
      <c r="D1315">
        <v>15</v>
      </c>
      <c r="E1315" t="s">
        <v>2913</v>
      </c>
      <c r="F1315" t="s">
        <v>283</v>
      </c>
      <c r="G1315" t="s">
        <v>652</v>
      </c>
      <c r="H1315" t="s">
        <v>2914</v>
      </c>
      <c r="I1315" t="s">
        <v>1087</v>
      </c>
      <c r="J1315" s="3" t="s">
        <v>2915</v>
      </c>
      <c r="K1315" t="s">
        <v>2916</v>
      </c>
      <c r="L1315" s="4">
        <v>10</v>
      </c>
      <c r="M1315" s="4">
        <v>0</v>
      </c>
      <c r="N1315">
        <v>10</v>
      </c>
      <c r="O1315" t="s">
        <v>664</v>
      </c>
      <c r="P1315">
        <v>20</v>
      </c>
      <c r="Q1315">
        <f>QtyRemaining*EstMfgMin/60</f>
        <v>3.3333333333333335</v>
      </c>
      <c r="R1315" t="s">
        <v>1062</v>
      </c>
      <c r="U1315" t="e">
        <f t="shared" si="42"/>
        <v>#REF!</v>
      </c>
      <c r="V1315" s="5" t="e">
        <f t="shared" si="43"/>
        <v>#REF!</v>
      </c>
    </row>
    <row r="1316" spans="1:22" x14ac:dyDescent="0.25">
      <c r="A1316" s="2">
        <v>46122</v>
      </c>
      <c r="B1316" s="2">
        <v>46042</v>
      </c>
      <c r="C1316" t="s">
        <v>221</v>
      </c>
      <c r="D1316">
        <v>15</v>
      </c>
      <c r="E1316" t="s">
        <v>2917</v>
      </c>
      <c r="F1316" t="s">
        <v>211</v>
      </c>
      <c r="G1316" t="s">
        <v>1731</v>
      </c>
      <c r="H1316" t="s">
        <v>2918</v>
      </c>
      <c r="I1316" t="s">
        <v>256</v>
      </c>
      <c r="J1316" s="3" t="s">
        <v>2919</v>
      </c>
      <c r="K1316" t="s">
        <v>2920</v>
      </c>
      <c r="L1316" s="4">
        <v>320</v>
      </c>
      <c r="M1316" s="4">
        <v>0</v>
      </c>
      <c r="N1316">
        <v>320</v>
      </c>
      <c r="O1316" t="s">
        <v>146</v>
      </c>
      <c r="P1316">
        <v>5</v>
      </c>
      <c r="Q1316">
        <f>QtyRemaining*EstMfgMin/60</f>
        <v>26.666666666666668</v>
      </c>
      <c r="U1316" t="e">
        <f t="shared" si="42"/>
        <v>#REF!</v>
      </c>
      <c r="V1316" s="5" t="e">
        <f t="shared" si="43"/>
        <v>#REF!</v>
      </c>
    </row>
    <row r="1317" spans="1:22" x14ac:dyDescent="0.25">
      <c r="A1317" s="2">
        <v>46122</v>
      </c>
      <c r="B1317" s="2">
        <v>46045</v>
      </c>
      <c r="C1317" t="s">
        <v>1168</v>
      </c>
      <c r="D1317">
        <v>15</v>
      </c>
      <c r="E1317" t="s">
        <v>2921</v>
      </c>
      <c r="F1317" t="s">
        <v>283</v>
      </c>
      <c r="G1317" t="s">
        <v>1170</v>
      </c>
      <c r="H1317" t="s">
        <v>2922</v>
      </c>
      <c r="I1317" t="s">
        <v>224</v>
      </c>
      <c r="J1317" s="3" t="s">
        <v>2310</v>
      </c>
      <c r="K1317" t="s">
        <v>2311</v>
      </c>
      <c r="L1317" s="4">
        <v>8</v>
      </c>
      <c r="M1317" s="4">
        <v>0</v>
      </c>
      <c r="N1317">
        <v>8</v>
      </c>
      <c r="O1317" t="s">
        <v>2312</v>
      </c>
      <c r="P1317">
        <v>90</v>
      </c>
      <c r="Q1317">
        <f>QtyRemaining*EstMfgMin/60</f>
        <v>12</v>
      </c>
      <c r="U1317" t="e">
        <f t="shared" si="42"/>
        <v>#REF!</v>
      </c>
      <c r="V1317" s="5" t="e">
        <f t="shared" si="43"/>
        <v>#REF!</v>
      </c>
    </row>
    <row r="1318" spans="1:22" x14ac:dyDescent="0.25">
      <c r="A1318" s="2">
        <v>46125</v>
      </c>
      <c r="B1318" s="2">
        <v>45792</v>
      </c>
      <c r="C1318" t="s">
        <v>633</v>
      </c>
      <c r="D1318">
        <v>16</v>
      </c>
      <c r="E1318" t="s">
        <v>2923</v>
      </c>
      <c r="F1318" t="s">
        <v>211</v>
      </c>
      <c r="G1318" t="s">
        <v>262</v>
      </c>
      <c r="H1318" t="s">
        <v>2924</v>
      </c>
      <c r="I1318" t="s">
        <v>83</v>
      </c>
      <c r="J1318" s="3" t="s">
        <v>2925</v>
      </c>
      <c r="K1318" t="s">
        <v>2926</v>
      </c>
      <c r="L1318" s="4">
        <v>37</v>
      </c>
      <c r="M1318" s="4">
        <v>0</v>
      </c>
      <c r="N1318">
        <v>37</v>
      </c>
      <c r="O1318" t="s">
        <v>176</v>
      </c>
      <c r="P1318">
        <v>12</v>
      </c>
      <c r="Q1318">
        <f>QtyRemaining*EstMfgMin/60</f>
        <v>7.4</v>
      </c>
      <c r="R1318" t="s">
        <v>2927</v>
      </c>
      <c r="S1318" t="s">
        <v>280</v>
      </c>
      <c r="U1318" t="e">
        <f t="shared" si="42"/>
        <v>#REF!</v>
      </c>
      <c r="V1318" s="5" t="e">
        <f t="shared" si="43"/>
        <v>#REF!</v>
      </c>
    </row>
    <row r="1319" spans="1:22" x14ac:dyDescent="0.25">
      <c r="A1319" s="2">
        <v>46125</v>
      </c>
      <c r="B1319" s="2">
        <v>45957</v>
      </c>
      <c r="C1319" t="s">
        <v>633</v>
      </c>
      <c r="D1319">
        <v>16</v>
      </c>
      <c r="E1319" t="s">
        <v>2928</v>
      </c>
      <c r="F1319" t="s">
        <v>261</v>
      </c>
      <c r="G1319" t="s">
        <v>262</v>
      </c>
      <c r="H1319" t="s">
        <v>2929</v>
      </c>
      <c r="I1319" t="s">
        <v>45</v>
      </c>
      <c r="J1319" s="3" t="s">
        <v>2529</v>
      </c>
      <c r="K1319" t="s">
        <v>131</v>
      </c>
      <c r="L1319" s="4">
        <v>11</v>
      </c>
      <c r="M1319" s="4">
        <v>0</v>
      </c>
      <c r="N1319">
        <v>11</v>
      </c>
      <c r="O1319" t="s">
        <v>94</v>
      </c>
      <c r="P1319">
        <v>0</v>
      </c>
      <c r="Q1319">
        <f>QtyRemaining*EstMfgMin/60</f>
        <v>0</v>
      </c>
      <c r="U1319" t="e">
        <f t="shared" si="42"/>
        <v>#REF!</v>
      </c>
      <c r="V1319" s="5" t="e">
        <f t="shared" si="43"/>
        <v>#REF!</v>
      </c>
    </row>
    <row r="1320" spans="1:22" x14ac:dyDescent="0.25">
      <c r="A1320" s="2">
        <v>46125</v>
      </c>
      <c r="B1320" s="2">
        <v>45957</v>
      </c>
      <c r="C1320" t="s">
        <v>232</v>
      </c>
      <c r="D1320">
        <v>16</v>
      </c>
      <c r="E1320" t="s">
        <v>2930</v>
      </c>
      <c r="F1320" t="s">
        <v>211</v>
      </c>
      <c r="G1320" t="s">
        <v>1184</v>
      </c>
      <c r="H1320" t="s">
        <v>2931</v>
      </c>
      <c r="I1320" t="s">
        <v>83</v>
      </c>
      <c r="J1320" s="3" t="s">
        <v>2932</v>
      </c>
      <c r="K1320" t="s">
        <v>2933</v>
      </c>
      <c r="L1320" s="4">
        <v>17</v>
      </c>
      <c r="M1320" s="4">
        <v>0</v>
      </c>
      <c r="N1320">
        <v>17</v>
      </c>
      <c r="O1320" t="s">
        <v>2393</v>
      </c>
      <c r="P1320">
        <v>12</v>
      </c>
      <c r="Q1320">
        <f>QtyRemaining*EstMfgMin/60</f>
        <v>3.4</v>
      </c>
      <c r="U1320" t="e">
        <f t="shared" si="42"/>
        <v>#REF!</v>
      </c>
      <c r="V1320" s="5" t="e">
        <f t="shared" si="43"/>
        <v>#REF!</v>
      </c>
    </row>
    <row r="1321" spans="1:22" x14ac:dyDescent="0.25">
      <c r="A1321" s="2">
        <v>46125</v>
      </c>
      <c r="B1321" s="2">
        <v>45980</v>
      </c>
      <c r="C1321" t="s">
        <v>633</v>
      </c>
      <c r="D1321">
        <v>16</v>
      </c>
      <c r="E1321" t="s">
        <v>2934</v>
      </c>
      <c r="F1321" t="s">
        <v>211</v>
      </c>
      <c r="G1321" t="s">
        <v>262</v>
      </c>
      <c r="H1321" t="s">
        <v>2935</v>
      </c>
      <c r="I1321" t="s">
        <v>83</v>
      </c>
      <c r="J1321" s="3" t="s">
        <v>2936</v>
      </c>
      <c r="K1321" t="s">
        <v>2937</v>
      </c>
      <c r="L1321" s="4">
        <v>46</v>
      </c>
      <c r="M1321" s="4">
        <v>0</v>
      </c>
      <c r="N1321">
        <v>46</v>
      </c>
      <c r="O1321" t="s">
        <v>118</v>
      </c>
      <c r="P1321">
        <v>7</v>
      </c>
      <c r="Q1321">
        <f>QtyRemaining*EstMfgMin/60</f>
        <v>5.3666666666666663</v>
      </c>
      <c r="U1321" t="e">
        <f t="shared" si="42"/>
        <v>#REF!</v>
      </c>
      <c r="V1321" s="5" t="e">
        <f t="shared" si="43"/>
        <v>#REF!</v>
      </c>
    </row>
    <row r="1322" spans="1:22" x14ac:dyDescent="0.25">
      <c r="A1322" s="2">
        <v>46125</v>
      </c>
      <c r="B1322" s="2">
        <v>45994</v>
      </c>
      <c r="C1322" t="s">
        <v>465</v>
      </c>
      <c r="D1322">
        <v>16</v>
      </c>
      <c r="E1322" t="s">
        <v>2670</v>
      </c>
      <c r="F1322" t="s">
        <v>211</v>
      </c>
      <c r="G1322" t="s">
        <v>467</v>
      </c>
      <c r="H1322" t="s">
        <v>2671</v>
      </c>
      <c r="I1322" t="s">
        <v>214</v>
      </c>
      <c r="J1322" s="3" t="s">
        <v>2419</v>
      </c>
      <c r="K1322" t="s">
        <v>2420</v>
      </c>
      <c r="L1322" s="4">
        <v>1</v>
      </c>
      <c r="M1322" s="4">
        <v>0</v>
      </c>
      <c r="N1322">
        <v>1</v>
      </c>
      <c r="O1322" t="s">
        <v>176</v>
      </c>
      <c r="P1322">
        <v>24</v>
      </c>
      <c r="Q1322">
        <f>QtyRemaining*EstMfgMin/60</f>
        <v>0.4</v>
      </c>
      <c r="U1322" t="e">
        <f t="shared" si="42"/>
        <v>#REF!</v>
      </c>
      <c r="V1322" s="5" t="e">
        <f t="shared" si="43"/>
        <v>#REF!</v>
      </c>
    </row>
    <row r="1323" spans="1:22" x14ac:dyDescent="0.25">
      <c r="A1323" s="2">
        <v>46125</v>
      </c>
      <c r="B1323" s="2">
        <v>46051</v>
      </c>
      <c r="C1323" t="s">
        <v>232</v>
      </c>
      <c r="D1323">
        <v>16</v>
      </c>
      <c r="E1323" t="s">
        <v>2938</v>
      </c>
      <c r="F1323" t="s">
        <v>211</v>
      </c>
      <c r="G1323" t="s">
        <v>270</v>
      </c>
      <c r="H1323" t="s">
        <v>2939</v>
      </c>
      <c r="I1323" t="s">
        <v>214</v>
      </c>
      <c r="J1323" s="3" t="s">
        <v>2940</v>
      </c>
      <c r="K1323" t="s">
        <v>2941</v>
      </c>
      <c r="L1323" s="4">
        <v>50</v>
      </c>
      <c r="M1323" s="4">
        <v>0</v>
      </c>
      <c r="N1323">
        <v>50</v>
      </c>
      <c r="O1323" t="s">
        <v>118</v>
      </c>
      <c r="P1323">
        <v>8</v>
      </c>
      <c r="Q1323">
        <f>QtyRemaining*EstMfgMin/60</f>
        <v>6.666666666666667</v>
      </c>
      <c r="U1323" t="e">
        <f t="shared" si="42"/>
        <v>#REF!</v>
      </c>
      <c r="V1323" s="5" t="e">
        <f t="shared" si="43"/>
        <v>#REF!</v>
      </c>
    </row>
    <row r="1324" spans="1:22" x14ac:dyDescent="0.25">
      <c r="A1324" s="2">
        <v>46126</v>
      </c>
      <c r="B1324" s="2">
        <v>45954</v>
      </c>
      <c r="C1324" t="s">
        <v>478</v>
      </c>
      <c r="D1324">
        <v>16</v>
      </c>
      <c r="E1324" t="s">
        <v>1699</v>
      </c>
      <c r="F1324" t="s">
        <v>261</v>
      </c>
      <c r="G1324" t="s">
        <v>670</v>
      </c>
      <c r="H1324" t="s">
        <v>1700</v>
      </c>
      <c r="I1324" t="s">
        <v>83</v>
      </c>
      <c r="J1324" s="3" t="s">
        <v>2942</v>
      </c>
      <c r="K1324" t="s">
        <v>2937</v>
      </c>
      <c r="L1324" s="4">
        <v>700</v>
      </c>
      <c r="M1324" s="4">
        <v>0</v>
      </c>
      <c r="N1324">
        <v>700</v>
      </c>
      <c r="O1324" t="s">
        <v>118</v>
      </c>
      <c r="P1324">
        <v>32</v>
      </c>
      <c r="Q1324">
        <f>QtyRemaining*EstMfgMin/60</f>
        <v>373.33333333333331</v>
      </c>
      <c r="U1324" t="e">
        <f t="shared" si="42"/>
        <v>#REF!</v>
      </c>
      <c r="V1324" s="5" t="e">
        <f t="shared" si="43"/>
        <v>#REF!</v>
      </c>
    </row>
    <row r="1325" spans="1:22" x14ac:dyDescent="0.25">
      <c r="A1325" s="2">
        <v>46126</v>
      </c>
      <c r="B1325" s="2">
        <v>45965</v>
      </c>
      <c r="C1325" t="s">
        <v>570</v>
      </c>
      <c r="D1325">
        <v>16</v>
      </c>
      <c r="E1325" t="s">
        <v>2373</v>
      </c>
      <c r="F1325" t="s">
        <v>261</v>
      </c>
      <c r="G1325" t="s">
        <v>529</v>
      </c>
      <c r="H1325" t="s">
        <v>2374</v>
      </c>
      <c r="I1325" t="s">
        <v>83</v>
      </c>
      <c r="J1325" s="3" t="s">
        <v>2943</v>
      </c>
      <c r="K1325" t="s">
        <v>2944</v>
      </c>
      <c r="L1325" s="4">
        <v>60</v>
      </c>
      <c r="M1325" s="4">
        <v>0</v>
      </c>
      <c r="N1325">
        <v>60</v>
      </c>
      <c r="O1325" t="s">
        <v>118</v>
      </c>
      <c r="P1325">
        <v>140</v>
      </c>
      <c r="Q1325">
        <f>QtyRemaining*EstMfgMin/60</f>
        <v>140</v>
      </c>
      <c r="U1325" t="e">
        <f t="shared" si="42"/>
        <v>#REF!</v>
      </c>
      <c r="V1325" s="5" t="e">
        <f t="shared" si="43"/>
        <v>#REF!</v>
      </c>
    </row>
    <row r="1326" spans="1:22" x14ac:dyDescent="0.25">
      <c r="A1326" s="2">
        <v>46126</v>
      </c>
      <c r="B1326" s="2">
        <v>45975</v>
      </c>
      <c r="C1326" t="s">
        <v>465</v>
      </c>
      <c r="D1326">
        <v>16</v>
      </c>
      <c r="E1326" t="s">
        <v>872</v>
      </c>
      <c r="F1326" t="s">
        <v>211</v>
      </c>
      <c r="G1326" t="s">
        <v>467</v>
      </c>
      <c r="H1326" t="s">
        <v>873</v>
      </c>
      <c r="I1326" t="s">
        <v>214</v>
      </c>
      <c r="J1326" s="3" t="s">
        <v>1996</v>
      </c>
      <c r="K1326" t="s">
        <v>1997</v>
      </c>
      <c r="L1326" s="4">
        <v>4</v>
      </c>
      <c r="M1326" s="4">
        <v>0</v>
      </c>
      <c r="N1326">
        <v>4</v>
      </c>
      <c r="O1326" t="s">
        <v>266</v>
      </c>
      <c r="P1326">
        <v>150</v>
      </c>
      <c r="Q1326">
        <f>QtyRemaining*EstMfgMin/60</f>
        <v>10</v>
      </c>
      <c r="U1326" t="e">
        <f t="shared" si="42"/>
        <v>#REF!</v>
      </c>
      <c r="V1326" s="5" t="e">
        <f t="shared" si="43"/>
        <v>#REF!</v>
      </c>
    </row>
    <row r="1327" spans="1:22" x14ac:dyDescent="0.25">
      <c r="A1327" s="2">
        <v>46126</v>
      </c>
      <c r="B1327" s="2">
        <v>46013</v>
      </c>
      <c r="C1327" t="s">
        <v>232</v>
      </c>
      <c r="D1327">
        <v>16</v>
      </c>
      <c r="E1327" t="s">
        <v>2945</v>
      </c>
      <c r="F1327" t="s">
        <v>211</v>
      </c>
      <c r="G1327" t="s">
        <v>270</v>
      </c>
      <c r="H1327" t="s">
        <v>2946</v>
      </c>
      <c r="I1327" t="s">
        <v>214</v>
      </c>
      <c r="J1327" s="3" t="s">
        <v>2071</v>
      </c>
      <c r="K1327" t="s">
        <v>2072</v>
      </c>
      <c r="L1327" s="4">
        <v>300</v>
      </c>
      <c r="M1327" s="4">
        <v>0</v>
      </c>
      <c r="N1327">
        <v>300</v>
      </c>
      <c r="O1327" t="s">
        <v>118</v>
      </c>
      <c r="P1327">
        <v>8</v>
      </c>
      <c r="Q1327">
        <f>QtyRemaining*EstMfgMin/60</f>
        <v>40</v>
      </c>
      <c r="U1327" t="e">
        <f t="shared" si="42"/>
        <v>#REF!</v>
      </c>
      <c r="V1327" s="5" t="e">
        <f t="shared" si="43"/>
        <v>#REF!</v>
      </c>
    </row>
    <row r="1328" spans="1:22" x14ac:dyDescent="0.25">
      <c r="A1328" s="2">
        <v>46126</v>
      </c>
      <c r="B1328" s="2">
        <v>46030</v>
      </c>
      <c r="C1328" t="s">
        <v>478</v>
      </c>
      <c r="D1328">
        <v>16</v>
      </c>
      <c r="E1328" t="s">
        <v>2947</v>
      </c>
      <c r="F1328" t="s">
        <v>261</v>
      </c>
      <c r="G1328" t="s">
        <v>2948</v>
      </c>
      <c r="H1328" t="s">
        <v>2949</v>
      </c>
      <c r="I1328" t="s">
        <v>83</v>
      </c>
      <c r="J1328" s="3" t="s">
        <v>2950</v>
      </c>
      <c r="K1328" t="s">
        <v>2951</v>
      </c>
      <c r="L1328" s="4">
        <v>70</v>
      </c>
      <c r="M1328" s="4">
        <v>0</v>
      </c>
      <c r="N1328">
        <v>70</v>
      </c>
      <c r="O1328" t="s">
        <v>118</v>
      </c>
      <c r="P1328">
        <v>5</v>
      </c>
      <c r="Q1328">
        <f>QtyRemaining*EstMfgMin/60</f>
        <v>5.833333333333333</v>
      </c>
      <c r="U1328" t="e">
        <f t="shared" si="42"/>
        <v>#REF!</v>
      </c>
      <c r="V1328" s="5" t="e">
        <f t="shared" si="43"/>
        <v>#REF!</v>
      </c>
    </row>
    <row r="1329" spans="1:22" x14ac:dyDescent="0.25">
      <c r="A1329" s="2">
        <v>46126</v>
      </c>
      <c r="B1329" s="2">
        <v>46030</v>
      </c>
      <c r="C1329" t="s">
        <v>478</v>
      </c>
      <c r="D1329">
        <v>16</v>
      </c>
      <c r="E1329" t="s">
        <v>2947</v>
      </c>
      <c r="F1329" t="s">
        <v>261</v>
      </c>
      <c r="G1329" t="s">
        <v>2948</v>
      </c>
      <c r="H1329" t="s">
        <v>2949</v>
      </c>
      <c r="I1329" t="s">
        <v>83</v>
      </c>
      <c r="J1329" s="3" t="s">
        <v>2952</v>
      </c>
      <c r="K1329" t="s">
        <v>2953</v>
      </c>
      <c r="L1329" s="4">
        <v>70</v>
      </c>
      <c r="M1329" s="4">
        <v>0</v>
      </c>
      <c r="N1329">
        <v>70</v>
      </c>
      <c r="O1329" t="s">
        <v>118</v>
      </c>
      <c r="P1329">
        <v>5</v>
      </c>
      <c r="Q1329">
        <f>QtyRemaining*EstMfgMin/60</f>
        <v>5.833333333333333</v>
      </c>
      <c r="U1329" t="e">
        <f t="shared" si="42"/>
        <v>#REF!</v>
      </c>
      <c r="V1329" s="5" t="e">
        <f t="shared" si="43"/>
        <v>#REF!</v>
      </c>
    </row>
    <row r="1330" spans="1:22" x14ac:dyDescent="0.25">
      <c r="A1330" s="2">
        <v>46126</v>
      </c>
      <c r="B1330" s="2">
        <v>46030</v>
      </c>
      <c r="C1330" t="s">
        <v>478</v>
      </c>
      <c r="D1330">
        <v>16</v>
      </c>
      <c r="E1330" t="s">
        <v>2947</v>
      </c>
      <c r="F1330" t="s">
        <v>261</v>
      </c>
      <c r="G1330" t="s">
        <v>2948</v>
      </c>
      <c r="H1330" t="s">
        <v>2949</v>
      </c>
      <c r="I1330" t="s">
        <v>45</v>
      </c>
      <c r="J1330" s="3" t="s">
        <v>2954</v>
      </c>
      <c r="K1330" t="s">
        <v>1335</v>
      </c>
      <c r="L1330" s="4">
        <v>14</v>
      </c>
      <c r="M1330" s="4">
        <v>0</v>
      </c>
      <c r="N1330">
        <v>14</v>
      </c>
      <c r="O1330" t="s">
        <v>176</v>
      </c>
      <c r="P1330">
        <v>5</v>
      </c>
      <c r="Q1330">
        <f>QtyRemaining*EstMfgMin/60</f>
        <v>1.1666666666666667</v>
      </c>
      <c r="U1330" t="e">
        <f t="shared" si="42"/>
        <v>#REF!</v>
      </c>
      <c r="V1330" s="5" t="e">
        <f t="shared" si="43"/>
        <v>#REF!</v>
      </c>
    </row>
    <row r="1331" spans="1:22" x14ac:dyDescent="0.25">
      <c r="A1331" s="2">
        <v>46126</v>
      </c>
      <c r="B1331" s="2">
        <v>46030</v>
      </c>
      <c r="C1331" t="s">
        <v>478</v>
      </c>
      <c r="D1331">
        <v>16</v>
      </c>
      <c r="E1331" t="s">
        <v>2947</v>
      </c>
      <c r="F1331" t="s">
        <v>261</v>
      </c>
      <c r="G1331" t="s">
        <v>2948</v>
      </c>
      <c r="H1331" t="s">
        <v>2949</v>
      </c>
      <c r="I1331" t="s">
        <v>45</v>
      </c>
      <c r="J1331" s="3" t="s">
        <v>2955</v>
      </c>
      <c r="K1331" t="s">
        <v>1335</v>
      </c>
      <c r="L1331" s="4">
        <v>14</v>
      </c>
      <c r="M1331" s="4">
        <v>0</v>
      </c>
      <c r="N1331">
        <v>14</v>
      </c>
      <c r="O1331" t="s">
        <v>176</v>
      </c>
      <c r="P1331">
        <v>5</v>
      </c>
      <c r="Q1331">
        <f>QtyRemaining*EstMfgMin/60</f>
        <v>1.1666666666666667</v>
      </c>
      <c r="U1331" t="e">
        <f t="shared" si="42"/>
        <v>#REF!</v>
      </c>
      <c r="V1331" s="5" t="e">
        <f t="shared" si="43"/>
        <v>#REF!</v>
      </c>
    </row>
    <row r="1332" spans="1:22" x14ac:dyDescent="0.25">
      <c r="A1332" s="2">
        <v>46126</v>
      </c>
      <c r="B1332" s="2">
        <v>46045</v>
      </c>
      <c r="C1332" t="s">
        <v>465</v>
      </c>
      <c r="D1332">
        <v>16</v>
      </c>
      <c r="E1332" t="s">
        <v>2843</v>
      </c>
      <c r="F1332" t="s">
        <v>211</v>
      </c>
      <c r="G1332" t="s">
        <v>467</v>
      </c>
      <c r="H1332" t="s">
        <v>2844</v>
      </c>
      <c r="I1332" t="s">
        <v>214</v>
      </c>
      <c r="J1332" s="3" t="s">
        <v>2956</v>
      </c>
      <c r="K1332" t="s">
        <v>2957</v>
      </c>
      <c r="L1332" s="4">
        <v>3</v>
      </c>
      <c r="M1332" s="4">
        <v>0</v>
      </c>
      <c r="N1332">
        <v>3</v>
      </c>
      <c r="O1332" t="s">
        <v>176</v>
      </c>
      <c r="P1332">
        <v>16</v>
      </c>
      <c r="Q1332">
        <f>QtyRemaining*EstMfgMin/60</f>
        <v>0.8</v>
      </c>
      <c r="U1332" t="e">
        <f t="shared" si="42"/>
        <v>#REF!</v>
      </c>
      <c r="V1332" s="5" t="e">
        <f t="shared" si="43"/>
        <v>#REF!</v>
      </c>
    </row>
    <row r="1333" spans="1:22" x14ac:dyDescent="0.25">
      <c r="A1333" s="2">
        <v>46126</v>
      </c>
      <c r="B1333" s="2">
        <v>46045</v>
      </c>
      <c r="C1333" t="s">
        <v>1168</v>
      </c>
      <c r="D1333">
        <v>16</v>
      </c>
      <c r="E1333" t="s">
        <v>2958</v>
      </c>
      <c r="F1333" t="s">
        <v>283</v>
      </c>
      <c r="G1333" t="s">
        <v>1170</v>
      </c>
      <c r="H1333" t="s">
        <v>2959</v>
      </c>
      <c r="I1333" t="s">
        <v>224</v>
      </c>
      <c r="J1333" s="3" t="s">
        <v>2310</v>
      </c>
      <c r="K1333" t="s">
        <v>2311</v>
      </c>
      <c r="L1333" s="4">
        <v>3</v>
      </c>
      <c r="M1333" s="4">
        <v>0</v>
      </c>
      <c r="N1333">
        <v>3</v>
      </c>
      <c r="O1333" t="s">
        <v>2312</v>
      </c>
      <c r="P1333">
        <v>90</v>
      </c>
      <c r="Q1333">
        <f>QtyRemaining*EstMfgMin/60</f>
        <v>4.5</v>
      </c>
      <c r="U1333" t="e">
        <f t="shared" si="42"/>
        <v>#REF!</v>
      </c>
      <c r="V1333" s="5" t="e">
        <f t="shared" si="43"/>
        <v>#REF!</v>
      </c>
    </row>
    <row r="1334" spans="1:22" x14ac:dyDescent="0.25">
      <c r="A1334" s="2">
        <v>46127</v>
      </c>
      <c r="B1334" s="2">
        <v>45586</v>
      </c>
      <c r="C1334" t="s">
        <v>478</v>
      </c>
      <c r="D1334">
        <v>16</v>
      </c>
      <c r="E1334" t="s">
        <v>2022</v>
      </c>
      <c r="F1334" t="s">
        <v>261</v>
      </c>
      <c r="G1334" t="s">
        <v>2023</v>
      </c>
      <c r="H1334" t="s">
        <v>2024</v>
      </c>
      <c r="I1334" t="s">
        <v>155</v>
      </c>
      <c r="J1334" s="3" t="s">
        <v>2025</v>
      </c>
      <c r="K1334" t="s">
        <v>2026</v>
      </c>
      <c r="L1334" s="4">
        <v>15</v>
      </c>
      <c r="M1334" s="4">
        <v>0</v>
      </c>
      <c r="N1334">
        <v>15</v>
      </c>
      <c r="O1334" t="s">
        <v>94</v>
      </c>
      <c r="P1334">
        <v>60</v>
      </c>
      <c r="Q1334">
        <f>QtyRemaining*EstMfgMin/60</f>
        <v>15</v>
      </c>
      <c r="R1334" t="s">
        <v>1062</v>
      </c>
      <c r="U1334" t="e">
        <f t="shared" si="42"/>
        <v>#REF!</v>
      </c>
      <c r="V1334" s="5" t="e">
        <f t="shared" si="43"/>
        <v>#REF!</v>
      </c>
    </row>
    <row r="1335" spans="1:22" x14ac:dyDescent="0.25">
      <c r="A1335" s="2">
        <v>46127</v>
      </c>
      <c r="B1335" s="2">
        <v>45586</v>
      </c>
      <c r="C1335" t="s">
        <v>478</v>
      </c>
      <c r="D1335">
        <v>16</v>
      </c>
      <c r="E1335" t="s">
        <v>2022</v>
      </c>
      <c r="F1335" t="s">
        <v>261</v>
      </c>
      <c r="G1335" t="s">
        <v>2023</v>
      </c>
      <c r="H1335" t="s">
        <v>2024</v>
      </c>
      <c r="I1335" t="s">
        <v>155</v>
      </c>
      <c r="J1335" s="3" t="s">
        <v>2025</v>
      </c>
      <c r="K1335" t="s">
        <v>2026</v>
      </c>
      <c r="L1335" s="4">
        <v>15</v>
      </c>
      <c r="M1335" s="4">
        <v>0</v>
      </c>
      <c r="N1335">
        <v>15</v>
      </c>
      <c r="O1335" t="s">
        <v>94</v>
      </c>
      <c r="P1335">
        <v>60</v>
      </c>
      <c r="Q1335">
        <f>QtyRemaining*EstMfgMin/60</f>
        <v>15</v>
      </c>
      <c r="R1335" t="s">
        <v>1062</v>
      </c>
      <c r="U1335" t="e">
        <f t="shared" si="42"/>
        <v>#REF!</v>
      </c>
      <c r="V1335" s="5" t="e">
        <f t="shared" si="43"/>
        <v>#REF!</v>
      </c>
    </row>
    <row r="1336" spans="1:22" x14ac:dyDescent="0.25">
      <c r="A1336" s="2">
        <v>46127</v>
      </c>
      <c r="B1336" s="2">
        <v>45588</v>
      </c>
      <c r="C1336" t="s">
        <v>478</v>
      </c>
      <c r="D1336">
        <v>16</v>
      </c>
      <c r="E1336" t="s">
        <v>2960</v>
      </c>
      <c r="F1336" t="s">
        <v>261</v>
      </c>
      <c r="G1336" t="s">
        <v>2023</v>
      </c>
      <c r="H1336" t="s">
        <v>2024</v>
      </c>
      <c r="I1336" t="s">
        <v>155</v>
      </c>
      <c r="J1336" s="3" t="s">
        <v>2961</v>
      </c>
      <c r="K1336" t="s">
        <v>2962</v>
      </c>
      <c r="L1336" s="4">
        <v>200</v>
      </c>
      <c r="M1336" s="4">
        <v>0</v>
      </c>
      <c r="N1336">
        <v>200</v>
      </c>
      <c r="O1336" t="s">
        <v>457</v>
      </c>
      <c r="P1336">
        <v>75</v>
      </c>
      <c r="Q1336">
        <f>QtyRemaining*EstMfgMin/60</f>
        <v>250</v>
      </c>
      <c r="R1336" t="s">
        <v>1062</v>
      </c>
      <c r="U1336" t="e">
        <f t="shared" si="42"/>
        <v>#REF!</v>
      </c>
      <c r="V1336" s="5" t="e">
        <f t="shared" si="43"/>
        <v>#REF!</v>
      </c>
    </row>
    <row r="1337" spans="1:22" x14ac:dyDescent="0.25">
      <c r="A1337" s="2">
        <v>46127</v>
      </c>
      <c r="B1337" s="2">
        <v>45674</v>
      </c>
      <c r="C1337" t="s">
        <v>570</v>
      </c>
      <c r="D1337">
        <v>16</v>
      </c>
      <c r="E1337" t="s">
        <v>571</v>
      </c>
      <c r="F1337" t="s">
        <v>261</v>
      </c>
      <c r="G1337" t="s">
        <v>262</v>
      </c>
      <c r="H1337" t="s">
        <v>572</v>
      </c>
      <c r="I1337" t="s">
        <v>83</v>
      </c>
      <c r="J1337" s="3" t="s">
        <v>2963</v>
      </c>
      <c r="K1337" t="s">
        <v>2964</v>
      </c>
      <c r="L1337" s="4">
        <v>2</v>
      </c>
      <c r="M1337" s="4">
        <v>0</v>
      </c>
      <c r="N1337">
        <v>2</v>
      </c>
      <c r="O1337" t="s">
        <v>118</v>
      </c>
      <c r="P1337">
        <v>0</v>
      </c>
      <c r="Q1337">
        <f>QtyRemaining*EstMfgMin/60</f>
        <v>0</v>
      </c>
      <c r="U1337" t="e">
        <f t="shared" si="42"/>
        <v>#REF!</v>
      </c>
      <c r="V1337" s="5" t="e">
        <f t="shared" si="43"/>
        <v>#REF!</v>
      </c>
    </row>
    <row r="1338" spans="1:22" x14ac:dyDescent="0.25">
      <c r="A1338" s="2">
        <v>46127</v>
      </c>
      <c r="B1338" s="2">
        <v>45674</v>
      </c>
      <c r="C1338" t="s">
        <v>570</v>
      </c>
      <c r="D1338">
        <v>16</v>
      </c>
      <c r="E1338" t="s">
        <v>571</v>
      </c>
      <c r="F1338" t="s">
        <v>261</v>
      </c>
      <c r="G1338" t="s">
        <v>262</v>
      </c>
      <c r="H1338" t="s">
        <v>572</v>
      </c>
      <c r="I1338" t="s">
        <v>83</v>
      </c>
      <c r="J1338" s="3" t="s">
        <v>2965</v>
      </c>
      <c r="K1338" t="s">
        <v>2289</v>
      </c>
      <c r="L1338" s="4">
        <v>3</v>
      </c>
      <c r="M1338" s="4">
        <v>0</v>
      </c>
      <c r="N1338">
        <v>3</v>
      </c>
      <c r="O1338" t="s">
        <v>118</v>
      </c>
      <c r="P1338">
        <v>0</v>
      </c>
      <c r="Q1338">
        <f>QtyRemaining*EstMfgMin/60</f>
        <v>0</v>
      </c>
      <c r="U1338" t="e">
        <f t="shared" si="42"/>
        <v>#REF!</v>
      </c>
      <c r="V1338" s="5" t="e">
        <f t="shared" si="43"/>
        <v>#REF!</v>
      </c>
    </row>
    <row r="1339" spans="1:22" x14ac:dyDescent="0.25">
      <c r="A1339" s="2">
        <v>46127</v>
      </c>
      <c r="B1339" s="2">
        <v>45674</v>
      </c>
      <c r="C1339" t="s">
        <v>570</v>
      </c>
      <c r="D1339">
        <v>16</v>
      </c>
      <c r="E1339" t="s">
        <v>571</v>
      </c>
      <c r="F1339" t="s">
        <v>261</v>
      </c>
      <c r="G1339" t="s">
        <v>262</v>
      </c>
      <c r="H1339" t="s">
        <v>572</v>
      </c>
      <c r="I1339" t="s">
        <v>83</v>
      </c>
      <c r="J1339" s="3" t="s">
        <v>2288</v>
      </c>
      <c r="K1339" t="s">
        <v>2289</v>
      </c>
      <c r="L1339" s="4">
        <v>3</v>
      </c>
      <c r="M1339" s="4">
        <v>0</v>
      </c>
      <c r="N1339">
        <v>3</v>
      </c>
      <c r="O1339" t="s">
        <v>118</v>
      </c>
      <c r="P1339">
        <v>0</v>
      </c>
      <c r="Q1339">
        <f>QtyRemaining*EstMfgMin/60</f>
        <v>0</v>
      </c>
      <c r="U1339" t="e">
        <f t="shared" si="42"/>
        <v>#REF!</v>
      </c>
      <c r="V1339" s="5" t="e">
        <f t="shared" si="43"/>
        <v>#REF!</v>
      </c>
    </row>
    <row r="1340" spans="1:22" x14ac:dyDescent="0.25">
      <c r="A1340" s="2">
        <v>46127</v>
      </c>
      <c r="B1340" s="2">
        <v>45915</v>
      </c>
      <c r="C1340" t="s">
        <v>633</v>
      </c>
      <c r="D1340">
        <v>16</v>
      </c>
      <c r="E1340" t="s">
        <v>2966</v>
      </c>
      <c r="F1340" t="s">
        <v>261</v>
      </c>
      <c r="G1340" t="s">
        <v>262</v>
      </c>
      <c r="H1340" t="s">
        <v>2967</v>
      </c>
      <c r="I1340" t="s">
        <v>83</v>
      </c>
      <c r="J1340" s="3" t="s">
        <v>2968</v>
      </c>
      <c r="K1340" t="s">
        <v>2969</v>
      </c>
      <c r="L1340" s="4">
        <v>341</v>
      </c>
      <c r="M1340" s="4">
        <v>0</v>
      </c>
      <c r="N1340">
        <v>341</v>
      </c>
      <c r="O1340" t="s">
        <v>266</v>
      </c>
      <c r="P1340">
        <v>19</v>
      </c>
      <c r="Q1340">
        <f>QtyRemaining*EstMfgMin/60</f>
        <v>107.98333333333333</v>
      </c>
      <c r="U1340" t="e">
        <f t="shared" si="42"/>
        <v>#REF!</v>
      </c>
      <c r="V1340" s="5" t="e">
        <f t="shared" si="43"/>
        <v>#REF!</v>
      </c>
    </row>
    <row r="1341" spans="1:22" x14ac:dyDescent="0.25">
      <c r="A1341" s="2">
        <v>46127</v>
      </c>
      <c r="B1341" s="2">
        <v>45972</v>
      </c>
      <c r="C1341" t="s">
        <v>485</v>
      </c>
      <c r="D1341">
        <v>16</v>
      </c>
      <c r="E1341" t="s">
        <v>1078</v>
      </c>
      <c r="F1341" t="s">
        <v>211</v>
      </c>
      <c r="G1341" t="s">
        <v>761</v>
      </c>
      <c r="H1341" t="s">
        <v>1079</v>
      </c>
      <c r="I1341" t="s">
        <v>214</v>
      </c>
      <c r="J1341" s="3" t="s">
        <v>2970</v>
      </c>
      <c r="K1341" t="s">
        <v>2971</v>
      </c>
      <c r="L1341" s="4">
        <v>100</v>
      </c>
      <c r="M1341" s="4">
        <v>0</v>
      </c>
      <c r="N1341">
        <v>100</v>
      </c>
      <c r="O1341" t="s">
        <v>765</v>
      </c>
      <c r="P1341">
        <v>6</v>
      </c>
      <c r="Q1341">
        <f>QtyRemaining*EstMfgMin/60</f>
        <v>10</v>
      </c>
      <c r="U1341" t="e">
        <f t="shared" si="42"/>
        <v>#REF!</v>
      </c>
      <c r="V1341" s="5" t="e">
        <f t="shared" si="43"/>
        <v>#REF!</v>
      </c>
    </row>
    <row r="1342" spans="1:22" x14ac:dyDescent="0.25">
      <c r="A1342" s="2">
        <v>46127</v>
      </c>
      <c r="B1342" s="2">
        <v>45982</v>
      </c>
      <c r="C1342" t="s">
        <v>465</v>
      </c>
      <c r="D1342">
        <v>16</v>
      </c>
      <c r="E1342" t="s">
        <v>1619</v>
      </c>
      <c r="F1342" t="s">
        <v>211</v>
      </c>
      <c r="G1342" t="s">
        <v>467</v>
      </c>
      <c r="H1342" t="s">
        <v>1620</v>
      </c>
      <c r="I1342" t="s">
        <v>214</v>
      </c>
      <c r="J1342" s="3" t="s">
        <v>2972</v>
      </c>
      <c r="K1342" t="s">
        <v>2973</v>
      </c>
      <c r="L1342" s="4">
        <v>1</v>
      </c>
      <c r="M1342" s="4">
        <v>0</v>
      </c>
      <c r="N1342">
        <v>1</v>
      </c>
      <c r="O1342" t="s">
        <v>176</v>
      </c>
      <c r="P1342">
        <v>36</v>
      </c>
      <c r="Q1342">
        <f>QtyRemaining*EstMfgMin/60</f>
        <v>0.6</v>
      </c>
      <c r="U1342" t="e">
        <f t="shared" si="42"/>
        <v>#REF!</v>
      </c>
      <c r="V1342" s="5" t="e">
        <f t="shared" si="43"/>
        <v>#REF!</v>
      </c>
    </row>
    <row r="1343" spans="1:22" x14ac:dyDescent="0.25">
      <c r="A1343" s="2">
        <v>46127</v>
      </c>
      <c r="B1343" s="2">
        <v>46009</v>
      </c>
      <c r="C1343" t="s">
        <v>465</v>
      </c>
      <c r="D1343">
        <v>16</v>
      </c>
      <c r="E1343" t="s">
        <v>1724</v>
      </c>
      <c r="F1343" t="s">
        <v>211</v>
      </c>
      <c r="G1343" t="s">
        <v>467</v>
      </c>
      <c r="H1343" t="s">
        <v>1725</v>
      </c>
      <c r="I1343" t="s">
        <v>214</v>
      </c>
      <c r="J1343" s="3" t="s">
        <v>2974</v>
      </c>
      <c r="K1343" t="s">
        <v>2975</v>
      </c>
      <c r="L1343" s="4">
        <v>2</v>
      </c>
      <c r="M1343" s="4">
        <v>0</v>
      </c>
      <c r="N1343">
        <v>2</v>
      </c>
      <c r="O1343" t="s">
        <v>176</v>
      </c>
      <c r="P1343">
        <v>24</v>
      </c>
      <c r="Q1343">
        <f>QtyRemaining*EstMfgMin/60</f>
        <v>0.8</v>
      </c>
      <c r="U1343" t="e">
        <f t="shared" si="42"/>
        <v>#REF!</v>
      </c>
      <c r="V1343" s="5" t="e">
        <f t="shared" si="43"/>
        <v>#REF!</v>
      </c>
    </row>
    <row r="1344" spans="1:22" x14ac:dyDescent="0.25">
      <c r="A1344" s="2">
        <v>46127</v>
      </c>
      <c r="B1344" s="2">
        <v>46030</v>
      </c>
      <c r="C1344" t="s">
        <v>1168</v>
      </c>
      <c r="D1344">
        <v>16</v>
      </c>
      <c r="E1344" t="s">
        <v>2976</v>
      </c>
      <c r="F1344" t="s">
        <v>283</v>
      </c>
      <c r="G1344" t="s">
        <v>1170</v>
      </c>
      <c r="H1344" t="s">
        <v>2977</v>
      </c>
      <c r="I1344" t="s">
        <v>1172</v>
      </c>
      <c r="J1344" s="3" t="s">
        <v>1939</v>
      </c>
      <c r="K1344" t="s">
        <v>1633</v>
      </c>
      <c r="L1344" s="4">
        <v>100</v>
      </c>
      <c r="M1344" s="4">
        <v>0</v>
      </c>
      <c r="N1344">
        <v>100</v>
      </c>
      <c r="O1344" t="s">
        <v>176</v>
      </c>
      <c r="P1344">
        <v>6</v>
      </c>
      <c r="Q1344">
        <f>QtyRemaining*EstMfgMin/60</f>
        <v>10</v>
      </c>
      <c r="U1344" t="e">
        <f t="shared" si="42"/>
        <v>#REF!</v>
      </c>
      <c r="V1344" s="5" t="e">
        <f t="shared" si="43"/>
        <v>#REF!</v>
      </c>
    </row>
    <row r="1345" spans="1:22" x14ac:dyDescent="0.25">
      <c r="A1345" s="2">
        <v>46127</v>
      </c>
      <c r="B1345" s="2">
        <v>46045</v>
      </c>
      <c r="C1345" t="s">
        <v>465</v>
      </c>
      <c r="D1345">
        <v>16</v>
      </c>
      <c r="E1345" t="s">
        <v>2161</v>
      </c>
      <c r="F1345" t="s">
        <v>211</v>
      </c>
      <c r="G1345" t="s">
        <v>467</v>
      </c>
      <c r="H1345" t="s">
        <v>2162</v>
      </c>
      <c r="I1345" t="s">
        <v>214</v>
      </c>
      <c r="J1345" s="3" t="s">
        <v>1255</v>
      </c>
      <c r="K1345" t="s">
        <v>1256</v>
      </c>
      <c r="L1345" s="4">
        <v>2</v>
      </c>
      <c r="M1345" s="4">
        <v>0</v>
      </c>
      <c r="N1345">
        <v>2</v>
      </c>
      <c r="O1345" t="s">
        <v>457</v>
      </c>
      <c r="P1345">
        <v>25</v>
      </c>
      <c r="Q1345">
        <f>QtyRemaining*EstMfgMin/60</f>
        <v>0.83333333333333337</v>
      </c>
      <c r="U1345" t="e">
        <f t="shared" si="42"/>
        <v>#REF!</v>
      </c>
      <c r="V1345" s="5" t="e">
        <f t="shared" si="43"/>
        <v>#REF!</v>
      </c>
    </row>
    <row r="1346" spans="1:22" x14ac:dyDescent="0.25">
      <c r="A1346" s="2">
        <v>46128</v>
      </c>
      <c r="B1346" s="2">
        <v>45656</v>
      </c>
      <c r="C1346" t="s">
        <v>478</v>
      </c>
      <c r="D1346">
        <v>16</v>
      </c>
      <c r="E1346" t="s">
        <v>2555</v>
      </c>
      <c r="F1346" t="s">
        <v>261</v>
      </c>
      <c r="G1346" t="s">
        <v>1021</v>
      </c>
      <c r="H1346" t="s">
        <v>2556</v>
      </c>
      <c r="I1346" t="s">
        <v>83</v>
      </c>
      <c r="J1346" s="3" t="s">
        <v>1993</v>
      </c>
      <c r="K1346" t="s">
        <v>1240</v>
      </c>
      <c r="L1346" s="4">
        <v>12</v>
      </c>
      <c r="M1346" s="4">
        <v>0</v>
      </c>
      <c r="N1346">
        <v>12</v>
      </c>
      <c r="O1346" t="s">
        <v>643</v>
      </c>
      <c r="P1346">
        <v>50</v>
      </c>
      <c r="Q1346">
        <f>QtyRemaining*EstMfgMin/60</f>
        <v>10</v>
      </c>
      <c r="U1346" t="e">
        <f t="shared" si="42"/>
        <v>#REF!</v>
      </c>
      <c r="V1346" s="5" t="e">
        <f t="shared" si="43"/>
        <v>#REF!</v>
      </c>
    </row>
    <row r="1347" spans="1:22" x14ac:dyDescent="0.25">
      <c r="A1347" s="2">
        <v>46128</v>
      </c>
      <c r="B1347" s="2">
        <v>45656</v>
      </c>
      <c r="C1347" t="s">
        <v>478</v>
      </c>
      <c r="D1347">
        <v>16</v>
      </c>
      <c r="E1347" t="s">
        <v>2555</v>
      </c>
      <c r="F1347" t="s">
        <v>261</v>
      </c>
      <c r="G1347" t="s">
        <v>1021</v>
      </c>
      <c r="H1347" t="s">
        <v>2556</v>
      </c>
      <c r="I1347" t="s">
        <v>83</v>
      </c>
      <c r="J1347" s="3" t="s">
        <v>1239</v>
      </c>
      <c r="K1347" t="s">
        <v>1240</v>
      </c>
      <c r="L1347" s="4">
        <v>12</v>
      </c>
      <c r="M1347" s="4">
        <v>0</v>
      </c>
      <c r="N1347">
        <v>12</v>
      </c>
      <c r="O1347" t="s">
        <v>643</v>
      </c>
      <c r="P1347">
        <v>191</v>
      </c>
      <c r="Q1347">
        <f>QtyRemaining*EstMfgMin/60</f>
        <v>38.200000000000003</v>
      </c>
      <c r="U1347" t="e">
        <f t="shared" ref="U1347:U1410" si="44">VLOOKUP(A1347,Calendar,13,FALSE)</f>
        <v>#REF!</v>
      </c>
      <c r="V1347" s="5" t="e">
        <f t="shared" ref="V1347:V1410" si="45">VLOOKUP(A1347,Calendar,14,FALSE)</f>
        <v>#REF!</v>
      </c>
    </row>
    <row r="1348" spans="1:22" x14ac:dyDescent="0.25">
      <c r="A1348" s="2">
        <v>46128</v>
      </c>
      <c r="B1348" s="2">
        <v>45840</v>
      </c>
      <c r="C1348" t="s">
        <v>523</v>
      </c>
      <c r="D1348">
        <v>16</v>
      </c>
      <c r="E1348" t="s">
        <v>1241</v>
      </c>
      <c r="F1348" t="s">
        <v>261</v>
      </c>
      <c r="G1348" t="s">
        <v>1242</v>
      </c>
      <c r="H1348" t="s">
        <v>1243</v>
      </c>
      <c r="I1348" t="s">
        <v>83</v>
      </c>
      <c r="J1348" s="3" t="s">
        <v>1244</v>
      </c>
      <c r="K1348" t="s">
        <v>1245</v>
      </c>
      <c r="L1348" s="4">
        <v>10</v>
      </c>
      <c r="M1348" s="4">
        <v>0</v>
      </c>
      <c r="N1348">
        <v>10</v>
      </c>
      <c r="O1348" t="s">
        <v>118</v>
      </c>
      <c r="P1348">
        <v>1050</v>
      </c>
      <c r="Q1348">
        <f>QtyRemaining*EstMfgMin/60</f>
        <v>175</v>
      </c>
      <c r="U1348" t="e">
        <f t="shared" si="44"/>
        <v>#REF!</v>
      </c>
      <c r="V1348" s="5" t="e">
        <f t="shared" si="45"/>
        <v>#REF!</v>
      </c>
    </row>
    <row r="1349" spans="1:22" x14ac:dyDescent="0.25">
      <c r="A1349" s="2">
        <v>46128</v>
      </c>
      <c r="B1349" s="2">
        <v>45994</v>
      </c>
      <c r="C1349" t="s">
        <v>465</v>
      </c>
      <c r="D1349">
        <v>16</v>
      </c>
      <c r="E1349" t="s">
        <v>2670</v>
      </c>
      <c r="F1349" t="s">
        <v>211</v>
      </c>
      <c r="G1349" t="s">
        <v>467</v>
      </c>
      <c r="H1349" t="s">
        <v>2671</v>
      </c>
      <c r="I1349" t="s">
        <v>214</v>
      </c>
      <c r="J1349" s="3" t="s">
        <v>2723</v>
      </c>
      <c r="K1349" t="s">
        <v>2724</v>
      </c>
      <c r="L1349" s="4">
        <v>2</v>
      </c>
      <c r="M1349" s="4">
        <v>0</v>
      </c>
      <c r="N1349">
        <v>2</v>
      </c>
      <c r="O1349" t="s">
        <v>86</v>
      </c>
      <c r="P1349">
        <v>30</v>
      </c>
      <c r="Q1349">
        <f>QtyRemaining*EstMfgMin/60</f>
        <v>1</v>
      </c>
      <c r="U1349" t="e">
        <f t="shared" si="44"/>
        <v>#REF!</v>
      </c>
      <c r="V1349" s="5" t="e">
        <f t="shared" si="45"/>
        <v>#REF!</v>
      </c>
    </row>
    <row r="1350" spans="1:22" x14ac:dyDescent="0.25">
      <c r="A1350" s="2">
        <v>46128</v>
      </c>
      <c r="B1350" s="2">
        <v>46010</v>
      </c>
      <c r="C1350" t="s">
        <v>2145</v>
      </c>
      <c r="D1350">
        <v>16</v>
      </c>
      <c r="E1350" t="s">
        <v>2978</v>
      </c>
      <c r="F1350" t="s">
        <v>261</v>
      </c>
      <c r="G1350" t="s">
        <v>2147</v>
      </c>
      <c r="H1350" t="s">
        <v>2979</v>
      </c>
      <c r="I1350" t="s">
        <v>155</v>
      </c>
      <c r="J1350" s="3" t="s">
        <v>2980</v>
      </c>
      <c r="K1350" t="s">
        <v>2981</v>
      </c>
      <c r="L1350" s="4">
        <v>8</v>
      </c>
      <c r="M1350" s="4">
        <v>0</v>
      </c>
      <c r="N1350">
        <v>8</v>
      </c>
      <c r="O1350" t="s">
        <v>86</v>
      </c>
      <c r="P1350">
        <v>25</v>
      </c>
      <c r="Q1350">
        <f>QtyRemaining*EstMfgMin/60</f>
        <v>3.3333333333333335</v>
      </c>
      <c r="R1350" t="s">
        <v>2150</v>
      </c>
      <c r="U1350" t="e">
        <f t="shared" si="44"/>
        <v>#REF!</v>
      </c>
      <c r="V1350" s="5" t="e">
        <f t="shared" si="45"/>
        <v>#REF!</v>
      </c>
    </row>
    <row r="1351" spans="1:22" x14ac:dyDescent="0.25">
      <c r="A1351" s="2">
        <v>46128</v>
      </c>
      <c r="B1351" s="2">
        <v>46010</v>
      </c>
      <c r="C1351" t="s">
        <v>2145</v>
      </c>
      <c r="D1351">
        <v>16</v>
      </c>
      <c r="E1351" t="s">
        <v>2982</v>
      </c>
      <c r="F1351" t="s">
        <v>261</v>
      </c>
      <c r="G1351" t="s">
        <v>2147</v>
      </c>
      <c r="H1351" t="s">
        <v>2983</v>
      </c>
      <c r="I1351" t="s">
        <v>155</v>
      </c>
      <c r="J1351" s="3" t="s">
        <v>2984</v>
      </c>
      <c r="K1351" t="s">
        <v>2985</v>
      </c>
      <c r="L1351" s="4">
        <v>22</v>
      </c>
      <c r="M1351" s="4">
        <v>0</v>
      </c>
      <c r="N1351">
        <v>22</v>
      </c>
      <c r="O1351" t="s">
        <v>86</v>
      </c>
      <c r="P1351">
        <v>25</v>
      </c>
      <c r="Q1351">
        <f>QtyRemaining*EstMfgMin/60</f>
        <v>9.1666666666666661</v>
      </c>
      <c r="R1351" t="s">
        <v>2986</v>
      </c>
      <c r="U1351" t="e">
        <f t="shared" si="44"/>
        <v>#REF!</v>
      </c>
      <c r="V1351" s="5" t="e">
        <f t="shared" si="45"/>
        <v>#REF!</v>
      </c>
    </row>
    <row r="1352" spans="1:22" x14ac:dyDescent="0.25">
      <c r="A1352" s="2">
        <v>46128</v>
      </c>
      <c r="B1352" s="2">
        <v>46010</v>
      </c>
      <c r="C1352" t="s">
        <v>2145</v>
      </c>
      <c r="D1352">
        <v>16</v>
      </c>
      <c r="E1352" t="s">
        <v>2982</v>
      </c>
      <c r="F1352" t="s">
        <v>261</v>
      </c>
      <c r="G1352" t="s">
        <v>2147</v>
      </c>
      <c r="H1352" t="s">
        <v>2983</v>
      </c>
      <c r="I1352" t="s">
        <v>155</v>
      </c>
      <c r="J1352" s="3" t="s">
        <v>2987</v>
      </c>
      <c r="L1352" s="4">
        <v>1</v>
      </c>
      <c r="M1352" s="4">
        <v>0</v>
      </c>
      <c r="N1352">
        <v>1</v>
      </c>
      <c r="P1352">
        <v>0</v>
      </c>
      <c r="Q1352">
        <f>QtyRemaining*EstMfgMin/60</f>
        <v>0</v>
      </c>
      <c r="U1352" t="e">
        <f t="shared" si="44"/>
        <v>#REF!</v>
      </c>
      <c r="V1352" s="5" t="e">
        <f t="shared" si="45"/>
        <v>#REF!</v>
      </c>
    </row>
    <row r="1353" spans="1:22" x14ac:dyDescent="0.25">
      <c r="A1353" s="2">
        <v>46128</v>
      </c>
      <c r="B1353" s="2">
        <v>46038</v>
      </c>
      <c r="C1353" t="s">
        <v>1168</v>
      </c>
      <c r="D1353">
        <v>16</v>
      </c>
      <c r="E1353" t="s">
        <v>2988</v>
      </c>
      <c r="F1353" t="s">
        <v>283</v>
      </c>
      <c r="G1353" t="s">
        <v>1170</v>
      </c>
      <c r="H1353" t="s">
        <v>2989</v>
      </c>
      <c r="I1353" t="s">
        <v>224</v>
      </c>
      <c r="J1353" s="3" t="s">
        <v>2907</v>
      </c>
      <c r="K1353" t="s">
        <v>2908</v>
      </c>
      <c r="L1353" s="4">
        <v>20</v>
      </c>
      <c r="M1353" s="4">
        <v>0</v>
      </c>
      <c r="N1353">
        <v>20</v>
      </c>
      <c r="O1353" t="s">
        <v>702</v>
      </c>
      <c r="P1353">
        <v>90</v>
      </c>
      <c r="Q1353">
        <f>QtyRemaining*EstMfgMin/60</f>
        <v>30</v>
      </c>
      <c r="U1353" t="e">
        <f t="shared" si="44"/>
        <v>#REF!</v>
      </c>
      <c r="V1353" s="5" t="e">
        <f t="shared" si="45"/>
        <v>#REF!</v>
      </c>
    </row>
    <row r="1354" spans="1:22" x14ac:dyDescent="0.25">
      <c r="A1354" s="2">
        <v>46129</v>
      </c>
      <c r="B1354" s="2">
        <v>45575</v>
      </c>
      <c r="C1354" t="s">
        <v>633</v>
      </c>
      <c r="D1354">
        <v>16</v>
      </c>
      <c r="E1354" t="s">
        <v>2990</v>
      </c>
      <c r="F1354" t="s">
        <v>211</v>
      </c>
      <c r="G1354" t="s">
        <v>262</v>
      </c>
      <c r="H1354" t="s">
        <v>2991</v>
      </c>
      <c r="I1354" t="s">
        <v>83</v>
      </c>
      <c r="J1354" s="3" t="s">
        <v>1845</v>
      </c>
      <c r="K1354" t="s">
        <v>1846</v>
      </c>
      <c r="L1354" s="4">
        <v>21</v>
      </c>
      <c r="M1354" s="4">
        <v>0</v>
      </c>
      <c r="N1354">
        <v>21</v>
      </c>
      <c r="O1354" t="s">
        <v>176</v>
      </c>
      <c r="P1354">
        <v>66</v>
      </c>
      <c r="Q1354">
        <f>QtyRemaining*EstMfgMin/60</f>
        <v>23.1</v>
      </c>
      <c r="S1354" t="s">
        <v>499</v>
      </c>
      <c r="U1354" t="e">
        <f t="shared" si="44"/>
        <v>#REF!</v>
      </c>
      <c r="V1354" s="5" t="e">
        <f t="shared" si="45"/>
        <v>#REF!</v>
      </c>
    </row>
    <row r="1355" spans="1:22" x14ac:dyDescent="0.25">
      <c r="A1355" s="2">
        <v>46129</v>
      </c>
      <c r="B1355" s="2">
        <v>46001</v>
      </c>
      <c r="C1355" t="s">
        <v>650</v>
      </c>
      <c r="D1355">
        <v>16</v>
      </c>
      <c r="E1355" t="s">
        <v>2992</v>
      </c>
      <c r="F1355" t="s">
        <v>283</v>
      </c>
      <c r="G1355" t="s">
        <v>652</v>
      </c>
      <c r="H1355" t="s">
        <v>2993</v>
      </c>
      <c r="I1355" t="s">
        <v>1087</v>
      </c>
      <c r="J1355" s="3" t="s">
        <v>2553</v>
      </c>
      <c r="K1355" t="s">
        <v>2554</v>
      </c>
      <c r="L1355" s="4">
        <v>10</v>
      </c>
      <c r="M1355" s="4">
        <v>0</v>
      </c>
      <c r="N1355">
        <v>10</v>
      </c>
      <c r="O1355" t="s">
        <v>2210</v>
      </c>
      <c r="P1355">
        <v>100</v>
      </c>
      <c r="Q1355">
        <f>QtyRemaining*EstMfgMin/60</f>
        <v>16.666666666666668</v>
      </c>
      <c r="R1355" t="s">
        <v>1062</v>
      </c>
      <c r="U1355" t="e">
        <f t="shared" si="44"/>
        <v>#REF!</v>
      </c>
      <c r="V1355" s="5" t="e">
        <f t="shared" si="45"/>
        <v>#REF!</v>
      </c>
    </row>
    <row r="1356" spans="1:22" x14ac:dyDescent="0.25">
      <c r="A1356" s="2">
        <v>46129</v>
      </c>
      <c r="B1356" s="2">
        <v>46045</v>
      </c>
      <c r="C1356" t="s">
        <v>465</v>
      </c>
      <c r="D1356">
        <v>16</v>
      </c>
      <c r="E1356" t="s">
        <v>2161</v>
      </c>
      <c r="F1356" t="s">
        <v>211</v>
      </c>
      <c r="G1356" t="s">
        <v>467</v>
      </c>
      <c r="H1356" t="s">
        <v>2162</v>
      </c>
      <c r="I1356" t="s">
        <v>214</v>
      </c>
      <c r="J1356" s="3" t="s">
        <v>2974</v>
      </c>
      <c r="K1356" t="s">
        <v>2975</v>
      </c>
      <c r="L1356" s="4">
        <v>2</v>
      </c>
      <c r="M1356" s="4">
        <v>0</v>
      </c>
      <c r="N1356">
        <v>2</v>
      </c>
      <c r="O1356" t="s">
        <v>176</v>
      </c>
      <c r="P1356">
        <v>24</v>
      </c>
      <c r="Q1356">
        <f>QtyRemaining*EstMfgMin/60</f>
        <v>0.8</v>
      </c>
      <c r="U1356" t="e">
        <f t="shared" si="44"/>
        <v>#REF!</v>
      </c>
      <c r="V1356" s="5" t="e">
        <f t="shared" si="45"/>
        <v>#REF!</v>
      </c>
    </row>
    <row r="1357" spans="1:22" x14ac:dyDescent="0.25">
      <c r="A1357" s="2">
        <v>46129</v>
      </c>
      <c r="B1357" s="2">
        <v>46045</v>
      </c>
      <c r="C1357" t="s">
        <v>465</v>
      </c>
      <c r="D1357">
        <v>16</v>
      </c>
      <c r="E1357" t="s">
        <v>2161</v>
      </c>
      <c r="F1357" t="s">
        <v>211</v>
      </c>
      <c r="G1357" t="s">
        <v>467</v>
      </c>
      <c r="H1357" t="s">
        <v>2162</v>
      </c>
      <c r="I1357" t="s">
        <v>214</v>
      </c>
      <c r="J1357" s="3" t="s">
        <v>875</v>
      </c>
      <c r="K1357" t="s">
        <v>2994</v>
      </c>
      <c r="L1357" s="4">
        <v>1</v>
      </c>
      <c r="M1357" s="4">
        <v>0</v>
      </c>
      <c r="N1357">
        <v>1</v>
      </c>
      <c r="P1357">
        <v>0</v>
      </c>
      <c r="Q1357">
        <f>QtyRemaining*EstMfgMin/60</f>
        <v>0</v>
      </c>
      <c r="U1357" t="e">
        <f t="shared" si="44"/>
        <v>#REF!</v>
      </c>
      <c r="V1357" s="5" t="e">
        <f t="shared" si="45"/>
        <v>#REF!</v>
      </c>
    </row>
    <row r="1358" spans="1:22" x14ac:dyDescent="0.25">
      <c r="A1358" s="2">
        <v>46129</v>
      </c>
      <c r="B1358" s="2">
        <v>46051</v>
      </c>
      <c r="C1358" t="s">
        <v>1168</v>
      </c>
      <c r="D1358">
        <v>16</v>
      </c>
      <c r="E1358" t="s">
        <v>2995</v>
      </c>
      <c r="F1358" t="s">
        <v>283</v>
      </c>
      <c r="G1358" t="s">
        <v>1170</v>
      </c>
      <c r="H1358" t="s">
        <v>2996</v>
      </c>
      <c r="I1358" t="s">
        <v>224</v>
      </c>
      <c r="J1358" s="3" t="s">
        <v>2310</v>
      </c>
      <c r="K1358" t="s">
        <v>2881</v>
      </c>
      <c r="L1358" s="4">
        <v>3</v>
      </c>
      <c r="M1358" s="4">
        <v>0</v>
      </c>
      <c r="N1358">
        <v>3</v>
      </c>
      <c r="O1358" t="s">
        <v>2312</v>
      </c>
      <c r="P1358">
        <v>90</v>
      </c>
      <c r="Q1358">
        <f>QtyRemaining*EstMfgMin/60</f>
        <v>4.5</v>
      </c>
      <c r="U1358" t="e">
        <f t="shared" si="44"/>
        <v>#REF!</v>
      </c>
      <c r="V1358" s="5" t="e">
        <f t="shared" si="45"/>
        <v>#REF!</v>
      </c>
    </row>
    <row r="1359" spans="1:22" x14ac:dyDescent="0.25">
      <c r="A1359" s="2">
        <v>46132</v>
      </c>
      <c r="B1359" s="2">
        <v>45933</v>
      </c>
      <c r="C1359" t="s">
        <v>523</v>
      </c>
      <c r="D1359">
        <v>17</v>
      </c>
      <c r="E1359" t="s">
        <v>1998</v>
      </c>
      <c r="F1359" t="s">
        <v>211</v>
      </c>
      <c r="G1359" t="s">
        <v>1999</v>
      </c>
      <c r="H1359" t="s">
        <v>2000</v>
      </c>
      <c r="I1359" t="s">
        <v>83</v>
      </c>
      <c r="J1359" s="3" t="s">
        <v>2001</v>
      </c>
      <c r="K1359" t="s">
        <v>2002</v>
      </c>
      <c r="L1359" s="4">
        <v>4</v>
      </c>
      <c r="M1359" s="4">
        <v>0</v>
      </c>
      <c r="N1359">
        <v>4</v>
      </c>
      <c r="O1359" t="s">
        <v>94</v>
      </c>
      <c r="P1359">
        <v>600</v>
      </c>
      <c r="Q1359">
        <f>QtyRemaining*EstMfgMin/60</f>
        <v>40</v>
      </c>
      <c r="U1359" t="e">
        <f t="shared" si="44"/>
        <v>#REF!</v>
      </c>
      <c r="V1359" s="5" t="e">
        <f t="shared" si="45"/>
        <v>#REF!</v>
      </c>
    </row>
    <row r="1360" spans="1:22" x14ac:dyDescent="0.25">
      <c r="A1360" s="2">
        <v>46132</v>
      </c>
      <c r="B1360" s="2">
        <v>45933</v>
      </c>
      <c r="C1360" t="s">
        <v>523</v>
      </c>
      <c r="D1360">
        <v>17</v>
      </c>
      <c r="E1360" t="s">
        <v>1998</v>
      </c>
      <c r="F1360" t="s">
        <v>211</v>
      </c>
      <c r="G1360" t="s">
        <v>1999</v>
      </c>
      <c r="H1360" t="s">
        <v>2000</v>
      </c>
      <c r="I1360" t="s">
        <v>83</v>
      </c>
      <c r="J1360" s="3" t="s">
        <v>2003</v>
      </c>
      <c r="K1360" t="s">
        <v>2004</v>
      </c>
      <c r="L1360" s="4">
        <v>4</v>
      </c>
      <c r="M1360" s="4">
        <v>0</v>
      </c>
      <c r="N1360">
        <v>4</v>
      </c>
      <c r="O1360" t="s">
        <v>457</v>
      </c>
      <c r="P1360">
        <v>240</v>
      </c>
      <c r="Q1360">
        <f>QtyRemaining*EstMfgMin/60</f>
        <v>16</v>
      </c>
      <c r="U1360" t="e">
        <f t="shared" si="44"/>
        <v>#REF!</v>
      </c>
      <c r="V1360" s="5" t="e">
        <f t="shared" si="45"/>
        <v>#REF!</v>
      </c>
    </row>
    <row r="1361" spans="1:22" x14ac:dyDescent="0.25">
      <c r="A1361" s="2">
        <v>46132</v>
      </c>
      <c r="B1361" s="2">
        <v>45933</v>
      </c>
      <c r="C1361" t="s">
        <v>523</v>
      </c>
      <c r="D1361">
        <v>17</v>
      </c>
      <c r="E1361" t="s">
        <v>1998</v>
      </c>
      <c r="F1361" t="s">
        <v>211</v>
      </c>
      <c r="G1361" t="s">
        <v>1999</v>
      </c>
      <c r="H1361" t="s">
        <v>2000</v>
      </c>
      <c r="I1361" t="s">
        <v>83</v>
      </c>
      <c r="J1361" s="3" t="s">
        <v>2005</v>
      </c>
      <c r="K1361" t="s">
        <v>2006</v>
      </c>
      <c r="L1361" s="4">
        <v>4</v>
      </c>
      <c r="M1361" s="4">
        <v>0</v>
      </c>
      <c r="N1361">
        <v>4</v>
      </c>
      <c r="O1361" t="s">
        <v>457</v>
      </c>
      <c r="P1361">
        <v>240</v>
      </c>
      <c r="Q1361">
        <f>QtyRemaining*EstMfgMin/60</f>
        <v>16</v>
      </c>
      <c r="U1361" t="e">
        <f t="shared" si="44"/>
        <v>#REF!</v>
      </c>
      <c r="V1361" s="5" t="e">
        <f t="shared" si="45"/>
        <v>#REF!</v>
      </c>
    </row>
    <row r="1362" spans="1:22" x14ac:dyDescent="0.25">
      <c r="A1362" s="2">
        <v>46132</v>
      </c>
      <c r="B1362" s="2">
        <v>45975</v>
      </c>
      <c r="C1362" t="s">
        <v>485</v>
      </c>
      <c r="D1362">
        <v>17</v>
      </c>
      <c r="E1362" t="s">
        <v>2997</v>
      </c>
      <c r="F1362" t="s">
        <v>211</v>
      </c>
      <c r="G1362" t="s">
        <v>864</v>
      </c>
      <c r="H1362" t="s">
        <v>2998</v>
      </c>
      <c r="I1362" t="s">
        <v>214</v>
      </c>
      <c r="J1362" s="3" t="s">
        <v>2999</v>
      </c>
      <c r="K1362" t="s">
        <v>3000</v>
      </c>
      <c r="L1362" s="4">
        <v>25</v>
      </c>
      <c r="M1362" s="4">
        <v>0</v>
      </c>
      <c r="N1362">
        <v>25</v>
      </c>
      <c r="O1362" t="s">
        <v>514</v>
      </c>
      <c r="P1362">
        <v>7</v>
      </c>
      <c r="Q1362">
        <f>QtyRemaining*EstMfgMin/60</f>
        <v>2.9166666666666665</v>
      </c>
      <c r="U1362" t="e">
        <f t="shared" si="44"/>
        <v>#REF!</v>
      </c>
      <c r="V1362" s="5" t="e">
        <f t="shared" si="45"/>
        <v>#REF!</v>
      </c>
    </row>
    <row r="1363" spans="1:22" x14ac:dyDescent="0.25">
      <c r="A1363" s="2">
        <v>46133</v>
      </c>
      <c r="B1363" s="2">
        <v>45940</v>
      </c>
      <c r="C1363" t="s">
        <v>232</v>
      </c>
      <c r="D1363">
        <v>17</v>
      </c>
      <c r="E1363" t="s">
        <v>2666</v>
      </c>
      <c r="F1363" t="s">
        <v>211</v>
      </c>
      <c r="G1363" t="s">
        <v>1184</v>
      </c>
      <c r="H1363" t="s">
        <v>2667</v>
      </c>
      <c r="I1363" t="s">
        <v>83</v>
      </c>
      <c r="J1363" s="3" t="s">
        <v>1564</v>
      </c>
      <c r="K1363" t="s">
        <v>1565</v>
      </c>
      <c r="L1363" s="4">
        <v>1</v>
      </c>
      <c r="M1363" s="4">
        <v>0</v>
      </c>
      <c r="N1363">
        <v>1</v>
      </c>
      <c r="O1363" t="s">
        <v>1566</v>
      </c>
      <c r="P1363">
        <v>92</v>
      </c>
      <c r="Q1363">
        <f>QtyRemaining*EstMfgMin/60</f>
        <v>1.5333333333333334</v>
      </c>
      <c r="U1363" t="e">
        <f t="shared" si="44"/>
        <v>#REF!</v>
      </c>
      <c r="V1363" s="5" t="e">
        <f t="shared" si="45"/>
        <v>#REF!</v>
      </c>
    </row>
    <row r="1364" spans="1:22" x14ac:dyDescent="0.25">
      <c r="A1364" s="2">
        <v>46134</v>
      </c>
      <c r="B1364" s="2">
        <v>45586</v>
      </c>
      <c r="C1364" t="s">
        <v>478</v>
      </c>
      <c r="D1364">
        <v>17</v>
      </c>
      <c r="E1364" t="s">
        <v>2022</v>
      </c>
      <c r="F1364" t="s">
        <v>261</v>
      </c>
      <c r="G1364" t="s">
        <v>2023</v>
      </c>
      <c r="H1364" t="s">
        <v>2024</v>
      </c>
      <c r="I1364" t="s">
        <v>155</v>
      </c>
      <c r="J1364" s="3" t="s">
        <v>2025</v>
      </c>
      <c r="K1364" t="s">
        <v>2026</v>
      </c>
      <c r="L1364" s="4">
        <v>30</v>
      </c>
      <c r="M1364" s="4">
        <v>0</v>
      </c>
      <c r="N1364">
        <v>30</v>
      </c>
      <c r="O1364" t="s">
        <v>94</v>
      </c>
      <c r="P1364">
        <v>60</v>
      </c>
      <c r="Q1364">
        <f>QtyRemaining*EstMfgMin/60</f>
        <v>30</v>
      </c>
      <c r="R1364" t="s">
        <v>1062</v>
      </c>
      <c r="U1364" t="e">
        <f t="shared" si="44"/>
        <v>#REF!</v>
      </c>
      <c r="V1364" s="5" t="e">
        <f t="shared" si="45"/>
        <v>#REF!</v>
      </c>
    </row>
    <row r="1365" spans="1:22" x14ac:dyDescent="0.25">
      <c r="A1365" s="2">
        <v>46135</v>
      </c>
      <c r="B1365" s="2">
        <v>46043</v>
      </c>
      <c r="C1365" t="s">
        <v>465</v>
      </c>
      <c r="D1365">
        <v>17</v>
      </c>
      <c r="E1365" t="s">
        <v>1249</v>
      </c>
      <c r="F1365" t="s">
        <v>211</v>
      </c>
      <c r="G1365" t="s">
        <v>467</v>
      </c>
      <c r="H1365" t="s">
        <v>1250</v>
      </c>
      <c r="I1365" t="s">
        <v>214</v>
      </c>
      <c r="J1365" s="3" t="s">
        <v>3001</v>
      </c>
      <c r="K1365" t="s">
        <v>3002</v>
      </c>
      <c r="L1365" s="4">
        <v>3</v>
      </c>
      <c r="M1365" s="4">
        <v>0</v>
      </c>
      <c r="N1365">
        <v>3</v>
      </c>
      <c r="O1365" t="s">
        <v>86</v>
      </c>
      <c r="P1365">
        <v>27</v>
      </c>
      <c r="Q1365">
        <f>QtyRemaining*EstMfgMin/60</f>
        <v>1.35</v>
      </c>
      <c r="U1365" t="e">
        <f t="shared" si="44"/>
        <v>#REF!</v>
      </c>
      <c r="V1365" s="5" t="e">
        <f t="shared" si="45"/>
        <v>#REF!</v>
      </c>
    </row>
    <row r="1366" spans="1:22" x14ac:dyDescent="0.25">
      <c r="A1366" s="2">
        <v>46135</v>
      </c>
      <c r="B1366" s="2">
        <v>46043</v>
      </c>
      <c r="C1366" t="s">
        <v>465</v>
      </c>
      <c r="D1366">
        <v>17</v>
      </c>
      <c r="E1366" t="s">
        <v>1249</v>
      </c>
      <c r="F1366" t="s">
        <v>211</v>
      </c>
      <c r="G1366" t="s">
        <v>467</v>
      </c>
      <c r="H1366" t="s">
        <v>1250</v>
      </c>
      <c r="I1366" t="s">
        <v>214</v>
      </c>
      <c r="J1366" s="3" t="s">
        <v>3003</v>
      </c>
      <c r="K1366" t="s">
        <v>3004</v>
      </c>
      <c r="L1366" s="4">
        <v>2</v>
      </c>
      <c r="M1366" s="4">
        <v>0</v>
      </c>
      <c r="N1366">
        <v>2</v>
      </c>
      <c r="O1366" t="s">
        <v>86</v>
      </c>
      <c r="P1366">
        <v>38</v>
      </c>
      <c r="Q1366">
        <f>QtyRemaining*EstMfgMin/60</f>
        <v>1.2666666666666666</v>
      </c>
      <c r="U1366" t="e">
        <f t="shared" si="44"/>
        <v>#REF!</v>
      </c>
      <c r="V1366" s="5" t="e">
        <f t="shared" si="45"/>
        <v>#REF!</v>
      </c>
    </row>
    <row r="1367" spans="1:22" x14ac:dyDescent="0.25">
      <c r="A1367" s="2">
        <v>46135</v>
      </c>
      <c r="B1367" s="2">
        <v>46044</v>
      </c>
      <c r="C1367" t="s">
        <v>1168</v>
      </c>
      <c r="D1367">
        <v>17</v>
      </c>
      <c r="E1367" t="s">
        <v>3005</v>
      </c>
      <c r="F1367" t="s">
        <v>283</v>
      </c>
      <c r="G1367" t="s">
        <v>1170</v>
      </c>
      <c r="H1367" t="s">
        <v>3006</v>
      </c>
      <c r="I1367" t="s">
        <v>1172</v>
      </c>
      <c r="J1367" s="3" t="s">
        <v>1939</v>
      </c>
      <c r="K1367" t="s">
        <v>1633</v>
      </c>
      <c r="L1367" s="4">
        <v>525</v>
      </c>
      <c r="M1367" s="4">
        <v>0</v>
      </c>
      <c r="N1367">
        <v>525</v>
      </c>
      <c r="O1367" t="s">
        <v>176</v>
      </c>
      <c r="P1367">
        <v>6</v>
      </c>
      <c r="Q1367">
        <f>QtyRemaining*EstMfgMin/60</f>
        <v>52.5</v>
      </c>
      <c r="U1367" t="e">
        <f t="shared" si="44"/>
        <v>#REF!</v>
      </c>
      <c r="V1367" s="5" t="e">
        <f t="shared" si="45"/>
        <v>#REF!</v>
      </c>
    </row>
    <row r="1368" spans="1:22" x14ac:dyDescent="0.25">
      <c r="A1368" s="2">
        <v>46135</v>
      </c>
      <c r="B1368" s="2">
        <v>46045</v>
      </c>
      <c r="C1368" t="s">
        <v>1168</v>
      </c>
      <c r="D1368">
        <v>17</v>
      </c>
      <c r="E1368" t="s">
        <v>3007</v>
      </c>
      <c r="F1368" t="s">
        <v>283</v>
      </c>
      <c r="G1368" t="s">
        <v>1170</v>
      </c>
      <c r="H1368" t="s">
        <v>3008</v>
      </c>
      <c r="I1368" t="s">
        <v>224</v>
      </c>
      <c r="J1368" s="3" t="s">
        <v>3009</v>
      </c>
      <c r="K1368" t="s">
        <v>3010</v>
      </c>
      <c r="L1368" s="4">
        <v>20</v>
      </c>
      <c r="M1368" s="4">
        <v>0</v>
      </c>
      <c r="N1368">
        <v>20</v>
      </c>
      <c r="O1368" t="s">
        <v>94</v>
      </c>
      <c r="P1368">
        <v>60</v>
      </c>
      <c r="Q1368">
        <f>QtyRemaining*EstMfgMin/60</f>
        <v>20</v>
      </c>
      <c r="U1368" t="e">
        <f t="shared" si="44"/>
        <v>#REF!</v>
      </c>
      <c r="V1368" s="5" t="e">
        <f t="shared" si="45"/>
        <v>#REF!</v>
      </c>
    </row>
    <row r="1369" spans="1:22" x14ac:dyDescent="0.25">
      <c r="A1369" s="2">
        <v>46135</v>
      </c>
      <c r="B1369" s="2">
        <v>46045</v>
      </c>
      <c r="C1369" t="s">
        <v>1168</v>
      </c>
      <c r="D1369">
        <v>17</v>
      </c>
      <c r="E1369" t="s">
        <v>3011</v>
      </c>
      <c r="F1369" t="s">
        <v>283</v>
      </c>
      <c r="G1369" t="s">
        <v>1170</v>
      </c>
      <c r="H1369" t="s">
        <v>3012</v>
      </c>
      <c r="I1369" t="s">
        <v>224</v>
      </c>
      <c r="J1369" s="3" t="s">
        <v>3009</v>
      </c>
      <c r="K1369" t="s">
        <v>3010</v>
      </c>
      <c r="L1369" s="4">
        <v>20</v>
      </c>
      <c r="M1369" s="4">
        <v>0</v>
      </c>
      <c r="N1369">
        <v>20</v>
      </c>
      <c r="O1369" t="s">
        <v>94</v>
      </c>
      <c r="P1369">
        <v>60</v>
      </c>
      <c r="Q1369">
        <f>QtyRemaining*EstMfgMin/60</f>
        <v>20</v>
      </c>
      <c r="U1369" t="e">
        <f t="shared" si="44"/>
        <v>#REF!</v>
      </c>
      <c r="V1369" s="5" t="e">
        <f t="shared" si="45"/>
        <v>#REF!</v>
      </c>
    </row>
    <row r="1370" spans="1:22" x14ac:dyDescent="0.25">
      <c r="A1370" s="2">
        <v>46136</v>
      </c>
      <c r="B1370" s="2">
        <v>45741</v>
      </c>
      <c r="C1370" t="s">
        <v>550</v>
      </c>
      <c r="D1370">
        <v>17</v>
      </c>
      <c r="E1370" t="s">
        <v>551</v>
      </c>
      <c r="F1370" t="s">
        <v>261</v>
      </c>
      <c r="G1370" t="s">
        <v>552</v>
      </c>
      <c r="H1370" t="s">
        <v>553</v>
      </c>
      <c r="I1370" t="s">
        <v>45</v>
      </c>
      <c r="J1370" s="3" t="s">
        <v>554</v>
      </c>
      <c r="K1370" t="s">
        <v>555</v>
      </c>
      <c r="L1370" s="4">
        <v>3</v>
      </c>
      <c r="M1370" s="4">
        <v>2</v>
      </c>
      <c r="N1370">
        <v>1</v>
      </c>
      <c r="P1370">
        <v>0</v>
      </c>
      <c r="Q1370">
        <f>QtyRemaining*EstMfgMin/60</f>
        <v>0</v>
      </c>
      <c r="U1370" t="e">
        <f t="shared" si="44"/>
        <v>#REF!</v>
      </c>
      <c r="V1370" s="5" t="e">
        <f t="shared" si="45"/>
        <v>#REF!</v>
      </c>
    </row>
    <row r="1371" spans="1:22" x14ac:dyDescent="0.25">
      <c r="A1371" s="2">
        <v>46136</v>
      </c>
      <c r="B1371" s="2">
        <v>45880</v>
      </c>
      <c r="C1371" t="s">
        <v>633</v>
      </c>
      <c r="D1371">
        <v>17</v>
      </c>
      <c r="E1371" t="s">
        <v>3013</v>
      </c>
      <c r="F1371" t="s">
        <v>261</v>
      </c>
      <c r="G1371" t="s">
        <v>262</v>
      </c>
      <c r="H1371" t="s">
        <v>3014</v>
      </c>
      <c r="I1371" t="s">
        <v>83</v>
      </c>
      <c r="J1371" s="3" t="s">
        <v>3015</v>
      </c>
      <c r="K1371" t="s">
        <v>131</v>
      </c>
      <c r="L1371" s="4">
        <v>114</v>
      </c>
      <c r="M1371" s="4">
        <v>0</v>
      </c>
      <c r="N1371">
        <v>114</v>
      </c>
      <c r="O1371" t="s">
        <v>146</v>
      </c>
      <c r="P1371">
        <v>0</v>
      </c>
      <c r="Q1371">
        <f>QtyRemaining*EstMfgMin/60</f>
        <v>0</v>
      </c>
      <c r="R1371" t="s">
        <v>3016</v>
      </c>
      <c r="U1371" t="e">
        <f t="shared" si="44"/>
        <v>#REF!</v>
      </c>
      <c r="V1371" s="5" t="e">
        <f t="shared" si="45"/>
        <v>#REF!</v>
      </c>
    </row>
    <row r="1372" spans="1:22" x14ac:dyDescent="0.25">
      <c r="A1372" s="2">
        <v>46136</v>
      </c>
      <c r="B1372" s="2">
        <v>45961</v>
      </c>
      <c r="C1372" t="s">
        <v>1168</v>
      </c>
      <c r="D1372">
        <v>17</v>
      </c>
      <c r="E1372" t="s">
        <v>3017</v>
      </c>
      <c r="F1372" t="s">
        <v>283</v>
      </c>
      <c r="G1372" t="s">
        <v>1170</v>
      </c>
      <c r="H1372" t="s">
        <v>3018</v>
      </c>
      <c r="I1372" t="s">
        <v>224</v>
      </c>
      <c r="J1372" s="3" t="s">
        <v>3019</v>
      </c>
      <c r="K1372" t="s">
        <v>3020</v>
      </c>
      <c r="L1372" s="4">
        <v>225</v>
      </c>
      <c r="M1372" s="4">
        <v>0</v>
      </c>
      <c r="N1372">
        <v>225</v>
      </c>
      <c r="O1372" t="s">
        <v>94</v>
      </c>
      <c r="P1372">
        <v>60</v>
      </c>
      <c r="Q1372">
        <f>QtyRemaining*EstMfgMin/60</f>
        <v>225</v>
      </c>
      <c r="U1372" t="e">
        <f t="shared" si="44"/>
        <v>#REF!</v>
      </c>
      <c r="V1372" s="5" t="e">
        <f t="shared" si="45"/>
        <v>#REF!</v>
      </c>
    </row>
    <row r="1373" spans="1:22" x14ac:dyDescent="0.25">
      <c r="A1373" s="2">
        <v>46136</v>
      </c>
      <c r="B1373" s="2">
        <v>45964</v>
      </c>
      <c r="C1373" t="s">
        <v>1168</v>
      </c>
      <c r="D1373">
        <v>17</v>
      </c>
      <c r="E1373" t="s">
        <v>3021</v>
      </c>
      <c r="F1373" t="s">
        <v>283</v>
      </c>
      <c r="G1373" t="s">
        <v>1170</v>
      </c>
      <c r="H1373" t="s">
        <v>3022</v>
      </c>
      <c r="I1373" t="s">
        <v>224</v>
      </c>
      <c r="J1373" s="3" t="s">
        <v>3023</v>
      </c>
      <c r="K1373" t="s">
        <v>3024</v>
      </c>
      <c r="L1373" s="4">
        <v>40</v>
      </c>
      <c r="M1373" s="4">
        <v>0</v>
      </c>
      <c r="N1373">
        <v>40</v>
      </c>
      <c r="O1373" t="s">
        <v>94</v>
      </c>
      <c r="P1373">
        <v>60</v>
      </c>
      <c r="Q1373">
        <f>QtyRemaining*EstMfgMin/60</f>
        <v>40</v>
      </c>
      <c r="U1373" t="e">
        <f t="shared" si="44"/>
        <v>#REF!</v>
      </c>
      <c r="V1373" s="5" t="e">
        <f t="shared" si="45"/>
        <v>#REF!</v>
      </c>
    </row>
    <row r="1374" spans="1:22" x14ac:dyDescent="0.25">
      <c r="A1374" s="2">
        <v>46136</v>
      </c>
      <c r="B1374" s="2">
        <v>45993</v>
      </c>
      <c r="C1374" t="s">
        <v>570</v>
      </c>
      <c r="D1374">
        <v>17</v>
      </c>
      <c r="E1374" t="s">
        <v>3025</v>
      </c>
      <c r="F1374" t="s">
        <v>261</v>
      </c>
      <c r="G1374" t="s">
        <v>1455</v>
      </c>
      <c r="H1374" t="s">
        <v>3026</v>
      </c>
      <c r="I1374" t="s">
        <v>83</v>
      </c>
      <c r="J1374" s="3" t="s">
        <v>1503</v>
      </c>
      <c r="K1374" t="s">
        <v>952</v>
      </c>
      <c r="L1374" s="4">
        <v>10</v>
      </c>
      <c r="M1374" s="4">
        <v>0</v>
      </c>
      <c r="N1374">
        <v>10</v>
      </c>
      <c r="O1374" t="s">
        <v>176</v>
      </c>
      <c r="P1374">
        <v>40</v>
      </c>
      <c r="Q1374">
        <f>QtyRemaining*EstMfgMin/60</f>
        <v>6.666666666666667</v>
      </c>
      <c r="U1374" t="e">
        <f t="shared" si="44"/>
        <v>#REF!</v>
      </c>
      <c r="V1374" s="5" t="e">
        <f t="shared" si="45"/>
        <v>#REF!</v>
      </c>
    </row>
    <row r="1375" spans="1:22" x14ac:dyDescent="0.25">
      <c r="A1375" s="2">
        <v>46139</v>
      </c>
      <c r="B1375" s="2">
        <v>45790</v>
      </c>
      <c r="C1375" t="s">
        <v>485</v>
      </c>
      <c r="D1375">
        <v>18</v>
      </c>
      <c r="E1375" t="s">
        <v>1388</v>
      </c>
      <c r="F1375" t="s">
        <v>211</v>
      </c>
      <c r="G1375" t="s">
        <v>864</v>
      </c>
      <c r="H1375" t="s">
        <v>1389</v>
      </c>
      <c r="I1375" t="s">
        <v>214</v>
      </c>
      <c r="J1375" s="3" t="s">
        <v>1416</v>
      </c>
      <c r="K1375" t="s">
        <v>1417</v>
      </c>
      <c r="L1375" s="4">
        <v>25</v>
      </c>
      <c r="M1375" s="4">
        <v>0</v>
      </c>
      <c r="N1375">
        <v>25</v>
      </c>
      <c r="O1375" t="s">
        <v>176</v>
      </c>
      <c r="P1375">
        <v>18</v>
      </c>
      <c r="Q1375">
        <f>QtyRemaining*EstMfgMin/60</f>
        <v>7.5</v>
      </c>
      <c r="U1375" t="e">
        <f t="shared" si="44"/>
        <v>#REF!</v>
      </c>
      <c r="V1375" s="5" t="e">
        <f t="shared" si="45"/>
        <v>#REF!</v>
      </c>
    </row>
    <row r="1376" spans="1:22" x14ac:dyDescent="0.25">
      <c r="A1376" s="2">
        <v>46139</v>
      </c>
      <c r="B1376" s="2">
        <v>45993</v>
      </c>
      <c r="C1376" t="s">
        <v>287</v>
      </c>
      <c r="D1376">
        <v>18</v>
      </c>
      <c r="E1376" t="s">
        <v>1875</v>
      </c>
      <c r="F1376" t="s">
        <v>211</v>
      </c>
      <c r="G1376" t="s">
        <v>289</v>
      </c>
      <c r="H1376" t="s">
        <v>1876</v>
      </c>
      <c r="I1376" t="s">
        <v>214</v>
      </c>
      <c r="J1376" s="3" t="s">
        <v>1877</v>
      </c>
      <c r="K1376" t="s">
        <v>1878</v>
      </c>
      <c r="L1376" s="4">
        <v>200</v>
      </c>
      <c r="M1376" s="4">
        <v>0</v>
      </c>
      <c r="N1376">
        <v>200</v>
      </c>
      <c r="O1376" t="s">
        <v>457</v>
      </c>
      <c r="P1376">
        <v>9</v>
      </c>
      <c r="Q1376">
        <f>QtyRemaining*EstMfgMin/60</f>
        <v>30</v>
      </c>
      <c r="U1376" t="e">
        <f t="shared" si="44"/>
        <v>#REF!</v>
      </c>
      <c r="V1376" s="5" t="e">
        <f t="shared" si="45"/>
        <v>#REF!</v>
      </c>
    </row>
    <row r="1377" spans="1:22" x14ac:dyDescent="0.25">
      <c r="A1377" s="2">
        <v>46139</v>
      </c>
      <c r="B1377" s="2">
        <v>46027</v>
      </c>
      <c r="C1377" t="s">
        <v>287</v>
      </c>
      <c r="D1377">
        <v>18</v>
      </c>
      <c r="E1377" t="s">
        <v>2839</v>
      </c>
      <c r="F1377" t="s">
        <v>211</v>
      </c>
      <c r="G1377" t="s">
        <v>289</v>
      </c>
      <c r="H1377" t="s">
        <v>2840</v>
      </c>
      <c r="I1377" t="s">
        <v>214</v>
      </c>
      <c r="J1377" s="3" t="s">
        <v>2841</v>
      </c>
      <c r="K1377" t="s">
        <v>2842</v>
      </c>
      <c r="L1377" s="4">
        <v>275</v>
      </c>
      <c r="M1377" s="4">
        <v>0</v>
      </c>
      <c r="N1377">
        <v>275</v>
      </c>
      <c r="O1377" t="s">
        <v>146</v>
      </c>
      <c r="P1377">
        <v>5</v>
      </c>
      <c r="Q1377">
        <f>QtyRemaining*EstMfgMin/60</f>
        <v>22.916666666666668</v>
      </c>
      <c r="U1377" t="e">
        <f t="shared" si="44"/>
        <v>#REF!</v>
      </c>
      <c r="V1377" s="5" t="e">
        <f t="shared" si="45"/>
        <v>#REF!</v>
      </c>
    </row>
    <row r="1378" spans="1:22" x14ac:dyDescent="0.25">
      <c r="A1378" s="2">
        <v>46139</v>
      </c>
      <c r="B1378" s="2">
        <v>46045</v>
      </c>
      <c r="C1378" t="s">
        <v>485</v>
      </c>
      <c r="D1378">
        <v>18</v>
      </c>
      <c r="E1378" t="s">
        <v>2798</v>
      </c>
      <c r="F1378" t="s">
        <v>211</v>
      </c>
      <c r="G1378" t="s">
        <v>864</v>
      </c>
      <c r="H1378" t="s">
        <v>2799</v>
      </c>
      <c r="I1378" t="s">
        <v>214</v>
      </c>
      <c r="J1378" s="3" t="s">
        <v>1416</v>
      </c>
      <c r="K1378" t="s">
        <v>1417</v>
      </c>
      <c r="L1378" s="4">
        <v>125</v>
      </c>
      <c r="M1378" s="4">
        <v>0</v>
      </c>
      <c r="N1378">
        <v>125</v>
      </c>
      <c r="O1378" t="s">
        <v>176</v>
      </c>
      <c r="P1378">
        <v>18</v>
      </c>
      <c r="Q1378">
        <f>QtyRemaining*EstMfgMin/60</f>
        <v>37.5</v>
      </c>
      <c r="U1378" t="e">
        <f t="shared" si="44"/>
        <v>#REF!</v>
      </c>
      <c r="V1378" s="5" t="e">
        <f t="shared" si="45"/>
        <v>#REF!</v>
      </c>
    </row>
    <row r="1379" spans="1:22" x14ac:dyDescent="0.25">
      <c r="A1379" s="2">
        <v>46139</v>
      </c>
      <c r="B1379" s="2">
        <v>46045</v>
      </c>
      <c r="C1379" t="s">
        <v>485</v>
      </c>
      <c r="D1379">
        <v>18</v>
      </c>
      <c r="E1379" t="s">
        <v>2798</v>
      </c>
      <c r="F1379" t="s">
        <v>211</v>
      </c>
      <c r="G1379" t="s">
        <v>864</v>
      </c>
      <c r="H1379" t="s">
        <v>2799</v>
      </c>
      <c r="I1379" t="s">
        <v>214</v>
      </c>
      <c r="J1379" s="3" t="s">
        <v>2294</v>
      </c>
      <c r="K1379" t="s">
        <v>2518</v>
      </c>
      <c r="L1379" s="4">
        <v>20</v>
      </c>
      <c r="M1379" s="4">
        <v>0</v>
      </c>
      <c r="N1379">
        <v>20</v>
      </c>
      <c r="O1379" t="s">
        <v>868</v>
      </c>
      <c r="P1379">
        <v>13</v>
      </c>
      <c r="Q1379">
        <f>QtyRemaining*EstMfgMin/60</f>
        <v>4.333333333333333</v>
      </c>
      <c r="U1379" t="e">
        <f t="shared" si="44"/>
        <v>#REF!</v>
      </c>
      <c r="V1379" s="5" t="e">
        <f t="shared" si="45"/>
        <v>#REF!</v>
      </c>
    </row>
    <row r="1380" spans="1:22" x14ac:dyDescent="0.25">
      <c r="A1380" s="2">
        <v>46139</v>
      </c>
      <c r="B1380" s="2">
        <v>46045</v>
      </c>
      <c r="C1380" t="s">
        <v>485</v>
      </c>
      <c r="D1380">
        <v>18</v>
      </c>
      <c r="E1380" t="s">
        <v>2798</v>
      </c>
      <c r="F1380" t="s">
        <v>211</v>
      </c>
      <c r="G1380" t="s">
        <v>864</v>
      </c>
      <c r="H1380" t="s">
        <v>2799</v>
      </c>
      <c r="I1380" t="s">
        <v>214</v>
      </c>
      <c r="J1380" s="3" t="s">
        <v>3027</v>
      </c>
      <c r="K1380" t="s">
        <v>3028</v>
      </c>
      <c r="L1380" s="4">
        <v>100</v>
      </c>
      <c r="M1380" s="4">
        <v>0</v>
      </c>
      <c r="N1380">
        <v>100</v>
      </c>
      <c r="O1380" t="s">
        <v>1342</v>
      </c>
      <c r="P1380">
        <v>31</v>
      </c>
      <c r="Q1380">
        <f>QtyRemaining*EstMfgMin/60</f>
        <v>51.666666666666664</v>
      </c>
      <c r="U1380" t="e">
        <f t="shared" si="44"/>
        <v>#REF!</v>
      </c>
      <c r="V1380" s="5" t="e">
        <f t="shared" si="45"/>
        <v>#REF!</v>
      </c>
    </row>
    <row r="1381" spans="1:22" x14ac:dyDescent="0.25">
      <c r="A1381" s="2">
        <v>46139</v>
      </c>
      <c r="B1381" s="2">
        <v>46045</v>
      </c>
      <c r="C1381" t="s">
        <v>485</v>
      </c>
      <c r="D1381">
        <v>18</v>
      </c>
      <c r="E1381" t="s">
        <v>2800</v>
      </c>
      <c r="F1381" t="s">
        <v>211</v>
      </c>
      <c r="G1381" t="s">
        <v>864</v>
      </c>
      <c r="H1381" t="s">
        <v>2801</v>
      </c>
      <c r="I1381" t="s">
        <v>214</v>
      </c>
      <c r="J1381" s="3" t="s">
        <v>3029</v>
      </c>
      <c r="K1381" t="s">
        <v>3030</v>
      </c>
      <c r="L1381" s="4">
        <v>250</v>
      </c>
      <c r="M1381" s="4">
        <v>0</v>
      </c>
      <c r="N1381">
        <v>250</v>
      </c>
      <c r="O1381" t="s">
        <v>211</v>
      </c>
      <c r="P1381">
        <v>40</v>
      </c>
      <c r="Q1381">
        <f>QtyRemaining*EstMfgMin/60</f>
        <v>166.66666666666666</v>
      </c>
      <c r="U1381" t="e">
        <f t="shared" si="44"/>
        <v>#REF!</v>
      </c>
      <c r="V1381" s="5" t="e">
        <f t="shared" si="45"/>
        <v>#REF!</v>
      </c>
    </row>
    <row r="1382" spans="1:22" x14ac:dyDescent="0.25">
      <c r="A1382" s="2">
        <v>46140</v>
      </c>
      <c r="B1382" s="2">
        <v>45954</v>
      </c>
      <c r="C1382" t="s">
        <v>478</v>
      </c>
      <c r="D1382">
        <v>18</v>
      </c>
      <c r="E1382" t="s">
        <v>1699</v>
      </c>
      <c r="F1382" t="s">
        <v>261</v>
      </c>
      <c r="G1382" t="s">
        <v>670</v>
      </c>
      <c r="H1382" t="s">
        <v>1700</v>
      </c>
      <c r="I1382" t="s">
        <v>83</v>
      </c>
      <c r="J1382" s="3" t="s">
        <v>3031</v>
      </c>
      <c r="K1382" t="s">
        <v>1335</v>
      </c>
      <c r="L1382" s="4">
        <v>700</v>
      </c>
      <c r="M1382" s="4">
        <v>0</v>
      </c>
      <c r="N1382">
        <v>700</v>
      </c>
      <c r="O1382" t="s">
        <v>118</v>
      </c>
      <c r="P1382">
        <v>50</v>
      </c>
      <c r="Q1382">
        <f>QtyRemaining*EstMfgMin/60</f>
        <v>583.33333333333337</v>
      </c>
      <c r="U1382" t="e">
        <f t="shared" si="44"/>
        <v>#REF!</v>
      </c>
      <c r="V1382" s="5" t="e">
        <f t="shared" si="45"/>
        <v>#REF!</v>
      </c>
    </row>
    <row r="1383" spans="1:22" x14ac:dyDescent="0.25">
      <c r="A1383" s="2">
        <v>46140</v>
      </c>
      <c r="B1383" s="2">
        <v>45954</v>
      </c>
      <c r="C1383" t="s">
        <v>478</v>
      </c>
      <c r="D1383">
        <v>18</v>
      </c>
      <c r="E1383" t="s">
        <v>1699</v>
      </c>
      <c r="F1383" t="s">
        <v>261</v>
      </c>
      <c r="G1383" t="s">
        <v>670</v>
      </c>
      <c r="H1383" t="s">
        <v>1700</v>
      </c>
      <c r="I1383" t="s">
        <v>83</v>
      </c>
      <c r="J1383" s="3" t="s">
        <v>3032</v>
      </c>
      <c r="K1383" t="s">
        <v>1335</v>
      </c>
      <c r="L1383" s="4">
        <v>700</v>
      </c>
      <c r="M1383" s="4">
        <v>0</v>
      </c>
      <c r="N1383">
        <v>700</v>
      </c>
      <c r="O1383" t="s">
        <v>118</v>
      </c>
      <c r="P1383">
        <v>45</v>
      </c>
      <c r="Q1383">
        <f>QtyRemaining*EstMfgMin/60</f>
        <v>525</v>
      </c>
      <c r="U1383" t="e">
        <f t="shared" si="44"/>
        <v>#REF!</v>
      </c>
      <c r="V1383" s="5" t="e">
        <f t="shared" si="45"/>
        <v>#REF!</v>
      </c>
    </row>
    <row r="1384" spans="1:22" x14ac:dyDescent="0.25">
      <c r="A1384" s="2">
        <v>46140</v>
      </c>
      <c r="B1384" s="2">
        <v>45965</v>
      </c>
      <c r="C1384" t="s">
        <v>570</v>
      </c>
      <c r="D1384">
        <v>18</v>
      </c>
      <c r="E1384" t="s">
        <v>2373</v>
      </c>
      <c r="F1384" t="s">
        <v>261</v>
      </c>
      <c r="G1384" t="s">
        <v>529</v>
      </c>
      <c r="H1384" t="s">
        <v>2374</v>
      </c>
      <c r="I1384" t="s">
        <v>83</v>
      </c>
      <c r="J1384" s="3" t="s">
        <v>3033</v>
      </c>
      <c r="K1384" t="s">
        <v>3034</v>
      </c>
      <c r="L1384" s="4">
        <v>5</v>
      </c>
      <c r="M1384" s="4">
        <v>0</v>
      </c>
      <c r="N1384">
        <v>5</v>
      </c>
      <c r="O1384" t="s">
        <v>118</v>
      </c>
      <c r="P1384">
        <v>85</v>
      </c>
      <c r="Q1384">
        <f>QtyRemaining*EstMfgMin/60</f>
        <v>7.083333333333333</v>
      </c>
      <c r="U1384" t="e">
        <f t="shared" si="44"/>
        <v>#REF!</v>
      </c>
      <c r="V1384" s="5" t="e">
        <f t="shared" si="45"/>
        <v>#REF!</v>
      </c>
    </row>
    <row r="1385" spans="1:22" x14ac:dyDescent="0.25">
      <c r="A1385" s="2">
        <v>46140</v>
      </c>
      <c r="B1385" s="2">
        <v>45999</v>
      </c>
      <c r="C1385" t="s">
        <v>1168</v>
      </c>
      <c r="D1385">
        <v>18</v>
      </c>
      <c r="E1385" t="s">
        <v>3035</v>
      </c>
      <c r="F1385" t="s">
        <v>283</v>
      </c>
      <c r="G1385" t="s">
        <v>1170</v>
      </c>
      <c r="H1385" t="s">
        <v>3036</v>
      </c>
      <c r="I1385" t="s">
        <v>224</v>
      </c>
      <c r="J1385" s="3" t="s">
        <v>2250</v>
      </c>
      <c r="K1385" t="s">
        <v>2251</v>
      </c>
      <c r="L1385" s="4">
        <v>25</v>
      </c>
      <c r="M1385" s="4">
        <v>0</v>
      </c>
      <c r="N1385">
        <v>25</v>
      </c>
      <c r="O1385" t="s">
        <v>176</v>
      </c>
      <c r="P1385">
        <v>70</v>
      </c>
      <c r="Q1385">
        <f>QtyRemaining*EstMfgMin/60</f>
        <v>29.166666666666668</v>
      </c>
      <c r="U1385" t="e">
        <f t="shared" si="44"/>
        <v>#REF!</v>
      </c>
      <c r="V1385" s="5" t="e">
        <f t="shared" si="45"/>
        <v>#REF!</v>
      </c>
    </row>
    <row r="1386" spans="1:22" x14ac:dyDescent="0.25">
      <c r="A1386" s="2">
        <v>46140</v>
      </c>
      <c r="B1386" s="2">
        <v>46030</v>
      </c>
      <c r="C1386" t="s">
        <v>478</v>
      </c>
      <c r="D1386">
        <v>18</v>
      </c>
      <c r="E1386" t="s">
        <v>2947</v>
      </c>
      <c r="F1386" t="s">
        <v>261</v>
      </c>
      <c r="G1386" t="s">
        <v>2948</v>
      </c>
      <c r="H1386" t="s">
        <v>2949</v>
      </c>
      <c r="I1386" t="s">
        <v>155</v>
      </c>
      <c r="J1386" s="3" t="s">
        <v>3037</v>
      </c>
      <c r="K1386" t="s">
        <v>3038</v>
      </c>
      <c r="L1386" s="4">
        <v>70</v>
      </c>
      <c r="M1386" s="4">
        <v>0</v>
      </c>
      <c r="N1386">
        <v>70</v>
      </c>
      <c r="O1386" t="s">
        <v>2284</v>
      </c>
      <c r="P1386">
        <v>53</v>
      </c>
      <c r="Q1386">
        <f>QtyRemaining*EstMfgMin/60</f>
        <v>61.833333333333336</v>
      </c>
      <c r="U1386" t="e">
        <f t="shared" si="44"/>
        <v>#REF!</v>
      </c>
      <c r="V1386" s="5" t="e">
        <f t="shared" si="45"/>
        <v>#REF!</v>
      </c>
    </row>
    <row r="1387" spans="1:22" x14ac:dyDescent="0.25">
      <c r="A1387" s="2">
        <v>46141</v>
      </c>
      <c r="B1387" s="2">
        <v>45933</v>
      </c>
      <c r="C1387" t="s">
        <v>478</v>
      </c>
      <c r="D1387">
        <v>18</v>
      </c>
      <c r="E1387" t="s">
        <v>1488</v>
      </c>
      <c r="F1387" t="s">
        <v>261</v>
      </c>
      <c r="G1387" t="s">
        <v>1228</v>
      </c>
      <c r="H1387" t="s">
        <v>1489</v>
      </c>
      <c r="I1387" t="s">
        <v>155</v>
      </c>
      <c r="J1387" s="3" t="s">
        <v>1490</v>
      </c>
      <c r="K1387" t="s">
        <v>1491</v>
      </c>
      <c r="L1387" s="4">
        <v>4</v>
      </c>
      <c r="M1387" s="4">
        <v>0</v>
      </c>
      <c r="N1387">
        <v>4</v>
      </c>
      <c r="O1387" t="s">
        <v>146</v>
      </c>
      <c r="P1387">
        <v>52</v>
      </c>
      <c r="Q1387">
        <f>QtyRemaining*EstMfgMin/60</f>
        <v>3.4666666666666668</v>
      </c>
      <c r="R1387" t="s">
        <v>967</v>
      </c>
      <c r="U1387" t="e">
        <f t="shared" si="44"/>
        <v>#REF!</v>
      </c>
      <c r="V1387" s="5" t="e">
        <f t="shared" si="45"/>
        <v>#REF!</v>
      </c>
    </row>
    <row r="1388" spans="1:22" x14ac:dyDescent="0.25">
      <c r="A1388" s="2">
        <v>46141</v>
      </c>
      <c r="B1388" s="2">
        <v>45958</v>
      </c>
      <c r="C1388" t="s">
        <v>570</v>
      </c>
      <c r="D1388">
        <v>18</v>
      </c>
      <c r="E1388" t="s">
        <v>810</v>
      </c>
      <c r="F1388" t="s">
        <v>261</v>
      </c>
      <c r="G1388" t="s">
        <v>811</v>
      </c>
      <c r="H1388" t="s">
        <v>812</v>
      </c>
      <c r="I1388" t="s">
        <v>83</v>
      </c>
      <c r="J1388" s="3" t="s">
        <v>3039</v>
      </c>
      <c r="K1388" t="s">
        <v>3040</v>
      </c>
      <c r="L1388" s="4">
        <v>65</v>
      </c>
      <c r="M1388" s="4">
        <v>0</v>
      </c>
      <c r="N1388">
        <v>65</v>
      </c>
      <c r="O1388" t="s">
        <v>176</v>
      </c>
      <c r="P1388">
        <v>23</v>
      </c>
      <c r="Q1388">
        <f>QtyRemaining*EstMfgMin/60</f>
        <v>24.916666666666668</v>
      </c>
      <c r="U1388" t="e">
        <f t="shared" si="44"/>
        <v>#REF!</v>
      </c>
      <c r="V1388" s="5" t="e">
        <f t="shared" si="45"/>
        <v>#REF!</v>
      </c>
    </row>
    <row r="1389" spans="1:22" x14ac:dyDescent="0.25">
      <c r="A1389" s="2">
        <v>46141</v>
      </c>
      <c r="B1389" s="2">
        <v>45958</v>
      </c>
      <c r="C1389" t="s">
        <v>570</v>
      </c>
      <c r="D1389">
        <v>18</v>
      </c>
      <c r="E1389" t="s">
        <v>810</v>
      </c>
      <c r="F1389" t="s">
        <v>261</v>
      </c>
      <c r="G1389" t="s">
        <v>811</v>
      </c>
      <c r="H1389" t="s">
        <v>812</v>
      </c>
      <c r="I1389" t="s">
        <v>83</v>
      </c>
      <c r="J1389" s="3" t="s">
        <v>2540</v>
      </c>
      <c r="K1389" t="s">
        <v>3040</v>
      </c>
      <c r="L1389" s="4">
        <v>65</v>
      </c>
      <c r="M1389" s="4">
        <v>0</v>
      </c>
      <c r="N1389">
        <v>65</v>
      </c>
      <c r="O1389" t="s">
        <v>176</v>
      </c>
      <c r="P1389">
        <v>23</v>
      </c>
      <c r="Q1389">
        <f>QtyRemaining*EstMfgMin/60</f>
        <v>24.916666666666668</v>
      </c>
      <c r="U1389" t="e">
        <f t="shared" si="44"/>
        <v>#REF!</v>
      </c>
      <c r="V1389" s="5" t="e">
        <f t="shared" si="45"/>
        <v>#REF!</v>
      </c>
    </row>
    <row r="1390" spans="1:22" x14ac:dyDescent="0.25">
      <c r="A1390" s="2">
        <v>46141</v>
      </c>
      <c r="B1390" s="2">
        <v>45958</v>
      </c>
      <c r="C1390" t="s">
        <v>570</v>
      </c>
      <c r="D1390">
        <v>18</v>
      </c>
      <c r="E1390" t="s">
        <v>810</v>
      </c>
      <c r="F1390" t="s">
        <v>261</v>
      </c>
      <c r="G1390" t="s">
        <v>811</v>
      </c>
      <c r="H1390" t="s">
        <v>812</v>
      </c>
      <c r="I1390" t="s">
        <v>83</v>
      </c>
      <c r="J1390" s="3" t="s">
        <v>3041</v>
      </c>
      <c r="K1390" t="s">
        <v>2735</v>
      </c>
      <c r="L1390" s="4">
        <v>34</v>
      </c>
      <c r="M1390" s="4">
        <v>0</v>
      </c>
      <c r="N1390">
        <v>34</v>
      </c>
      <c r="O1390" t="s">
        <v>118</v>
      </c>
      <c r="P1390">
        <v>21</v>
      </c>
      <c r="Q1390">
        <f>QtyRemaining*EstMfgMin/60</f>
        <v>11.9</v>
      </c>
      <c r="U1390" t="e">
        <f t="shared" si="44"/>
        <v>#REF!</v>
      </c>
      <c r="V1390" s="5" t="e">
        <f t="shared" si="45"/>
        <v>#REF!</v>
      </c>
    </row>
    <row r="1391" spans="1:22" x14ac:dyDescent="0.25">
      <c r="A1391" s="2">
        <v>46141</v>
      </c>
      <c r="B1391" s="2">
        <v>45967</v>
      </c>
      <c r="C1391" t="s">
        <v>232</v>
      </c>
      <c r="D1391">
        <v>18</v>
      </c>
      <c r="E1391" t="s">
        <v>3042</v>
      </c>
      <c r="F1391" t="s">
        <v>211</v>
      </c>
      <c r="G1391" t="s">
        <v>1184</v>
      </c>
      <c r="H1391" t="s">
        <v>3043</v>
      </c>
      <c r="I1391" t="s">
        <v>83</v>
      </c>
      <c r="J1391" s="3" t="s">
        <v>1564</v>
      </c>
      <c r="K1391" t="s">
        <v>1565</v>
      </c>
      <c r="L1391" s="4">
        <v>4</v>
      </c>
      <c r="M1391" s="4">
        <v>0</v>
      </c>
      <c r="N1391">
        <v>4</v>
      </c>
      <c r="O1391" t="s">
        <v>1566</v>
      </c>
      <c r="P1391">
        <v>125</v>
      </c>
      <c r="Q1391">
        <f>QtyRemaining*EstMfgMin/60</f>
        <v>8.3333333333333339</v>
      </c>
      <c r="U1391" t="e">
        <f t="shared" si="44"/>
        <v>#REF!</v>
      </c>
      <c r="V1391" s="5" t="e">
        <f t="shared" si="45"/>
        <v>#REF!</v>
      </c>
    </row>
    <row r="1392" spans="1:22" x14ac:dyDescent="0.25">
      <c r="A1392" s="2">
        <v>46141</v>
      </c>
      <c r="B1392" s="2">
        <v>46003</v>
      </c>
      <c r="C1392" t="s">
        <v>478</v>
      </c>
      <c r="D1392">
        <v>18</v>
      </c>
      <c r="E1392" t="s">
        <v>2421</v>
      </c>
      <c r="F1392" t="s">
        <v>261</v>
      </c>
      <c r="G1392" t="s">
        <v>670</v>
      </c>
      <c r="H1392" t="s">
        <v>2422</v>
      </c>
      <c r="I1392" t="s">
        <v>83</v>
      </c>
      <c r="J1392" s="3" t="s">
        <v>3044</v>
      </c>
      <c r="K1392" t="s">
        <v>2937</v>
      </c>
      <c r="L1392" s="4">
        <v>150</v>
      </c>
      <c r="M1392" s="4">
        <v>0</v>
      </c>
      <c r="N1392">
        <v>150</v>
      </c>
      <c r="O1392" t="s">
        <v>118</v>
      </c>
      <c r="P1392">
        <v>45</v>
      </c>
      <c r="Q1392">
        <f>QtyRemaining*EstMfgMin/60</f>
        <v>112.5</v>
      </c>
      <c r="U1392" t="e">
        <f t="shared" si="44"/>
        <v>#REF!</v>
      </c>
      <c r="V1392" s="5" t="e">
        <f t="shared" si="45"/>
        <v>#REF!</v>
      </c>
    </row>
    <row r="1393" spans="1:22" x14ac:dyDescent="0.25">
      <c r="A1393" s="2">
        <v>46141</v>
      </c>
      <c r="B1393" s="2">
        <v>46028</v>
      </c>
      <c r="C1393" t="s">
        <v>232</v>
      </c>
      <c r="D1393">
        <v>18</v>
      </c>
      <c r="E1393" t="s">
        <v>3045</v>
      </c>
      <c r="F1393" t="s">
        <v>211</v>
      </c>
      <c r="G1393" t="s">
        <v>1184</v>
      </c>
      <c r="H1393" t="s">
        <v>3046</v>
      </c>
      <c r="I1393" t="s">
        <v>83</v>
      </c>
      <c r="J1393" s="3" t="s">
        <v>1564</v>
      </c>
      <c r="K1393" t="s">
        <v>1565</v>
      </c>
      <c r="L1393" s="4">
        <v>6</v>
      </c>
      <c r="M1393" s="4">
        <v>0</v>
      </c>
      <c r="N1393">
        <v>6</v>
      </c>
      <c r="O1393" t="s">
        <v>1566</v>
      </c>
      <c r="P1393">
        <v>125</v>
      </c>
      <c r="Q1393">
        <f>QtyRemaining*EstMfgMin/60</f>
        <v>12.5</v>
      </c>
      <c r="U1393" t="e">
        <f t="shared" si="44"/>
        <v>#REF!</v>
      </c>
      <c r="V1393" s="5" t="e">
        <f t="shared" si="45"/>
        <v>#REF!</v>
      </c>
    </row>
    <row r="1394" spans="1:22" x14ac:dyDescent="0.25">
      <c r="A1394" s="2">
        <v>46142</v>
      </c>
      <c r="B1394" s="2">
        <v>45462</v>
      </c>
      <c r="C1394" t="s">
        <v>550</v>
      </c>
      <c r="D1394">
        <v>18</v>
      </c>
      <c r="E1394" t="s">
        <v>3047</v>
      </c>
      <c r="F1394" t="s">
        <v>261</v>
      </c>
      <c r="G1394" t="s">
        <v>552</v>
      </c>
      <c r="H1394" t="s">
        <v>3048</v>
      </c>
      <c r="I1394" t="s">
        <v>122</v>
      </c>
      <c r="J1394" s="3" t="s">
        <v>3049</v>
      </c>
      <c r="K1394" t="s">
        <v>2414</v>
      </c>
      <c r="L1394" s="4">
        <v>15000</v>
      </c>
      <c r="M1394" s="4">
        <v>0</v>
      </c>
      <c r="N1394">
        <v>15000</v>
      </c>
      <c r="O1394" t="s">
        <v>146</v>
      </c>
      <c r="P1394">
        <v>0</v>
      </c>
      <c r="Q1394">
        <f>QtyRemaining*EstMfgMin/60</f>
        <v>0</v>
      </c>
      <c r="U1394" t="e">
        <f t="shared" si="44"/>
        <v>#REF!</v>
      </c>
      <c r="V1394" s="5" t="e">
        <f t="shared" si="45"/>
        <v>#REF!</v>
      </c>
    </row>
    <row r="1395" spans="1:22" x14ac:dyDescent="0.25">
      <c r="A1395" s="2">
        <v>46142</v>
      </c>
      <c r="B1395" s="2">
        <v>45541</v>
      </c>
      <c r="C1395" t="s">
        <v>633</v>
      </c>
      <c r="D1395">
        <v>18</v>
      </c>
      <c r="E1395" t="s">
        <v>1582</v>
      </c>
      <c r="F1395" t="s">
        <v>261</v>
      </c>
      <c r="G1395" t="s">
        <v>1583</v>
      </c>
      <c r="H1395" t="s">
        <v>1584</v>
      </c>
      <c r="I1395" t="s">
        <v>83</v>
      </c>
      <c r="J1395" s="3" t="s">
        <v>1585</v>
      </c>
      <c r="K1395" t="s">
        <v>1586</v>
      </c>
      <c r="L1395" s="4">
        <v>4</v>
      </c>
      <c r="M1395" s="4">
        <v>0</v>
      </c>
      <c r="N1395">
        <v>4</v>
      </c>
      <c r="P1395">
        <v>0</v>
      </c>
      <c r="Q1395">
        <f>QtyRemaining*EstMfgMin/60</f>
        <v>0</v>
      </c>
      <c r="U1395" t="e">
        <f t="shared" si="44"/>
        <v>#REF!</v>
      </c>
      <c r="V1395" s="5" t="e">
        <f t="shared" si="45"/>
        <v>#REF!</v>
      </c>
    </row>
    <row r="1396" spans="1:22" x14ac:dyDescent="0.25">
      <c r="A1396" s="2">
        <v>46142</v>
      </c>
      <c r="B1396" s="2">
        <v>45940</v>
      </c>
      <c r="C1396" t="s">
        <v>232</v>
      </c>
      <c r="D1396">
        <v>18</v>
      </c>
      <c r="E1396" t="s">
        <v>2666</v>
      </c>
      <c r="F1396" t="s">
        <v>211</v>
      </c>
      <c r="G1396" t="s">
        <v>1184</v>
      </c>
      <c r="H1396" t="s">
        <v>2667</v>
      </c>
      <c r="I1396" t="s">
        <v>83</v>
      </c>
      <c r="J1396" s="3" t="s">
        <v>1564</v>
      </c>
      <c r="K1396" t="s">
        <v>1565</v>
      </c>
      <c r="L1396" s="4">
        <v>7</v>
      </c>
      <c r="M1396" s="4">
        <v>0</v>
      </c>
      <c r="N1396">
        <v>7</v>
      </c>
      <c r="O1396" t="s">
        <v>1566</v>
      </c>
      <c r="P1396">
        <v>92</v>
      </c>
      <c r="Q1396">
        <f>QtyRemaining*EstMfgMin/60</f>
        <v>10.733333333333333</v>
      </c>
      <c r="U1396" t="e">
        <f t="shared" si="44"/>
        <v>#REF!</v>
      </c>
      <c r="V1396" s="5" t="e">
        <f t="shared" si="45"/>
        <v>#REF!</v>
      </c>
    </row>
    <row r="1397" spans="1:22" x14ac:dyDescent="0.25">
      <c r="A1397" s="2">
        <v>46142</v>
      </c>
      <c r="B1397" s="2">
        <v>45961</v>
      </c>
      <c r="C1397" t="s">
        <v>1168</v>
      </c>
      <c r="D1397">
        <v>18</v>
      </c>
      <c r="E1397" t="s">
        <v>3050</v>
      </c>
      <c r="F1397" t="s">
        <v>283</v>
      </c>
      <c r="G1397" t="s">
        <v>1170</v>
      </c>
      <c r="H1397" t="s">
        <v>3051</v>
      </c>
      <c r="I1397" t="s">
        <v>224</v>
      </c>
      <c r="J1397" s="3" t="s">
        <v>3052</v>
      </c>
      <c r="K1397" t="s">
        <v>3053</v>
      </c>
      <c r="L1397" s="4">
        <v>21</v>
      </c>
      <c r="M1397" s="4">
        <v>0</v>
      </c>
      <c r="N1397">
        <v>21</v>
      </c>
      <c r="P1397">
        <v>60</v>
      </c>
      <c r="Q1397">
        <f>QtyRemaining*EstMfgMin/60</f>
        <v>21</v>
      </c>
      <c r="U1397" t="e">
        <f t="shared" si="44"/>
        <v>#REF!</v>
      </c>
      <c r="V1397" s="5" t="e">
        <f t="shared" si="45"/>
        <v>#REF!</v>
      </c>
    </row>
    <row r="1398" spans="1:22" x14ac:dyDescent="0.25">
      <c r="A1398" s="2">
        <v>46142</v>
      </c>
      <c r="B1398" s="2">
        <v>45986</v>
      </c>
      <c r="C1398" t="s">
        <v>633</v>
      </c>
      <c r="D1398">
        <v>18</v>
      </c>
      <c r="E1398" t="s">
        <v>3054</v>
      </c>
      <c r="F1398" t="s">
        <v>261</v>
      </c>
      <c r="G1398" t="s">
        <v>262</v>
      </c>
      <c r="H1398" t="s">
        <v>3055</v>
      </c>
      <c r="I1398" t="s">
        <v>155</v>
      </c>
      <c r="J1398" s="3" t="s">
        <v>2057</v>
      </c>
      <c r="K1398" t="s">
        <v>131</v>
      </c>
      <c r="L1398" s="4">
        <v>5</v>
      </c>
      <c r="M1398" s="4">
        <v>0</v>
      </c>
      <c r="N1398">
        <v>5</v>
      </c>
      <c r="O1398" t="s">
        <v>94</v>
      </c>
      <c r="P1398">
        <v>0</v>
      </c>
      <c r="Q1398">
        <f>QtyRemaining*EstMfgMin/60</f>
        <v>0</v>
      </c>
      <c r="R1398" t="s">
        <v>3056</v>
      </c>
      <c r="U1398" t="e">
        <f t="shared" si="44"/>
        <v>#REF!</v>
      </c>
      <c r="V1398" s="5" t="e">
        <f t="shared" si="45"/>
        <v>#REF!</v>
      </c>
    </row>
    <row r="1399" spans="1:22" x14ac:dyDescent="0.25">
      <c r="A1399" s="2">
        <v>46142</v>
      </c>
      <c r="B1399" s="2">
        <v>46030</v>
      </c>
      <c r="C1399" t="s">
        <v>1168</v>
      </c>
      <c r="D1399">
        <v>18</v>
      </c>
      <c r="E1399" t="s">
        <v>3057</v>
      </c>
      <c r="F1399" t="s">
        <v>283</v>
      </c>
      <c r="G1399" t="s">
        <v>1170</v>
      </c>
      <c r="H1399" t="s">
        <v>3058</v>
      </c>
      <c r="I1399" t="s">
        <v>224</v>
      </c>
      <c r="J1399" s="3" t="s">
        <v>1560</v>
      </c>
      <c r="K1399" t="s">
        <v>3059</v>
      </c>
      <c r="L1399" s="4">
        <v>100</v>
      </c>
      <c r="M1399" s="4">
        <v>0</v>
      </c>
      <c r="N1399">
        <v>100</v>
      </c>
      <c r="O1399" t="s">
        <v>266</v>
      </c>
      <c r="P1399">
        <v>50</v>
      </c>
      <c r="Q1399">
        <f>QtyRemaining*EstMfgMin/60</f>
        <v>83.333333333333329</v>
      </c>
      <c r="U1399" t="e">
        <f t="shared" si="44"/>
        <v>#REF!</v>
      </c>
      <c r="V1399" s="5" t="e">
        <f t="shared" si="45"/>
        <v>#REF!</v>
      </c>
    </row>
    <row r="1400" spans="1:22" x14ac:dyDescent="0.25">
      <c r="A1400" s="2">
        <v>46142</v>
      </c>
      <c r="B1400" s="2">
        <v>46050</v>
      </c>
      <c r="C1400" t="s">
        <v>287</v>
      </c>
      <c r="D1400">
        <v>18</v>
      </c>
      <c r="E1400" t="s">
        <v>2279</v>
      </c>
      <c r="F1400" t="s">
        <v>283</v>
      </c>
      <c r="G1400" t="s">
        <v>2280</v>
      </c>
      <c r="H1400" t="s">
        <v>2281</v>
      </c>
      <c r="I1400" t="s">
        <v>155</v>
      </c>
      <c r="J1400" s="3" t="s">
        <v>3060</v>
      </c>
      <c r="K1400" t="s">
        <v>3061</v>
      </c>
      <c r="L1400" s="4">
        <v>59</v>
      </c>
      <c r="M1400" s="4">
        <v>0</v>
      </c>
      <c r="N1400">
        <v>59</v>
      </c>
      <c r="O1400" t="s">
        <v>118</v>
      </c>
      <c r="P1400">
        <v>4</v>
      </c>
      <c r="Q1400">
        <f>QtyRemaining*EstMfgMin/60</f>
        <v>3.9333333333333331</v>
      </c>
      <c r="U1400" t="e">
        <f t="shared" si="44"/>
        <v>#REF!</v>
      </c>
      <c r="V1400" s="5" t="e">
        <f t="shared" si="45"/>
        <v>#REF!</v>
      </c>
    </row>
    <row r="1401" spans="1:22" x14ac:dyDescent="0.25">
      <c r="A1401" s="2">
        <v>46142</v>
      </c>
      <c r="B1401" s="2">
        <v>46050</v>
      </c>
      <c r="C1401" t="s">
        <v>287</v>
      </c>
      <c r="D1401">
        <v>18</v>
      </c>
      <c r="E1401" t="s">
        <v>2279</v>
      </c>
      <c r="F1401" t="s">
        <v>283</v>
      </c>
      <c r="G1401" t="s">
        <v>2280</v>
      </c>
      <c r="H1401" t="s">
        <v>2281</v>
      </c>
      <c r="I1401" t="s">
        <v>155</v>
      </c>
      <c r="J1401" s="3" t="s">
        <v>3062</v>
      </c>
      <c r="K1401" t="s">
        <v>3063</v>
      </c>
      <c r="L1401" s="4">
        <v>59</v>
      </c>
      <c r="M1401" s="4">
        <v>0</v>
      </c>
      <c r="N1401">
        <v>59</v>
      </c>
      <c r="O1401" t="s">
        <v>176</v>
      </c>
      <c r="P1401">
        <v>4</v>
      </c>
      <c r="Q1401">
        <f>QtyRemaining*EstMfgMin/60</f>
        <v>3.9333333333333331</v>
      </c>
      <c r="U1401" t="e">
        <f t="shared" si="44"/>
        <v>#REF!</v>
      </c>
      <c r="V1401" s="5" t="e">
        <f t="shared" si="45"/>
        <v>#REF!</v>
      </c>
    </row>
    <row r="1402" spans="1:22" x14ac:dyDescent="0.25">
      <c r="A1402" s="2">
        <v>46142</v>
      </c>
      <c r="B1402" s="2">
        <v>46050</v>
      </c>
      <c r="C1402" t="s">
        <v>287</v>
      </c>
      <c r="D1402">
        <v>18</v>
      </c>
      <c r="E1402" t="s">
        <v>2279</v>
      </c>
      <c r="F1402" t="s">
        <v>283</v>
      </c>
      <c r="G1402" t="s">
        <v>2280</v>
      </c>
      <c r="H1402" t="s">
        <v>2281</v>
      </c>
      <c r="I1402" t="s">
        <v>155</v>
      </c>
      <c r="J1402" s="3" t="s">
        <v>3064</v>
      </c>
      <c r="K1402" t="s">
        <v>3065</v>
      </c>
      <c r="L1402" s="4">
        <v>59</v>
      </c>
      <c r="M1402" s="4">
        <v>0</v>
      </c>
      <c r="N1402">
        <v>59</v>
      </c>
      <c r="O1402" t="s">
        <v>176</v>
      </c>
      <c r="P1402">
        <v>4</v>
      </c>
      <c r="Q1402">
        <f>QtyRemaining*EstMfgMin/60</f>
        <v>3.9333333333333331</v>
      </c>
      <c r="U1402" t="e">
        <f t="shared" si="44"/>
        <v>#REF!</v>
      </c>
      <c r="V1402" s="5" t="e">
        <f t="shared" si="45"/>
        <v>#REF!</v>
      </c>
    </row>
    <row r="1403" spans="1:22" x14ac:dyDescent="0.25">
      <c r="A1403" s="2">
        <v>46142</v>
      </c>
      <c r="B1403" s="2">
        <v>46050</v>
      </c>
      <c r="C1403" t="s">
        <v>287</v>
      </c>
      <c r="D1403">
        <v>18</v>
      </c>
      <c r="E1403" t="s">
        <v>2279</v>
      </c>
      <c r="F1403" t="s">
        <v>283</v>
      </c>
      <c r="G1403" t="s">
        <v>2280</v>
      </c>
      <c r="H1403" t="s">
        <v>2281</v>
      </c>
      <c r="I1403" t="s">
        <v>155</v>
      </c>
      <c r="J1403" s="3" t="s">
        <v>3066</v>
      </c>
      <c r="K1403" t="s">
        <v>3067</v>
      </c>
      <c r="L1403" s="4">
        <v>18</v>
      </c>
      <c r="M1403" s="4">
        <v>0</v>
      </c>
      <c r="N1403">
        <v>18</v>
      </c>
      <c r="O1403" t="s">
        <v>2284</v>
      </c>
      <c r="P1403">
        <v>4</v>
      </c>
      <c r="Q1403">
        <f>QtyRemaining*EstMfgMin/60</f>
        <v>1.2</v>
      </c>
      <c r="U1403" t="e">
        <f t="shared" si="44"/>
        <v>#REF!</v>
      </c>
      <c r="V1403" s="5" t="e">
        <f t="shared" si="45"/>
        <v>#REF!</v>
      </c>
    </row>
    <row r="1404" spans="1:22" x14ac:dyDescent="0.25">
      <c r="A1404" s="2">
        <v>46142</v>
      </c>
      <c r="B1404" s="2">
        <v>46050</v>
      </c>
      <c r="C1404" t="s">
        <v>287</v>
      </c>
      <c r="D1404">
        <v>18</v>
      </c>
      <c r="E1404" t="s">
        <v>2279</v>
      </c>
      <c r="F1404" t="s">
        <v>283</v>
      </c>
      <c r="G1404" t="s">
        <v>2280</v>
      </c>
      <c r="H1404" t="s">
        <v>2281</v>
      </c>
      <c r="I1404" t="s">
        <v>155</v>
      </c>
      <c r="J1404" s="3" t="s">
        <v>3068</v>
      </c>
      <c r="K1404" t="s">
        <v>3069</v>
      </c>
      <c r="L1404" s="4">
        <v>38</v>
      </c>
      <c r="M1404" s="4">
        <v>0</v>
      </c>
      <c r="N1404">
        <v>38</v>
      </c>
      <c r="O1404" t="s">
        <v>2287</v>
      </c>
      <c r="P1404">
        <v>4</v>
      </c>
      <c r="Q1404">
        <f>QtyRemaining*EstMfgMin/60</f>
        <v>2.5333333333333332</v>
      </c>
      <c r="U1404" t="e">
        <f t="shared" si="44"/>
        <v>#REF!</v>
      </c>
      <c r="V1404" s="5" t="e">
        <f t="shared" si="45"/>
        <v>#REF!</v>
      </c>
    </row>
    <row r="1405" spans="1:22" x14ac:dyDescent="0.25">
      <c r="A1405" s="2">
        <v>46142</v>
      </c>
      <c r="B1405" s="2">
        <v>46051</v>
      </c>
      <c r="C1405" t="s">
        <v>1168</v>
      </c>
      <c r="D1405">
        <v>18</v>
      </c>
      <c r="E1405" t="s">
        <v>3070</v>
      </c>
      <c r="F1405" t="s">
        <v>283</v>
      </c>
      <c r="G1405" t="s">
        <v>1170</v>
      </c>
      <c r="H1405" t="s">
        <v>3071</v>
      </c>
      <c r="I1405" t="s">
        <v>224</v>
      </c>
      <c r="J1405" s="3" t="s">
        <v>3009</v>
      </c>
      <c r="K1405" t="s">
        <v>3072</v>
      </c>
      <c r="L1405" s="4">
        <v>52</v>
      </c>
      <c r="M1405" s="4">
        <v>0</v>
      </c>
      <c r="N1405">
        <v>52</v>
      </c>
      <c r="O1405" t="s">
        <v>94</v>
      </c>
      <c r="P1405">
        <v>60</v>
      </c>
      <c r="Q1405">
        <f>QtyRemaining*EstMfgMin/60</f>
        <v>52</v>
      </c>
      <c r="U1405" t="e">
        <f t="shared" si="44"/>
        <v>#REF!</v>
      </c>
      <c r="V1405" s="5" t="e">
        <f t="shared" si="45"/>
        <v>#REF!</v>
      </c>
    </row>
    <row r="1406" spans="1:22" x14ac:dyDescent="0.25">
      <c r="A1406" s="2">
        <v>46143</v>
      </c>
      <c r="B1406" s="2">
        <v>45959</v>
      </c>
      <c r="C1406" t="s">
        <v>1821</v>
      </c>
      <c r="D1406">
        <v>18</v>
      </c>
      <c r="E1406" t="s">
        <v>2546</v>
      </c>
      <c r="F1406" t="s">
        <v>261</v>
      </c>
      <c r="G1406" t="s">
        <v>2547</v>
      </c>
      <c r="H1406" t="s">
        <v>2548</v>
      </c>
      <c r="I1406" t="s">
        <v>83</v>
      </c>
      <c r="J1406" s="3" t="s">
        <v>2549</v>
      </c>
      <c r="K1406" t="s">
        <v>2550</v>
      </c>
      <c r="L1406" s="4">
        <v>45</v>
      </c>
      <c r="M1406" s="4">
        <v>0</v>
      </c>
      <c r="N1406">
        <v>45</v>
      </c>
      <c r="O1406" t="s">
        <v>283</v>
      </c>
      <c r="P1406">
        <v>40</v>
      </c>
      <c r="Q1406">
        <f>QtyRemaining*EstMfgMin/60</f>
        <v>30</v>
      </c>
      <c r="U1406" t="e">
        <f t="shared" si="44"/>
        <v>#REF!</v>
      </c>
      <c r="V1406" s="5" t="e">
        <f t="shared" si="45"/>
        <v>#REF!</v>
      </c>
    </row>
    <row r="1407" spans="1:22" x14ac:dyDescent="0.25">
      <c r="A1407" s="2">
        <v>46143</v>
      </c>
      <c r="B1407" s="2">
        <v>45972</v>
      </c>
      <c r="C1407" t="s">
        <v>485</v>
      </c>
      <c r="D1407">
        <v>18</v>
      </c>
      <c r="E1407" t="s">
        <v>1078</v>
      </c>
      <c r="F1407" t="s">
        <v>211</v>
      </c>
      <c r="G1407" t="s">
        <v>761</v>
      </c>
      <c r="H1407" t="s">
        <v>1079</v>
      </c>
      <c r="I1407" t="s">
        <v>214</v>
      </c>
      <c r="J1407" s="3" t="s">
        <v>3073</v>
      </c>
      <c r="K1407" t="s">
        <v>3074</v>
      </c>
      <c r="L1407" s="4">
        <v>25</v>
      </c>
      <c r="M1407" s="4">
        <v>0</v>
      </c>
      <c r="N1407">
        <v>25</v>
      </c>
      <c r="O1407" t="s">
        <v>1082</v>
      </c>
      <c r="P1407">
        <v>6</v>
      </c>
      <c r="Q1407">
        <f>QtyRemaining*EstMfgMin/60</f>
        <v>2.5</v>
      </c>
      <c r="U1407" t="e">
        <f t="shared" si="44"/>
        <v>#REF!</v>
      </c>
      <c r="V1407" s="5" t="e">
        <f t="shared" si="45"/>
        <v>#REF!</v>
      </c>
    </row>
    <row r="1408" spans="1:22" x14ac:dyDescent="0.25">
      <c r="A1408" s="2">
        <v>46143</v>
      </c>
      <c r="B1408" s="2">
        <v>45972</v>
      </c>
      <c r="C1408" t="s">
        <v>485</v>
      </c>
      <c r="D1408">
        <v>18</v>
      </c>
      <c r="E1408" t="s">
        <v>1078</v>
      </c>
      <c r="F1408" t="s">
        <v>211</v>
      </c>
      <c r="G1408" t="s">
        <v>761</v>
      </c>
      <c r="H1408" t="s">
        <v>1079</v>
      </c>
      <c r="I1408" t="s">
        <v>214</v>
      </c>
      <c r="J1408" s="3" t="s">
        <v>3075</v>
      </c>
      <c r="K1408" t="s">
        <v>3076</v>
      </c>
      <c r="L1408" s="4">
        <v>10</v>
      </c>
      <c r="M1408" s="4">
        <v>0</v>
      </c>
      <c r="N1408">
        <v>10</v>
      </c>
      <c r="O1408" t="s">
        <v>176</v>
      </c>
      <c r="P1408">
        <v>24</v>
      </c>
      <c r="Q1408">
        <f>QtyRemaining*EstMfgMin/60</f>
        <v>4</v>
      </c>
      <c r="U1408" t="e">
        <f t="shared" si="44"/>
        <v>#REF!</v>
      </c>
      <c r="V1408" s="5" t="e">
        <f t="shared" si="45"/>
        <v>#REF!</v>
      </c>
    </row>
    <row r="1409" spans="1:22" x14ac:dyDescent="0.25">
      <c r="A1409" s="2">
        <v>46143</v>
      </c>
      <c r="B1409" s="2">
        <v>45972</v>
      </c>
      <c r="C1409" t="s">
        <v>485</v>
      </c>
      <c r="D1409">
        <v>18</v>
      </c>
      <c r="E1409" t="s">
        <v>1078</v>
      </c>
      <c r="F1409" t="s">
        <v>211</v>
      </c>
      <c r="G1409" t="s">
        <v>761</v>
      </c>
      <c r="H1409" t="s">
        <v>1079</v>
      </c>
      <c r="I1409" t="s">
        <v>214</v>
      </c>
      <c r="J1409" s="3" t="s">
        <v>1615</v>
      </c>
      <c r="K1409" t="s">
        <v>1616</v>
      </c>
      <c r="L1409" s="4">
        <v>110</v>
      </c>
      <c r="M1409" s="4">
        <v>0</v>
      </c>
      <c r="N1409">
        <v>110</v>
      </c>
      <c r="O1409" t="s">
        <v>1082</v>
      </c>
      <c r="P1409">
        <v>12</v>
      </c>
      <c r="Q1409">
        <f>QtyRemaining*EstMfgMin/60</f>
        <v>22</v>
      </c>
      <c r="U1409" t="e">
        <f t="shared" si="44"/>
        <v>#REF!</v>
      </c>
      <c r="V1409" s="5" t="e">
        <f t="shared" si="45"/>
        <v>#REF!</v>
      </c>
    </row>
    <row r="1410" spans="1:22" x14ac:dyDescent="0.25">
      <c r="A1410" s="2">
        <v>46143</v>
      </c>
      <c r="B1410" s="2">
        <v>45972</v>
      </c>
      <c r="C1410" t="s">
        <v>485</v>
      </c>
      <c r="D1410">
        <v>18</v>
      </c>
      <c r="E1410" t="s">
        <v>1078</v>
      </c>
      <c r="F1410" t="s">
        <v>211</v>
      </c>
      <c r="G1410" t="s">
        <v>761</v>
      </c>
      <c r="H1410" t="s">
        <v>1079</v>
      </c>
      <c r="I1410" t="s">
        <v>214</v>
      </c>
      <c r="J1410" s="3" t="s">
        <v>2836</v>
      </c>
      <c r="K1410" t="s">
        <v>2837</v>
      </c>
      <c r="L1410" s="4">
        <v>40</v>
      </c>
      <c r="M1410" s="4">
        <v>0</v>
      </c>
      <c r="N1410">
        <v>40</v>
      </c>
      <c r="O1410" t="s">
        <v>86</v>
      </c>
      <c r="P1410">
        <v>8</v>
      </c>
      <c r="Q1410">
        <f>QtyRemaining*EstMfgMin/60</f>
        <v>5.333333333333333</v>
      </c>
      <c r="U1410" t="e">
        <f t="shared" si="44"/>
        <v>#REF!</v>
      </c>
      <c r="V1410" s="5" t="e">
        <f t="shared" si="45"/>
        <v>#REF!</v>
      </c>
    </row>
    <row r="1411" spans="1:22" x14ac:dyDescent="0.25">
      <c r="A1411" s="2">
        <v>46143</v>
      </c>
      <c r="B1411" s="2">
        <v>45972</v>
      </c>
      <c r="C1411" t="s">
        <v>485</v>
      </c>
      <c r="D1411">
        <v>18</v>
      </c>
      <c r="E1411" t="s">
        <v>1078</v>
      </c>
      <c r="F1411" t="s">
        <v>211</v>
      </c>
      <c r="G1411" t="s">
        <v>761</v>
      </c>
      <c r="H1411" t="s">
        <v>1079</v>
      </c>
      <c r="I1411" t="s">
        <v>214</v>
      </c>
      <c r="J1411" s="3" t="s">
        <v>1617</v>
      </c>
      <c r="K1411" t="s">
        <v>1618</v>
      </c>
      <c r="L1411" s="4">
        <v>20</v>
      </c>
      <c r="M1411" s="4">
        <v>0</v>
      </c>
      <c r="N1411">
        <v>20</v>
      </c>
      <c r="O1411" t="s">
        <v>176</v>
      </c>
      <c r="P1411">
        <v>24</v>
      </c>
      <c r="Q1411">
        <f>QtyRemaining*EstMfgMin/60</f>
        <v>8</v>
      </c>
      <c r="U1411" t="e">
        <f t="shared" ref="U1411:U1474" si="46">VLOOKUP(A1411,Calendar,13,FALSE)</f>
        <v>#REF!</v>
      </c>
      <c r="V1411" s="5" t="e">
        <f t="shared" ref="V1411:V1474" si="47">VLOOKUP(A1411,Calendar,14,FALSE)</f>
        <v>#REF!</v>
      </c>
    </row>
    <row r="1412" spans="1:22" x14ac:dyDescent="0.25">
      <c r="A1412" s="2">
        <v>46143</v>
      </c>
      <c r="B1412" s="2">
        <v>45992</v>
      </c>
      <c r="C1412" t="s">
        <v>633</v>
      </c>
      <c r="D1412">
        <v>18</v>
      </c>
      <c r="E1412" t="s">
        <v>3077</v>
      </c>
      <c r="F1412" t="s">
        <v>261</v>
      </c>
      <c r="G1412" t="s">
        <v>262</v>
      </c>
      <c r="H1412" t="s">
        <v>3078</v>
      </c>
      <c r="I1412" t="s">
        <v>155</v>
      </c>
      <c r="J1412" s="3" t="s">
        <v>3079</v>
      </c>
      <c r="K1412" t="s">
        <v>131</v>
      </c>
      <c r="L1412" s="4">
        <v>6</v>
      </c>
      <c r="M1412" s="4">
        <v>0</v>
      </c>
      <c r="N1412">
        <v>6</v>
      </c>
      <c r="O1412" t="s">
        <v>176</v>
      </c>
      <c r="P1412">
        <v>70</v>
      </c>
      <c r="Q1412">
        <f>QtyRemaining*EstMfgMin/60</f>
        <v>7</v>
      </c>
      <c r="U1412" t="e">
        <f t="shared" si="46"/>
        <v>#REF!</v>
      </c>
      <c r="V1412" s="5" t="e">
        <f t="shared" si="47"/>
        <v>#REF!</v>
      </c>
    </row>
    <row r="1413" spans="1:22" x14ac:dyDescent="0.25">
      <c r="A1413" s="2">
        <v>46146</v>
      </c>
      <c r="B1413" s="2">
        <v>45674</v>
      </c>
      <c r="C1413" t="s">
        <v>570</v>
      </c>
      <c r="D1413">
        <v>19</v>
      </c>
      <c r="E1413" t="s">
        <v>571</v>
      </c>
      <c r="F1413" t="s">
        <v>261</v>
      </c>
      <c r="G1413" t="s">
        <v>262</v>
      </c>
      <c r="H1413" t="s">
        <v>572</v>
      </c>
      <c r="I1413" t="s">
        <v>83</v>
      </c>
      <c r="J1413" s="3" t="s">
        <v>3080</v>
      </c>
      <c r="K1413" t="s">
        <v>3081</v>
      </c>
      <c r="L1413" s="4">
        <v>10</v>
      </c>
      <c r="M1413" s="4">
        <v>0</v>
      </c>
      <c r="N1413">
        <v>10</v>
      </c>
      <c r="O1413" t="s">
        <v>91</v>
      </c>
      <c r="P1413">
        <v>0</v>
      </c>
      <c r="Q1413">
        <f>QtyRemaining*EstMfgMin/60</f>
        <v>0</v>
      </c>
      <c r="U1413" t="e">
        <f t="shared" si="46"/>
        <v>#REF!</v>
      </c>
      <c r="V1413" s="5" t="e">
        <f t="shared" si="47"/>
        <v>#REF!</v>
      </c>
    </row>
    <row r="1414" spans="1:22" x14ac:dyDescent="0.25">
      <c r="A1414" s="2">
        <v>46146</v>
      </c>
      <c r="B1414" s="2">
        <v>45674</v>
      </c>
      <c r="C1414" t="s">
        <v>570</v>
      </c>
      <c r="D1414">
        <v>19</v>
      </c>
      <c r="E1414" t="s">
        <v>571</v>
      </c>
      <c r="F1414" t="s">
        <v>261</v>
      </c>
      <c r="G1414" t="s">
        <v>262</v>
      </c>
      <c r="H1414" t="s">
        <v>572</v>
      </c>
      <c r="I1414" t="s">
        <v>83</v>
      </c>
      <c r="J1414" s="3" t="s">
        <v>3080</v>
      </c>
      <c r="K1414" t="s">
        <v>3081</v>
      </c>
      <c r="L1414" s="4">
        <v>4</v>
      </c>
      <c r="M1414" s="4">
        <v>0</v>
      </c>
      <c r="N1414">
        <v>4</v>
      </c>
      <c r="O1414" t="s">
        <v>91</v>
      </c>
      <c r="P1414">
        <v>0</v>
      </c>
      <c r="Q1414">
        <f>QtyRemaining*EstMfgMin/60</f>
        <v>0</v>
      </c>
      <c r="U1414" t="e">
        <f t="shared" si="46"/>
        <v>#REF!</v>
      </c>
      <c r="V1414" s="5" t="e">
        <f t="shared" si="47"/>
        <v>#REF!</v>
      </c>
    </row>
    <row r="1415" spans="1:22" x14ac:dyDescent="0.25">
      <c r="A1415" s="2">
        <v>46146</v>
      </c>
      <c r="B1415" s="2">
        <v>45754</v>
      </c>
      <c r="C1415" t="s">
        <v>221</v>
      </c>
      <c r="D1415">
        <v>19</v>
      </c>
      <c r="E1415" t="s">
        <v>736</v>
      </c>
      <c r="F1415" t="s">
        <v>211</v>
      </c>
      <c r="G1415" t="s">
        <v>519</v>
      </c>
      <c r="H1415" t="s">
        <v>737</v>
      </c>
      <c r="I1415" t="s">
        <v>83</v>
      </c>
      <c r="J1415" s="3" t="s">
        <v>3082</v>
      </c>
      <c r="K1415" t="s">
        <v>3083</v>
      </c>
      <c r="L1415" s="4">
        <v>14</v>
      </c>
      <c r="M1415" s="4">
        <v>0</v>
      </c>
      <c r="N1415">
        <v>14</v>
      </c>
      <c r="O1415" t="s">
        <v>91</v>
      </c>
      <c r="P1415">
        <v>0</v>
      </c>
      <c r="Q1415">
        <f>QtyRemaining*EstMfgMin/60</f>
        <v>0</v>
      </c>
      <c r="U1415" t="e">
        <f t="shared" si="46"/>
        <v>#REF!</v>
      </c>
      <c r="V1415" s="5" t="e">
        <f t="shared" si="47"/>
        <v>#REF!</v>
      </c>
    </row>
    <row r="1416" spans="1:22" x14ac:dyDescent="0.25">
      <c r="A1416" s="2">
        <v>46146</v>
      </c>
      <c r="B1416" s="2">
        <v>46045</v>
      </c>
      <c r="C1416" t="s">
        <v>485</v>
      </c>
      <c r="D1416">
        <v>19</v>
      </c>
      <c r="E1416" t="s">
        <v>3084</v>
      </c>
      <c r="F1416" t="s">
        <v>211</v>
      </c>
      <c r="G1416" t="s">
        <v>864</v>
      </c>
      <c r="H1416" t="s">
        <v>3085</v>
      </c>
      <c r="I1416" t="s">
        <v>214</v>
      </c>
      <c r="J1416" s="3" t="s">
        <v>2501</v>
      </c>
      <c r="K1416" t="s">
        <v>2502</v>
      </c>
      <c r="L1416" s="4">
        <v>20</v>
      </c>
      <c r="M1416" s="4">
        <v>0</v>
      </c>
      <c r="N1416">
        <v>20</v>
      </c>
      <c r="O1416" t="s">
        <v>1342</v>
      </c>
      <c r="P1416">
        <v>5</v>
      </c>
      <c r="Q1416">
        <f>QtyRemaining*EstMfgMin/60</f>
        <v>1.6666666666666667</v>
      </c>
      <c r="U1416" t="e">
        <f t="shared" si="46"/>
        <v>#REF!</v>
      </c>
      <c r="V1416" s="5" t="e">
        <f t="shared" si="47"/>
        <v>#REF!</v>
      </c>
    </row>
    <row r="1417" spans="1:22" x14ac:dyDescent="0.25">
      <c r="A1417" s="2">
        <v>46146</v>
      </c>
      <c r="B1417" s="2">
        <v>46045</v>
      </c>
      <c r="C1417" t="s">
        <v>485</v>
      </c>
      <c r="D1417">
        <v>19</v>
      </c>
      <c r="E1417" t="s">
        <v>3084</v>
      </c>
      <c r="F1417" t="s">
        <v>211</v>
      </c>
      <c r="G1417" t="s">
        <v>864</v>
      </c>
      <c r="H1417" t="s">
        <v>3085</v>
      </c>
      <c r="I1417" t="s">
        <v>214</v>
      </c>
      <c r="J1417" s="3" t="s">
        <v>1775</v>
      </c>
      <c r="K1417" t="s">
        <v>1776</v>
      </c>
      <c r="L1417" s="4">
        <v>175</v>
      </c>
      <c r="M1417" s="4">
        <v>0</v>
      </c>
      <c r="N1417">
        <v>175</v>
      </c>
      <c r="O1417" t="s">
        <v>176</v>
      </c>
      <c r="P1417">
        <v>10</v>
      </c>
      <c r="Q1417">
        <f>QtyRemaining*EstMfgMin/60</f>
        <v>29.166666666666668</v>
      </c>
      <c r="U1417" t="e">
        <f t="shared" si="46"/>
        <v>#REF!</v>
      </c>
      <c r="V1417" s="5" t="e">
        <f t="shared" si="47"/>
        <v>#REF!</v>
      </c>
    </row>
    <row r="1418" spans="1:22" x14ac:dyDescent="0.25">
      <c r="A1418" s="2">
        <v>46146</v>
      </c>
      <c r="B1418" s="2">
        <v>46045</v>
      </c>
      <c r="C1418" t="s">
        <v>485</v>
      </c>
      <c r="D1418">
        <v>19</v>
      </c>
      <c r="E1418" t="s">
        <v>3086</v>
      </c>
      <c r="F1418" t="s">
        <v>211</v>
      </c>
      <c r="G1418" t="s">
        <v>864</v>
      </c>
      <c r="H1418" t="s">
        <v>3087</v>
      </c>
      <c r="I1418" t="s">
        <v>214</v>
      </c>
      <c r="J1418" s="3" t="s">
        <v>3088</v>
      </c>
      <c r="K1418" t="s">
        <v>3089</v>
      </c>
      <c r="L1418" s="4">
        <v>50</v>
      </c>
      <c r="M1418" s="4">
        <v>0</v>
      </c>
      <c r="N1418">
        <v>50</v>
      </c>
      <c r="O1418" t="s">
        <v>211</v>
      </c>
      <c r="P1418">
        <v>12</v>
      </c>
      <c r="Q1418">
        <f>QtyRemaining*EstMfgMin/60</f>
        <v>10</v>
      </c>
      <c r="U1418" t="e">
        <f t="shared" si="46"/>
        <v>#REF!</v>
      </c>
      <c r="V1418" s="5" t="e">
        <f t="shared" si="47"/>
        <v>#REF!</v>
      </c>
    </row>
    <row r="1419" spans="1:22" x14ac:dyDescent="0.25">
      <c r="A1419" s="2">
        <v>46147</v>
      </c>
      <c r="B1419" s="2">
        <v>45972</v>
      </c>
      <c r="C1419" t="s">
        <v>485</v>
      </c>
      <c r="D1419">
        <v>19</v>
      </c>
      <c r="E1419" t="s">
        <v>1078</v>
      </c>
      <c r="F1419" t="s">
        <v>211</v>
      </c>
      <c r="G1419" t="s">
        <v>761</v>
      </c>
      <c r="H1419" t="s">
        <v>1079</v>
      </c>
      <c r="I1419" t="s">
        <v>214</v>
      </c>
      <c r="J1419" s="3" t="s">
        <v>2434</v>
      </c>
      <c r="K1419" t="s">
        <v>2435</v>
      </c>
      <c r="L1419" s="4">
        <v>50</v>
      </c>
      <c r="M1419" s="4">
        <v>0</v>
      </c>
      <c r="N1419">
        <v>50</v>
      </c>
      <c r="O1419" t="s">
        <v>1082</v>
      </c>
      <c r="P1419">
        <v>24</v>
      </c>
      <c r="Q1419">
        <f>QtyRemaining*EstMfgMin/60</f>
        <v>20</v>
      </c>
      <c r="U1419" t="e">
        <f t="shared" si="46"/>
        <v>#REF!</v>
      </c>
      <c r="V1419" s="5" t="e">
        <f t="shared" si="47"/>
        <v>#REF!</v>
      </c>
    </row>
    <row r="1420" spans="1:22" x14ac:dyDescent="0.25">
      <c r="A1420" s="2">
        <v>46147</v>
      </c>
      <c r="B1420" s="2">
        <v>45972</v>
      </c>
      <c r="C1420" t="s">
        <v>485</v>
      </c>
      <c r="D1420">
        <v>19</v>
      </c>
      <c r="E1420" t="s">
        <v>1078</v>
      </c>
      <c r="F1420" t="s">
        <v>211</v>
      </c>
      <c r="G1420" t="s">
        <v>761</v>
      </c>
      <c r="H1420" t="s">
        <v>1079</v>
      </c>
      <c r="I1420" t="s">
        <v>214</v>
      </c>
      <c r="J1420" s="3" t="s">
        <v>2436</v>
      </c>
      <c r="K1420" t="s">
        <v>2437</v>
      </c>
      <c r="L1420" s="4">
        <v>20</v>
      </c>
      <c r="M1420" s="4">
        <v>0</v>
      </c>
      <c r="N1420">
        <v>20</v>
      </c>
      <c r="O1420" t="s">
        <v>176</v>
      </c>
      <c r="P1420">
        <v>20</v>
      </c>
      <c r="Q1420">
        <f>QtyRemaining*EstMfgMin/60</f>
        <v>6.666666666666667</v>
      </c>
      <c r="U1420" t="e">
        <f t="shared" si="46"/>
        <v>#REF!</v>
      </c>
      <c r="V1420" s="5" t="e">
        <f t="shared" si="47"/>
        <v>#REF!</v>
      </c>
    </row>
    <row r="1421" spans="1:22" x14ac:dyDescent="0.25">
      <c r="A1421" s="2">
        <v>46147</v>
      </c>
      <c r="B1421" s="2">
        <v>45972</v>
      </c>
      <c r="C1421" t="s">
        <v>485</v>
      </c>
      <c r="D1421">
        <v>19</v>
      </c>
      <c r="E1421" t="s">
        <v>1078</v>
      </c>
      <c r="F1421" t="s">
        <v>211</v>
      </c>
      <c r="G1421" t="s">
        <v>761</v>
      </c>
      <c r="H1421" t="s">
        <v>1079</v>
      </c>
      <c r="I1421" t="s">
        <v>214</v>
      </c>
      <c r="J1421" s="3" t="s">
        <v>1786</v>
      </c>
      <c r="K1421" t="s">
        <v>1787</v>
      </c>
      <c r="L1421" s="4">
        <v>10</v>
      </c>
      <c r="M1421" s="4">
        <v>0</v>
      </c>
      <c r="N1421">
        <v>10</v>
      </c>
      <c r="O1421" t="s">
        <v>765</v>
      </c>
      <c r="P1421">
        <v>13</v>
      </c>
      <c r="Q1421">
        <f>QtyRemaining*EstMfgMin/60</f>
        <v>2.1666666666666665</v>
      </c>
      <c r="U1421" t="e">
        <f t="shared" si="46"/>
        <v>#REF!</v>
      </c>
      <c r="V1421" s="5" t="e">
        <f t="shared" si="47"/>
        <v>#REF!</v>
      </c>
    </row>
    <row r="1422" spans="1:22" x14ac:dyDescent="0.25">
      <c r="A1422" s="2">
        <v>46147</v>
      </c>
      <c r="B1422" s="2">
        <v>45972</v>
      </c>
      <c r="C1422" t="s">
        <v>485</v>
      </c>
      <c r="D1422">
        <v>19</v>
      </c>
      <c r="E1422" t="s">
        <v>1078</v>
      </c>
      <c r="F1422" t="s">
        <v>211</v>
      </c>
      <c r="G1422" t="s">
        <v>761</v>
      </c>
      <c r="H1422" t="s">
        <v>1079</v>
      </c>
      <c r="I1422" t="s">
        <v>214</v>
      </c>
      <c r="J1422" s="3" t="s">
        <v>1788</v>
      </c>
      <c r="K1422" t="s">
        <v>1789</v>
      </c>
      <c r="L1422" s="4">
        <v>25</v>
      </c>
      <c r="M1422" s="4">
        <v>0</v>
      </c>
      <c r="N1422">
        <v>25</v>
      </c>
      <c r="O1422" t="s">
        <v>765</v>
      </c>
      <c r="P1422">
        <v>16</v>
      </c>
      <c r="Q1422">
        <f>QtyRemaining*EstMfgMin/60</f>
        <v>6.666666666666667</v>
      </c>
      <c r="U1422" t="e">
        <f t="shared" si="46"/>
        <v>#REF!</v>
      </c>
      <c r="V1422" s="5" t="e">
        <f t="shared" si="47"/>
        <v>#REF!</v>
      </c>
    </row>
    <row r="1423" spans="1:22" x14ac:dyDescent="0.25">
      <c r="A1423" s="2">
        <v>46147</v>
      </c>
      <c r="B1423" s="2">
        <v>46002</v>
      </c>
      <c r="C1423" t="s">
        <v>633</v>
      </c>
      <c r="D1423">
        <v>19</v>
      </c>
      <c r="E1423" t="s">
        <v>3090</v>
      </c>
      <c r="F1423" t="s">
        <v>261</v>
      </c>
      <c r="G1423" t="s">
        <v>262</v>
      </c>
      <c r="H1423" t="s">
        <v>3091</v>
      </c>
      <c r="I1423" t="s">
        <v>155</v>
      </c>
      <c r="J1423" s="3" t="s">
        <v>3079</v>
      </c>
      <c r="K1423" t="s">
        <v>131</v>
      </c>
      <c r="L1423" s="4">
        <v>11</v>
      </c>
      <c r="M1423" s="4">
        <v>0</v>
      </c>
      <c r="N1423">
        <v>11</v>
      </c>
      <c r="O1423" t="s">
        <v>176</v>
      </c>
      <c r="P1423">
        <v>70</v>
      </c>
      <c r="Q1423">
        <f>QtyRemaining*EstMfgMin/60</f>
        <v>12.833333333333334</v>
      </c>
      <c r="U1423" t="e">
        <f t="shared" si="46"/>
        <v>#REF!</v>
      </c>
      <c r="V1423" s="5" t="e">
        <f t="shared" si="47"/>
        <v>#REF!</v>
      </c>
    </row>
    <row r="1424" spans="1:22" x14ac:dyDescent="0.25">
      <c r="A1424" s="2">
        <v>46148</v>
      </c>
      <c r="B1424" s="2">
        <v>45856</v>
      </c>
      <c r="C1424" t="s">
        <v>570</v>
      </c>
      <c r="D1424">
        <v>19</v>
      </c>
      <c r="E1424" t="s">
        <v>2538</v>
      </c>
      <c r="F1424" t="s">
        <v>261</v>
      </c>
      <c r="G1424" t="s">
        <v>1455</v>
      </c>
      <c r="H1424" t="s">
        <v>2539</v>
      </c>
      <c r="I1424" t="s">
        <v>83</v>
      </c>
      <c r="J1424" s="3" t="s">
        <v>3092</v>
      </c>
      <c r="K1424" t="s">
        <v>3093</v>
      </c>
      <c r="L1424" s="4">
        <v>5</v>
      </c>
      <c r="M1424" s="4">
        <v>0</v>
      </c>
      <c r="N1424">
        <v>5</v>
      </c>
      <c r="O1424" t="s">
        <v>176</v>
      </c>
      <c r="P1424">
        <v>210</v>
      </c>
      <c r="Q1424">
        <f>QtyRemaining*EstMfgMin/60</f>
        <v>17.5</v>
      </c>
      <c r="S1424" t="s">
        <v>499</v>
      </c>
      <c r="U1424" t="e">
        <f t="shared" si="46"/>
        <v>#REF!</v>
      </c>
      <c r="V1424" s="5" t="e">
        <f t="shared" si="47"/>
        <v>#REF!</v>
      </c>
    </row>
    <row r="1425" spans="1:22" x14ac:dyDescent="0.25">
      <c r="A1425" s="2">
        <v>46148</v>
      </c>
      <c r="B1425" s="2">
        <v>45856</v>
      </c>
      <c r="C1425" t="s">
        <v>570</v>
      </c>
      <c r="D1425">
        <v>19</v>
      </c>
      <c r="E1425" t="s">
        <v>2538</v>
      </c>
      <c r="F1425" t="s">
        <v>261</v>
      </c>
      <c r="G1425" t="s">
        <v>1455</v>
      </c>
      <c r="H1425" t="s">
        <v>2539</v>
      </c>
      <c r="I1425" t="s">
        <v>83</v>
      </c>
      <c r="J1425" s="3" t="s">
        <v>3092</v>
      </c>
      <c r="K1425" t="s">
        <v>3093</v>
      </c>
      <c r="L1425" s="4">
        <v>2</v>
      </c>
      <c r="M1425" s="4">
        <v>0</v>
      </c>
      <c r="N1425">
        <v>2</v>
      </c>
      <c r="O1425" t="s">
        <v>176</v>
      </c>
      <c r="P1425">
        <v>210</v>
      </c>
      <c r="Q1425">
        <f>QtyRemaining*EstMfgMin/60</f>
        <v>7</v>
      </c>
      <c r="S1425" t="s">
        <v>499</v>
      </c>
      <c r="U1425" t="e">
        <f t="shared" si="46"/>
        <v>#REF!</v>
      </c>
      <c r="V1425" s="5" t="e">
        <f t="shared" si="47"/>
        <v>#REF!</v>
      </c>
    </row>
    <row r="1426" spans="1:22" x14ac:dyDescent="0.25">
      <c r="A1426" s="2">
        <v>46148</v>
      </c>
      <c r="B1426" s="2">
        <v>45856</v>
      </c>
      <c r="C1426" t="s">
        <v>570</v>
      </c>
      <c r="D1426">
        <v>19</v>
      </c>
      <c r="E1426" t="s">
        <v>2538</v>
      </c>
      <c r="F1426" t="s">
        <v>261</v>
      </c>
      <c r="G1426" t="s">
        <v>1455</v>
      </c>
      <c r="H1426" t="s">
        <v>2539</v>
      </c>
      <c r="I1426" t="s">
        <v>83</v>
      </c>
      <c r="J1426" s="3" t="s">
        <v>3092</v>
      </c>
      <c r="K1426" t="s">
        <v>3093</v>
      </c>
      <c r="L1426" s="4">
        <v>2</v>
      </c>
      <c r="M1426" s="4">
        <v>0</v>
      </c>
      <c r="N1426">
        <v>2</v>
      </c>
      <c r="O1426" t="s">
        <v>176</v>
      </c>
      <c r="P1426">
        <v>210</v>
      </c>
      <c r="Q1426">
        <f>QtyRemaining*EstMfgMin/60</f>
        <v>7</v>
      </c>
      <c r="S1426" t="s">
        <v>499</v>
      </c>
      <c r="U1426" t="e">
        <f t="shared" si="46"/>
        <v>#REF!</v>
      </c>
      <c r="V1426" s="5" t="e">
        <f t="shared" si="47"/>
        <v>#REF!</v>
      </c>
    </row>
    <row r="1427" spans="1:22" x14ac:dyDescent="0.25">
      <c r="A1427" s="2">
        <v>46148</v>
      </c>
      <c r="B1427" s="2">
        <v>45931</v>
      </c>
      <c r="C1427" t="s">
        <v>633</v>
      </c>
      <c r="D1427">
        <v>19</v>
      </c>
      <c r="E1427" t="s">
        <v>3094</v>
      </c>
      <c r="F1427" t="s">
        <v>261</v>
      </c>
      <c r="G1427" t="s">
        <v>262</v>
      </c>
      <c r="H1427" t="s">
        <v>3095</v>
      </c>
      <c r="I1427" t="s">
        <v>83</v>
      </c>
      <c r="J1427" s="3" t="s">
        <v>3096</v>
      </c>
      <c r="K1427" t="s">
        <v>131</v>
      </c>
      <c r="L1427" s="4">
        <v>5</v>
      </c>
      <c r="M1427" s="4">
        <v>0</v>
      </c>
      <c r="N1427">
        <v>5</v>
      </c>
      <c r="O1427" t="s">
        <v>94</v>
      </c>
      <c r="P1427">
        <v>76</v>
      </c>
      <c r="Q1427">
        <f>QtyRemaining*EstMfgMin/60</f>
        <v>6.333333333333333</v>
      </c>
      <c r="U1427" t="e">
        <f t="shared" si="46"/>
        <v>#REF!</v>
      </c>
      <c r="V1427" s="5" t="e">
        <f t="shared" si="47"/>
        <v>#REF!</v>
      </c>
    </row>
    <row r="1428" spans="1:22" x14ac:dyDescent="0.25">
      <c r="A1428" s="2">
        <v>46148</v>
      </c>
      <c r="B1428" s="2">
        <v>45953</v>
      </c>
      <c r="C1428" t="s">
        <v>633</v>
      </c>
      <c r="D1428">
        <v>19</v>
      </c>
      <c r="E1428" t="s">
        <v>3097</v>
      </c>
      <c r="F1428" t="s">
        <v>261</v>
      </c>
      <c r="G1428" t="s">
        <v>262</v>
      </c>
      <c r="H1428" t="s">
        <v>3098</v>
      </c>
      <c r="I1428" t="s">
        <v>45</v>
      </c>
      <c r="J1428" s="3" t="s">
        <v>787</v>
      </c>
      <c r="K1428" t="s">
        <v>788</v>
      </c>
      <c r="L1428" s="4">
        <v>111</v>
      </c>
      <c r="M1428" s="4">
        <v>0</v>
      </c>
      <c r="N1428">
        <v>111</v>
      </c>
      <c r="O1428" t="s">
        <v>457</v>
      </c>
      <c r="P1428">
        <v>100</v>
      </c>
      <c r="Q1428">
        <f>QtyRemaining*EstMfgMin/60</f>
        <v>185</v>
      </c>
      <c r="U1428" t="e">
        <f t="shared" si="46"/>
        <v>#REF!</v>
      </c>
      <c r="V1428" s="5" t="e">
        <f t="shared" si="47"/>
        <v>#REF!</v>
      </c>
    </row>
    <row r="1429" spans="1:22" x14ac:dyDescent="0.25">
      <c r="A1429" s="2">
        <v>46148</v>
      </c>
      <c r="B1429" s="2">
        <v>45981</v>
      </c>
      <c r="C1429" t="s">
        <v>478</v>
      </c>
      <c r="D1429">
        <v>19</v>
      </c>
      <c r="E1429" t="s">
        <v>1909</v>
      </c>
      <c r="F1429" t="s">
        <v>261</v>
      </c>
      <c r="G1429" t="s">
        <v>670</v>
      </c>
      <c r="H1429" t="s">
        <v>1910</v>
      </c>
      <c r="I1429" t="s">
        <v>83</v>
      </c>
      <c r="J1429" s="3" t="s">
        <v>3099</v>
      </c>
      <c r="K1429" t="s">
        <v>3100</v>
      </c>
      <c r="L1429" s="4">
        <v>69</v>
      </c>
      <c r="M1429" s="4">
        <v>0</v>
      </c>
      <c r="N1429">
        <v>69</v>
      </c>
      <c r="O1429" t="s">
        <v>176</v>
      </c>
      <c r="P1429">
        <v>120</v>
      </c>
      <c r="Q1429">
        <f>QtyRemaining*EstMfgMin/60</f>
        <v>138</v>
      </c>
      <c r="U1429" t="e">
        <f t="shared" si="46"/>
        <v>#REF!</v>
      </c>
      <c r="V1429" s="5" t="e">
        <f t="shared" si="47"/>
        <v>#REF!</v>
      </c>
    </row>
    <row r="1430" spans="1:22" x14ac:dyDescent="0.25">
      <c r="A1430" s="2">
        <v>46149</v>
      </c>
      <c r="B1430" s="2">
        <v>45783</v>
      </c>
      <c r="C1430" t="s">
        <v>478</v>
      </c>
      <c r="D1430">
        <v>19</v>
      </c>
      <c r="E1430" t="s">
        <v>1227</v>
      </c>
      <c r="F1430" t="s">
        <v>261</v>
      </c>
      <c r="G1430" t="s">
        <v>1228</v>
      </c>
      <c r="H1430" t="s">
        <v>1229</v>
      </c>
      <c r="I1430" t="s">
        <v>83</v>
      </c>
      <c r="J1430" s="3" t="s">
        <v>1230</v>
      </c>
      <c r="K1430" t="s">
        <v>1231</v>
      </c>
      <c r="L1430" s="4">
        <v>35</v>
      </c>
      <c r="M1430" s="4">
        <v>0</v>
      </c>
      <c r="N1430">
        <v>35</v>
      </c>
      <c r="O1430" t="s">
        <v>457</v>
      </c>
      <c r="P1430">
        <v>15</v>
      </c>
      <c r="Q1430">
        <f>QtyRemaining*EstMfgMin/60</f>
        <v>8.75</v>
      </c>
      <c r="S1430" t="s">
        <v>1026</v>
      </c>
      <c r="U1430" t="e">
        <f t="shared" si="46"/>
        <v>#REF!</v>
      </c>
      <c r="V1430" s="5" t="e">
        <f t="shared" si="47"/>
        <v>#REF!</v>
      </c>
    </row>
    <row r="1431" spans="1:22" x14ac:dyDescent="0.25">
      <c r="A1431" s="2">
        <v>46149</v>
      </c>
      <c r="B1431" s="2">
        <v>46045</v>
      </c>
      <c r="C1431" t="s">
        <v>465</v>
      </c>
      <c r="D1431">
        <v>19</v>
      </c>
      <c r="E1431" t="s">
        <v>2843</v>
      </c>
      <c r="F1431" t="s">
        <v>211</v>
      </c>
      <c r="G1431" t="s">
        <v>467</v>
      </c>
      <c r="H1431" t="s">
        <v>2844</v>
      </c>
      <c r="I1431" t="s">
        <v>214</v>
      </c>
      <c r="J1431" s="3" t="s">
        <v>2011</v>
      </c>
      <c r="K1431" t="s">
        <v>3101</v>
      </c>
      <c r="L1431" s="4">
        <v>12</v>
      </c>
      <c r="M1431" s="4">
        <v>0</v>
      </c>
      <c r="N1431">
        <v>12</v>
      </c>
      <c r="O1431" t="s">
        <v>176</v>
      </c>
      <c r="P1431">
        <v>5</v>
      </c>
      <c r="Q1431">
        <f>QtyRemaining*EstMfgMin/60</f>
        <v>1</v>
      </c>
      <c r="U1431" t="e">
        <f t="shared" si="46"/>
        <v>#REF!</v>
      </c>
      <c r="V1431" s="5" t="e">
        <f t="shared" si="47"/>
        <v>#REF!</v>
      </c>
    </row>
    <row r="1432" spans="1:22" x14ac:dyDescent="0.25">
      <c r="A1432" s="2">
        <v>46149</v>
      </c>
      <c r="B1432" s="2">
        <v>46045</v>
      </c>
      <c r="C1432" t="s">
        <v>465</v>
      </c>
      <c r="D1432">
        <v>19</v>
      </c>
      <c r="E1432" t="s">
        <v>2843</v>
      </c>
      <c r="F1432" t="s">
        <v>211</v>
      </c>
      <c r="G1432" t="s">
        <v>467</v>
      </c>
      <c r="H1432" t="s">
        <v>2844</v>
      </c>
      <c r="I1432" t="s">
        <v>214</v>
      </c>
      <c r="J1432" s="3" t="s">
        <v>2013</v>
      </c>
      <c r="K1432" t="s">
        <v>3102</v>
      </c>
      <c r="L1432" s="4">
        <v>12</v>
      </c>
      <c r="M1432" s="4">
        <v>0</v>
      </c>
      <c r="N1432">
        <v>12</v>
      </c>
      <c r="O1432" t="s">
        <v>176</v>
      </c>
      <c r="P1432">
        <v>5</v>
      </c>
      <c r="Q1432">
        <f>QtyRemaining*EstMfgMin/60</f>
        <v>1</v>
      </c>
      <c r="U1432" t="e">
        <f t="shared" si="46"/>
        <v>#REF!</v>
      </c>
      <c r="V1432" s="5" t="e">
        <f t="shared" si="47"/>
        <v>#REF!</v>
      </c>
    </row>
    <row r="1433" spans="1:22" x14ac:dyDescent="0.25">
      <c r="A1433" s="2">
        <v>46150</v>
      </c>
      <c r="B1433" s="2">
        <v>45632</v>
      </c>
      <c r="C1433" t="s">
        <v>478</v>
      </c>
      <c r="D1433">
        <v>19</v>
      </c>
      <c r="E1433" t="s">
        <v>1137</v>
      </c>
      <c r="F1433" t="s">
        <v>261</v>
      </c>
      <c r="G1433" t="s">
        <v>510</v>
      </c>
      <c r="H1433" t="s">
        <v>1138</v>
      </c>
      <c r="I1433" t="s">
        <v>122</v>
      </c>
      <c r="J1433" s="3" t="s">
        <v>512</v>
      </c>
      <c r="K1433" t="s">
        <v>513</v>
      </c>
      <c r="L1433" s="4">
        <v>3</v>
      </c>
      <c r="M1433" s="4">
        <v>0</v>
      </c>
      <c r="N1433">
        <v>3</v>
      </c>
      <c r="O1433" t="s">
        <v>1139</v>
      </c>
      <c r="P1433">
        <v>1394</v>
      </c>
      <c r="Q1433">
        <f>QtyRemaining*EstMfgMin/60</f>
        <v>69.7</v>
      </c>
      <c r="U1433" t="e">
        <f t="shared" si="46"/>
        <v>#REF!</v>
      </c>
      <c r="V1433" s="5" t="e">
        <f t="shared" si="47"/>
        <v>#REF!</v>
      </c>
    </row>
    <row r="1434" spans="1:22" x14ac:dyDescent="0.25">
      <c r="A1434" s="2">
        <v>46150</v>
      </c>
      <c r="B1434" s="2">
        <v>45700</v>
      </c>
      <c r="C1434" t="s">
        <v>523</v>
      </c>
      <c r="D1434">
        <v>19</v>
      </c>
      <c r="E1434" t="s">
        <v>524</v>
      </c>
      <c r="F1434" t="s">
        <v>261</v>
      </c>
      <c r="G1434" t="s">
        <v>525</v>
      </c>
      <c r="H1434" t="s">
        <v>526</v>
      </c>
      <c r="I1434" t="s">
        <v>83</v>
      </c>
      <c r="J1434" s="3" t="s">
        <v>3103</v>
      </c>
      <c r="K1434" t="s">
        <v>1141</v>
      </c>
      <c r="L1434" s="4">
        <v>10</v>
      </c>
      <c r="M1434" s="4">
        <v>0</v>
      </c>
      <c r="N1434">
        <v>10</v>
      </c>
      <c r="O1434" t="s">
        <v>118</v>
      </c>
      <c r="P1434">
        <v>105</v>
      </c>
      <c r="Q1434">
        <f>QtyRemaining*EstMfgMin/60</f>
        <v>17.5</v>
      </c>
      <c r="U1434" t="e">
        <f t="shared" si="46"/>
        <v>#REF!</v>
      </c>
      <c r="V1434" s="5" t="e">
        <f t="shared" si="47"/>
        <v>#REF!</v>
      </c>
    </row>
    <row r="1435" spans="1:22" x14ac:dyDescent="0.25">
      <c r="A1435" s="2">
        <v>46150</v>
      </c>
      <c r="B1435" s="2">
        <v>45700</v>
      </c>
      <c r="C1435" t="s">
        <v>523</v>
      </c>
      <c r="D1435">
        <v>19</v>
      </c>
      <c r="E1435" t="s">
        <v>524</v>
      </c>
      <c r="F1435" t="s">
        <v>261</v>
      </c>
      <c r="G1435" t="s">
        <v>525</v>
      </c>
      <c r="H1435" t="s">
        <v>526</v>
      </c>
      <c r="I1435" t="s">
        <v>83</v>
      </c>
      <c r="J1435" s="3" t="s">
        <v>1142</v>
      </c>
      <c r="K1435" t="s">
        <v>1141</v>
      </c>
      <c r="L1435" s="4">
        <v>10</v>
      </c>
      <c r="M1435" s="4">
        <v>0</v>
      </c>
      <c r="N1435">
        <v>10</v>
      </c>
      <c r="O1435" t="s">
        <v>118</v>
      </c>
      <c r="P1435">
        <v>105</v>
      </c>
      <c r="Q1435">
        <f>QtyRemaining*EstMfgMin/60</f>
        <v>17.5</v>
      </c>
      <c r="U1435" t="e">
        <f t="shared" si="46"/>
        <v>#REF!</v>
      </c>
      <c r="V1435" s="5" t="e">
        <f t="shared" si="47"/>
        <v>#REF!</v>
      </c>
    </row>
    <row r="1436" spans="1:22" x14ac:dyDescent="0.25">
      <c r="A1436" s="2">
        <v>46150</v>
      </c>
      <c r="B1436" s="2">
        <v>45700</v>
      </c>
      <c r="C1436" t="s">
        <v>523</v>
      </c>
      <c r="D1436">
        <v>19</v>
      </c>
      <c r="E1436" t="s">
        <v>524</v>
      </c>
      <c r="F1436" t="s">
        <v>261</v>
      </c>
      <c r="G1436" t="s">
        <v>525</v>
      </c>
      <c r="H1436" t="s">
        <v>526</v>
      </c>
      <c r="I1436" t="s">
        <v>83</v>
      </c>
      <c r="J1436" s="3" t="s">
        <v>1143</v>
      </c>
      <c r="K1436" t="s">
        <v>1141</v>
      </c>
      <c r="L1436" s="4">
        <v>5</v>
      </c>
      <c r="M1436" s="4">
        <v>0</v>
      </c>
      <c r="N1436">
        <v>5</v>
      </c>
      <c r="O1436" t="s">
        <v>118</v>
      </c>
      <c r="P1436">
        <v>105</v>
      </c>
      <c r="Q1436">
        <f>QtyRemaining*EstMfgMin/60</f>
        <v>8.75</v>
      </c>
      <c r="U1436" t="e">
        <f t="shared" si="46"/>
        <v>#REF!</v>
      </c>
      <c r="V1436" s="5" t="e">
        <f t="shared" si="47"/>
        <v>#REF!</v>
      </c>
    </row>
    <row r="1437" spans="1:22" x14ac:dyDescent="0.25">
      <c r="A1437" s="2">
        <v>46150</v>
      </c>
      <c r="B1437" s="2">
        <v>45700</v>
      </c>
      <c r="C1437" t="s">
        <v>523</v>
      </c>
      <c r="D1437">
        <v>19</v>
      </c>
      <c r="E1437" t="s">
        <v>524</v>
      </c>
      <c r="F1437" t="s">
        <v>261</v>
      </c>
      <c r="G1437" t="s">
        <v>525</v>
      </c>
      <c r="H1437" t="s">
        <v>526</v>
      </c>
      <c r="I1437" t="s">
        <v>83</v>
      </c>
      <c r="J1437" s="3" t="s">
        <v>1144</v>
      </c>
      <c r="K1437" t="s">
        <v>1141</v>
      </c>
      <c r="L1437" s="4">
        <v>10</v>
      </c>
      <c r="M1437" s="4">
        <v>0</v>
      </c>
      <c r="N1437">
        <v>10</v>
      </c>
      <c r="O1437" t="s">
        <v>118</v>
      </c>
      <c r="P1437">
        <v>105</v>
      </c>
      <c r="Q1437">
        <f>QtyRemaining*EstMfgMin/60</f>
        <v>17.5</v>
      </c>
      <c r="U1437" t="e">
        <f t="shared" si="46"/>
        <v>#REF!</v>
      </c>
      <c r="V1437" s="5" t="e">
        <f t="shared" si="47"/>
        <v>#REF!</v>
      </c>
    </row>
    <row r="1438" spans="1:22" x14ac:dyDescent="0.25">
      <c r="A1438" s="2">
        <v>46150</v>
      </c>
      <c r="B1438" s="2">
        <v>45700</v>
      </c>
      <c r="C1438" t="s">
        <v>523</v>
      </c>
      <c r="D1438">
        <v>19</v>
      </c>
      <c r="E1438" t="s">
        <v>524</v>
      </c>
      <c r="F1438" t="s">
        <v>261</v>
      </c>
      <c r="G1438" t="s">
        <v>525</v>
      </c>
      <c r="H1438" t="s">
        <v>526</v>
      </c>
      <c r="I1438" t="s">
        <v>83</v>
      </c>
      <c r="J1438" s="3" t="s">
        <v>1145</v>
      </c>
      <c r="K1438" t="s">
        <v>1141</v>
      </c>
      <c r="L1438" s="4">
        <v>10</v>
      </c>
      <c r="M1438" s="4">
        <v>0</v>
      </c>
      <c r="N1438">
        <v>10</v>
      </c>
      <c r="O1438" t="s">
        <v>118</v>
      </c>
      <c r="P1438">
        <v>105</v>
      </c>
      <c r="Q1438">
        <f>QtyRemaining*EstMfgMin/60</f>
        <v>17.5</v>
      </c>
      <c r="U1438" t="e">
        <f t="shared" si="46"/>
        <v>#REF!</v>
      </c>
      <c r="V1438" s="5" t="e">
        <f t="shared" si="47"/>
        <v>#REF!</v>
      </c>
    </row>
    <row r="1439" spans="1:22" x14ac:dyDescent="0.25">
      <c r="A1439" s="2">
        <v>46150</v>
      </c>
      <c r="B1439" s="2">
        <v>45933</v>
      </c>
      <c r="C1439" t="s">
        <v>465</v>
      </c>
      <c r="D1439">
        <v>19</v>
      </c>
      <c r="E1439" t="s">
        <v>3104</v>
      </c>
      <c r="F1439" t="s">
        <v>211</v>
      </c>
      <c r="G1439" t="s">
        <v>467</v>
      </c>
      <c r="H1439" t="s">
        <v>3105</v>
      </c>
      <c r="I1439" t="s">
        <v>214</v>
      </c>
      <c r="J1439" s="3" t="s">
        <v>3106</v>
      </c>
      <c r="K1439" t="s">
        <v>3107</v>
      </c>
      <c r="L1439" s="4">
        <v>1</v>
      </c>
      <c r="M1439" s="4">
        <v>0</v>
      </c>
      <c r="N1439">
        <v>1</v>
      </c>
      <c r="O1439" t="s">
        <v>176</v>
      </c>
      <c r="P1439">
        <v>18</v>
      </c>
      <c r="Q1439">
        <f>QtyRemaining*EstMfgMin/60</f>
        <v>0.3</v>
      </c>
      <c r="U1439" t="e">
        <f t="shared" si="46"/>
        <v>#REF!</v>
      </c>
      <c r="V1439" s="5" t="e">
        <f t="shared" si="47"/>
        <v>#REF!</v>
      </c>
    </row>
    <row r="1440" spans="1:22" x14ac:dyDescent="0.25">
      <c r="A1440" s="2">
        <v>46150</v>
      </c>
      <c r="B1440" s="2">
        <v>45980</v>
      </c>
      <c r="C1440" t="s">
        <v>232</v>
      </c>
      <c r="D1440">
        <v>19</v>
      </c>
      <c r="E1440" t="s">
        <v>3108</v>
      </c>
      <c r="F1440" t="s">
        <v>211</v>
      </c>
      <c r="G1440" t="s">
        <v>1184</v>
      </c>
      <c r="H1440" t="s">
        <v>3109</v>
      </c>
      <c r="I1440" t="s">
        <v>83</v>
      </c>
      <c r="J1440" s="3" t="s">
        <v>1885</v>
      </c>
      <c r="K1440" t="s">
        <v>1886</v>
      </c>
      <c r="L1440" s="4">
        <v>2</v>
      </c>
      <c r="M1440" s="4">
        <v>0</v>
      </c>
      <c r="N1440">
        <v>2</v>
      </c>
      <c r="O1440" t="s">
        <v>643</v>
      </c>
      <c r="P1440">
        <v>65</v>
      </c>
      <c r="Q1440">
        <f>QtyRemaining*EstMfgMin/60</f>
        <v>2.1666666666666665</v>
      </c>
      <c r="U1440" t="e">
        <f t="shared" si="46"/>
        <v>#REF!</v>
      </c>
      <c r="V1440" s="5" t="e">
        <f t="shared" si="47"/>
        <v>#REF!</v>
      </c>
    </row>
    <row r="1441" spans="1:22" x14ac:dyDescent="0.25">
      <c r="A1441" s="2">
        <v>46150</v>
      </c>
      <c r="B1441" s="2">
        <v>45981</v>
      </c>
      <c r="C1441" t="s">
        <v>478</v>
      </c>
      <c r="D1441">
        <v>19</v>
      </c>
      <c r="E1441" t="s">
        <v>1909</v>
      </c>
      <c r="F1441" t="s">
        <v>261</v>
      </c>
      <c r="G1441" t="s">
        <v>670</v>
      </c>
      <c r="H1441" t="s">
        <v>1910</v>
      </c>
      <c r="I1441" t="s">
        <v>83</v>
      </c>
      <c r="J1441" s="3" t="s">
        <v>3110</v>
      </c>
      <c r="K1441" t="s">
        <v>3111</v>
      </c>
      <c r="L1441" s="4">
        <v>210</v>
      </c>
      <c r="M1441" s="4">
        <v>0</v>
      </c>
      <c r="N1441">
        <v>210</v>
      </c>
      <c r="O1441" t="s">
        <v>176</v>
      </c>
      <c r="P1441">
        <v>90</v>
      </c>
      <c r="Q1441">
        <f>QtyRemaining*EstMfgMin/60</f>
        <v>315</v>
      </c>
      <c r="U1441" t="e">
        <f t="shared" si="46"/>
        <v>#REF!</v>
      </c>
      <c r="V1441" s="5" t="e">
        <f t="shared" si="47"/>
        <v>#REF!</v>
      </c>
    </row>
    <row r="1442" spans="1:22" x14ac:dyDescent="0.25">
      <c r="A1442" s="2">
        <v>46150</v>
      </c>
      <c r="B1442" s="2">
        <v>46049</v>
      </c>
      <c r="C1442" t="s">
        <v>633</v>
      </c>
      <c r="D1442">
        <v>19</v>
      </c>
      <c r="E1442" t="s">
        <v>3112</v>
      </c>
      <c r="F1442" t="s">
        <v>211</v>
      </c>
      <c r="G1442" t="s">
        <v>262</v>
      </c>
      <c r="H1442" t="s">
        <v>3113</v>
      </c>
      <c r="I1442" t="s">
        <v>45</v>
      </c>
      <c r="J1442" s="3" t="s">
        <v>3114</v>
      </c>
      <c r="K1442" t="s">
        <v>3115</v>
      </c>
      <c r="L1442" s="4">
        <v>6</v>
      </c>
      <c r="M1442" s="4">
        <v>0</v>
      </c>
      <c r="N1442">
        <v>6</v>
      </c>
      <c r="O1442" t="s">
        <v>86</v>
      </c>
      <c r="P1442">
        <v>0</v>
      </c>
      <c r="Q1442">
        <f>QtyRemaining*EstMfgMin/60</f>
        <v>0</v>
      </c>
      <c r="U1442" t="e">
        <f t="shared" si="46"/>
        <v>#REF!</v>
      </c>
      <c r="V1442" s="5" t="e">
        <f t="shared" si="47"/>
        <v>#REF!</v>
      </c>
    </row>
    <row r="1443" spans="1:22" x14ac:dyDescent="0.25">
      <c r="A1443" s="2">
        <v>46154</v>
      </c>
      <c r="B1443" s="2">
        <v>45798</v>
      </c>
      <c r="C1443" t="s">
        <v>232</v>
      </c>
      <c r="D1443">
        <v>20</v>
      </c>
      <c r="E1443" t="s">
        <v>1883</v>
      </c>
      <c r="F1443" t="s">
        <v>211</v>
      </c>
      <c r="G1443" t="s">
        <v>1184</v>
      </c>
      <c r="H1443" t="s">
        <v>1884</v>
      </c>
      <c r="I1443" t="s">
        <v>83</v>
      </c>
      <c r="J1443" s="3" t="s">
        <v>1885</v>
      </c>
      <c r="K1443" t="s">
        <v>1886</v>
      </c>
      <c r="L1443" s="4">
        <v>30</v>
      </c>
      <c r="M1443" s="4">
        <v>0</v>
      </c>
      <c r="N1443">
        <v>30</v>
      </c>
      <c r="O1443" t="s">
        <v>643</v>
      </c>
      <c r="P1443">
        <v>65</v>
      </c>
      <c r="Q1443">
        <f>QtyRemaining*EstMfgMin/60</f>
        <v>32.5</v>
      </c>
      <c r="U1443" t="e">
        <f t="shared" si="46"/>
        <v>#REF!</v>
      </c>
      <c r="V1443" s="5" t="e">
        <f t="shared" si="47"/>
        <v>#REF!</v>
      </c>
    </row>
    <row r="1444" spans="1:22" x14ac:dyDescent="0.25">
      <c r="A1444" s="2">
        <v>46154</v>
      </c>
      <c r="B1444" s="2">
        <v>45889</v>
      </c>
      <c r="C1444" t="s">
        <v>633</v>
      </c>
      <c r="D1444">
        <v>20</v>
      </c>
      <c r="E1444" t="s">
        <v>3116</v>
      </c>
      <c r="F1444" t="s">
        <v>211</v>
      </c>
      <c r="G1444" t="s">
        <v>262</v>
      </c>
      <c r="H1444" t="s">
        <v>3117</v>
      </c>
      <c r="I1444" t="s">
        <v>83</v>
      </c>
      <c r="J1444" s="3" t="s">
        <v>3118</v>
      </c>
      <c r="K1444" t="s">
        <v>3119</v>
      </c>
      <c r="L1444" s="4">
        <v>10</v>
      </c>
      <c r="M1444" s="4">
        <v>0</v>
      </c>
      <c r="N1444">
        <v>10</v>
      </c>
      <c r="O1444" t="s">
        <v>176</v>
      </c>
      <c r="P1444">
        <v>74</v>
      </c>
      <c r="Q1444">
        <f>QtyRemaining*EstMfgMin/60</f>
        <v>12.333333333333334</v>
      </c>
      <c r="U1444" t="e">
        <f t="shared" si="46"/>
        <v>#REF!</v>
      </c>
      <c r="V1444" s="5" t="e">
        <f t="shared" si="47"/>
        <v>#REF!</v>
      </c>
    </row>
    <row r="1445" spans="1:22" x14ac:dyDescent="0.25">
      <c r="A1445" s="2">
        <v>46154</v>
      </c>
      <c r="B1445" s="2">
        <v>45965</v>
      </c>
      <c r="C1445" t="s">
        <v>570</v>
      </c>
      <c r="D1445">
        <v>20</v>
      </c>
      <c r="E1445" t="s">
        <v>2373</v>
      </c>
      <c r="F1445" t="s">
        <v>261</v>
      </c>
      <c r="G1445" t="s">
        <v>529</v>
      </c>
      <c r="H1445" t="s">
        <v>2374</v>
      </c>
      <c r="I1445" t="s">
        <v>83</v>
      </c>
      <c r="J1445" s="3" t="s">
        <v>3120</v>
      </c>
      <c r="K1445" t="s">
        <v>3121</v>
      </c>
      <c r="L1445" s="4">
        <v>30</v>
      </c>
      <c r="M1445" s="4">
        <v>0</v>
      </c>
      <c r="N1445">
        <v>30</v>
      </c>
      <c r="O1445" t="s">
        <v>118</v>
      </c>
      <c r="P1445">
        <v>82</v>
      </c>
      <c r="Q1445">
        <f>QtyRemaining*EstMfgMin/60</f>
        <v>41</v>
      </c>
      <c r="U1445" t="e">
        <f t="shared" si="46"/>
        <v>#REF!</v>
      </c>
      <c r="V1445" s="5" t="e">
        <f t="shared" si="47"/>
        <v>#REF!</v>
      </c>
    </row>
    <row r="1446" spans="1:22" x14ac:dyDescent="0.25">
      <c r="A1446" s="2">
        <v>46154</v>
      </c>
      <c r="B1446" s="2">
        <v>45995</v>
      </c>
      <c r="C1446" t="s">
        <v>633</v>
      </c>
      <c r="D1446">
        <v>20</v>
      </c>
      <c r="E1446" t="s">
        <v>3122</v>
      </c>
      <c r="F1446" t="s">
        <v>261</v>
      </c>
      <c r="G1446" t="s">
        <v>262</v>
      </c>
      <c r="H1446" t="s">
        <v>3123</v>
      </c>
      <c r="I1446" t="s">
        <v>155</v>
      </c>
      <c r="J1446" s="3" t="s">
        <v>2104</v>
      </c>
      <c r="K1446" t="s">
        <v>131</v>
      </c>
      <c r="L1446" s="4">
        <v>17</v>
      </c>
      <c r="M1446" s="4">
        <v>0</v>
      </c>
      <c r="N1446">
        <v>17</v>
      </c>
      <c r="O1446" t="s">
        <v>266</v>
      </c>
      <c r="P1446">
        <v>65</v>
      </c>
      <c r="Q1446">
        <f>QtyRemaining*EstMfgMin/60</f>
        <v>18.416666666666668</v>
      </c>
      <c r="U1446" t="e">
        <f t="shared" si="46"/>
        <v>#REF!</v>
      </c>
      <c r="V1446" s="5" t="e">
        <f t="shared" si="47"/>
        <v>#REF!</v>
      </c>
    </row>
    <row r="1447" spans="1:22" x14ac:dyDescent="0.25">
      <c r="A1447" s="2">
        <v>46154</v>
      </c>
      <c r="B1447" s="2">
        <v>46000</v>
      </c>
      <c r="C1447" t="s">
        <v>1191</v>
      </c>
      <c r="D1447">
        <v>20</v>
      </c>
      <c r="E1447" t="s">
        <v>3124</v>
      </c>
      <c r="F1447" t="s">
        <v>211</v>
      </c>
      <c r="G1447" t="s">
        <v>1679</v>
      </c>
      <c r="H1447" t="s">
        <v>3125</v>
      </c>
      <c r="I1447" t="s">
        <v>214</v>
      </c>
      <c r="J1447" s="3" t="s">
        <v>2367</v>
      </c>
      <c r="K1447" t="s">
        <v>2368</v>
      </c>
      <c r="L1447" s="4">
        <v>75</v>
      </c>
      <c r="M1447" s="4">
        <v>0</v>
      </c>
      <c r="N1447">
        <v>75</v>
      </c>
      <c r="O1447" t="s">
        <v>457</v>
      </c>
      <c r="P1447">
        <v>6</v>
      </c>
      <c r="Q1447">
        <f>QtyRemaining*EstMfgMin/60</f>
        <v>7.5</v>
      </c>
      <c r="U1447" t="e">
        <f t="shared" si="46"/>
        <v>#REF!</v>
      </c>
      <c r="V1447" s="5" t="e">
        <f t="shared" si="47"/>
        <v>#REF!</v>
      </c>
    </row>
    <row r="1448" spans="1:22" x14ac:dyDescent="0.25">
      <c r="A1448" s="2">
        <v>46154</v>
      </c>
      <c r="B1448" s="2">
        <v>46010</v>
      </c>
      <c r="C1448" t="s">
        <v>633</v>
      </c>
      <c r="D1448">
        <v>20</v>
      </c>
      <c r="E1448" t="s">
        <v>3126</v>
      </c>
      <c r="F1448" t="s">
        <v>261</v>
      </c>
      <c r="G1448" t="s">
        <v>262</v>
      </c>
      <c r="H1448" t="s">
        <v>3127</v>
      </c>
      <c r="I1448" t="s">
        <v>83</v>
      </c>
      <c r="J1448" s="3" t="s">
        <v>2107</v>
      </c>
      <c r="K1448" t="s">
        <v>2108</v>
      </c>
      <c r="L1448" s="4">
        <v>27</v>
      </c>
      <c r="M1448" s="4">
        <v>0</v>
      </c>
      <c r="N1448">
        <v>27</v>
      </c>
      <c r="O1448" t="s">
        <v>266</v>
      </c>
      <c r="P1448">
        <v>15</v>
      </c>
      <c r="Q1448">
        <f>QtyRemaining*EstMfgMin/60</f>
        <v>6.75</v>
      </c>
      <c r="U1448" t="e">
        <f t="shared" si="46"/>
        <v>#REF!</v>
      </c>
      <c r="V1448" s="5" t="e">
        <f t="shared" si="47"/>
        <v>#REF!</v>
      </c>
    </row>
    <row r="1449" spans="1:22" x14ac:dyDescent="0.25">
      <c r="A1449" s="2">
        <v>46154</v>
      </c>
      <c r="B1449" s="2">
        <v>46045</v>
      </c>
      <c r="C1449" t="s">
        <v>465</v>
      </c>
      <c r="D1449">
        <v>20</v>
      </c>
      <c r="E1449" t="s">
        <v>2843</v>
      </c>
      <c r="F1449" t="s">
        <v>211</v>
      </c>
      <c r="G1449" t="s">
        <v>467</v>
      </c>
      <c r="H1449" t="s">
        <v>2844</v>
      </c>
      <c r="I1449" t="s">
        <v>214</v>
      </c>
      <c r="J1449" s="3" t="s">
        <v>2668</v>
      </c>
      <c r="K1449" t="s">
        <v>3128</v>
      </c>
      <c r="L1449" s="4">
        <v>12</v>
      </c>
      <c r="M1449" s="4">
        <v>0</v>
      </c>
      <c r="N1449">
        <v>12</v>
      </c>
      <c r="O1449" t="s">
        <v>86</v>
      </c>
      <c r="P1449">
        <v>14</v>
      </c>
      <c r="Q1449">
        <f>QtyRemaining*EstMfgMin/60</f>
        <v>2.8</v>
      </c>
      <c r="U1449" t="e">
        <f t="shared" si="46"/>
        <v>#REF!</v>
      </c>
      <c r="V1449" s="5" t="e">
        <f t="shared" si="47"/>
        <v>#REF!</v>
      </c>
    </row>
    <row r="1450" spans="1:22" x14ac:dyDescent="0.25">
      <c r="A1450" s="2">
        <v>46154</v>
      </c>
      <c r="B1450" s="2">
        <v>46049</v>
      </c>
      <c r="C1450" t="s">
        <v>633</v>
      </c>
      <c r="D1450">
        <v>20</v>
      </c>
      <c r="E1450" t="s">
        <v>3129</v>
      </c>
      <c r="F1450" t="s">
        <v>261</v>
      </c>
      <c r="G1450" t="s">
        <v>262</v>
      </c>
      <c r="H1450" t="s">
        <v>3130</v>
      </c>
      <c r="I1450" t="s">
        <v>45</v>
      </c>
      <c r="J1450" s="3" t="s">
        <v>3131</v>
      </c>
      <c r="K1450" t="s">
        <v>3132</v>
      </c>
      <c r="L1450" s="4">
        <v>22</v>
      </c>
      <c r="M1450" s="4">
        <v>0</v>
      </c>
      <c r="N1450">
        <v>22</v>
      </c>
      <c r="O1450" t="s">
        <v>118</v>
      </c>
      <c r="P1450">
        <v>60</v>
      </c>
      <c r="Q1450">
        <f>QtyRemaining*EstMfgMin/60</f>
        <v>22</v>
      </c>
      <c r="U1450" t="e">
        <f t="shared" si="46"/>
        <v>#REF!</v>
      </c>
      <c r="V1450" s="5" t="e">
        <f t="shared" si="47"/>
        <v>#REF!</v>
      </c>
    </row>
    <row r="1451" spans="1:22" x14ac:dyDescent="0.25">
      <c r="A1451" s="2">
        <v>46155</v>
      </c>
      <c r="B1451" s="2">
        <v>45958</v>
      </c>
      <c r="C1451" t="s">
        <v>570</v>
      </c>
      <c r="D1451">
        <v>20</v>
      </c>
      <c r="E1451" t="s">
        <v>810</v>
      </c>
      <c r="F1451" t="s">
        <v>261</v>
      </c>
      <c r="G1451" t="s">
        <v>811</v>
      </c>
      <c r="H1451" t="s">
        <v>812</v>
      </c>
      <c r="I1451" t="s">
        <v>83</v>
      </c>
      <c r="J1451" s="3" t="s">
        <v>3133</v>
      </c>
      <c r="K1451" t="s">
        <v>3134</v>
      </c>
      <c r="L1451" s="4">
        <v>32</v>
      </c>
      <c r="M1451" s="4">
        <v>0</v>
      </c>
      <c r="N1451">
        <v>32</v>
      </c>
      <c r="O1451" t="s">
        <v>86</v>
      </c>
      <c r="P1451">
        <v>46</v>
      </c>
      <c r="Q1451">
        <f>QtyRemaining*EstMfgMin/60</f>
        <v>24.533333333333335</v>
      </c>
      <c r="U1451" t="e">
        <f t="shared" si="46"/>
        <v>#REF!</v>
      </c>
      <c r="V1451" s="5" t="e">
        <f t="shared" si="47"/>
        <v>#REF!</v>
      </c>
    </row>
    <row r="1452" spans="1:22" x14ac:dyDescent="0.25">
      <c r="A1452" s="2">
        <v>46155</v>
      </c>
      <c r="B1452" s="2">
        <v>45958</v>
      </c>
      <c r="C1452" t="s">
        <v>570</v>
      </c>
      <c r="D1452">
        <v>20</v>
      </c>
      <c r="E1452" t="s">
        <v>810</v>
      </c>
      <c r="F1452" t="s">
        <v>261</v>
      </c>
      <c r="G1452" t="s">
        <v>811</v>
      </c>
      <c r="H1452" t="s">
        <v>812</v>
      </c>
      <c r="I1452" t="s">
        <v>83</v>
      </c>
      <c r="J1452" s="3" t="s">
        <v>3135</v>
      </c>
      <c r="K1452" t="s">
        <v>3136</v>
      </c>
      <c r="L1452" s="4">
        <v>16</v>
      </c>
      <c r="M1452" s="4">
        <v>0</v>
      </c>
      <c r="N1452">
        <v>16</v>
      </c>
      <c r="O1452" t="s">
        <v>176</v>
      </c>
      <c r="P1452">
        <v>83</v>
      </c>
      <c r="Q1452">
        <f>QtyRemaining*EstMfgMin/60</f>
        <v>22.133333333333333</v>
      </c>
      <c r="U1452" t="e">
        <f t="shared" si="46"/>
        <v>#REF!</v>
      </c>
      <c r="V1452" s="5" t="e">
        <f t="shared" si="47"/>
        <v>#REF!</v>
      </c>
    </row>
    <row r="1453" spans="1:22" x14ac:dyDescent="0.25">
      <c r="A1453" s="2">
        <v>46155</v>
      </c>
      <c r="B1453" s="2">
        <v>45993</v>
      </c>
      <c r="C1453" t="s">
        <v>1168</v>
      </c>
      <c r="D1453">
        <v>20</v>
      </c>
      <c r="E1453" t="s">
        <v>3137</v>
      </c>
      <c r="F1453" t="s">
        <v>283</v>
      </c>
      <c r="G1453" t="s">
        <v>1170</v>
      </c>
      <c r="H1453" t="s">
        <v>3138</v>
      </c>
      <c r="I1453" t="s">
        <v>224</v>
      </c>
      <c r="J1453" s="3" t="s">
        <v>3139</v>
      </c>
      <c r="K1453" t="s">
        <v>3140</v>
      </c>
      <c r="L1453" s="4">
        <v>99</v>
      </c>
      <c r="M1453" s="4">
        <v>0</v>
      </c>
      <c r="N1453">
        <v>99</v>
      </c>
      <c r="O1453" t="s">
        <v>702</v>
      </c>
      <c r="P1453">
        <v>90</v>
      </c>
      <c r="Q1453">
        <f>QtyRemaining*EstMfgMin/60</f>
        <v>148.5</v>
      </c>
      <c r="U1453" t="e">
        <f t="shared" si="46"/>
        <v>#REF!</v>
      </c>
      <c r="V1453" s="5" t="e">
        <f t="shared" si="47"/>
        <v>#REF!</v>
      </c>
    </row>
    <row r="1454" spans="1:22" x14ac:dyDescent="0.25">
      <c r="A1454" s="2">
        <v>46155</v>
      </c>
      <c r="B1454" s="2">
        <v>45993</v>
      </c>
      <c r="C1454" t="s">
        <v>1168</v>
      </c>
      <c r="D1454">
        <v>20</v>
      </c>
      <c r="E1454" t="s">
        <v>3141</v>
      </c>
      <c r="F1454" t="s">
        <v>283</v>
      </c>
      <c r="G1454" t="s">
        <v>1170</v>
      </c>
      <c r="H1454" t="s">
        <v>3142</v>
      </c>
      <c r="I1454" t="s">
        <v>224</v>
      </c>
      <c r="J1454" s="3" t="s">
        <v>1569</v>
      </c>
      <c r="K1454" t="s">
        <v>1570</v>
      </c>
      <c r="L1454" s="4">
        <v>40</v>
      </c>
      <c r="M1454" s="4">
        <v>0</v>
      </c>
      <c r="N1454">
        <v>40</v>
      </c>
      <c r="O1454" t="s">
        <v>702</v>
      </c>
      <c r="P1454">
        <v>90</v>
      </c>
      <c r="Q1454">
        <f>QtyRemaining*EstMfgMin/60</f>
        <v>60</v>
      </c>
      <c r="U1454" t="e">
        <f t="shared" si="46"/>
        <v>#REF!</v>
      </c>
      <c r="V1454" s="5" t="e">
        <f t="shared" si="47"/>
        <v>#REF!</v>
      </c>
    </row>
    <row r="1455" spans="1:22" x14ac:dyDescent="0.25">
      <c r="A1455" s="2">
        <v>46156</v>
      </c>
      <c r="B1455" s="2">
        <v>45957</v>
      </c>
      <c r="C1455" t="s">
        <v>232</v>
      </c>
      <c r="D1455">
        <v>20</v>
      </c>
      <c r="E1455" t="s">
        <v>2930</v>
      </c>
      <c r="F1455" t="s">
        <v>211</v>
      </c>
      <c r="G1455" t="s">
        <v>1184</v>
      </c>
      <c r="H1455" t="s">
        <v>2931</v>
      </c>
      <c r="I1455" t="s">
        <v>83</v>
      </c>
      <c r="J1455" s="3" t="s">
        <v>2932</v>
      </c>
      <c r="K1455" t="s">
        <v>2933</v>
      </c>
      <c r="L1455" s="4">
        <v>35</v>
      </c>
      <c r="M1455" s="4">
        <v>0</v>
      </c>
      <c r="N1455">
        <v>35</v>
      </c>
      <c r="O1455" t="s">
        <v>2393</v>
      </c>
      <c r="P1455">
        <v>12</v>
      </c>
      <c r="Q1455">
        <f>QtyRemaining*EstMfgMin/60</f>
        <v>7</v>
      </c>
      <c r="U1455" t="e">
        <f t="shared" si="46"/>
        <v>#REF!</v>
      </c>
      <c r="V1455" s="5" t="e">
        <f t="shared" si="47"/>
        <v>#REF!</v>
      </c>
    </row>
    <row r="1456" spans="1:22" x14ac:dyDescent="0.25">
      <c r="A1456" s="2">
        <v>46156</v>
      </c>
      <c r="B1456" s="2">
        <v>45975</v>
      </c>
      <c r="C1456" t="s">
        <v>1168</v>
      </c>
      <c r="D1456">
        <v>20</v>
      </c>
      <c r="E1456" t="s">
        <v>3143</v>
      </c>
      <c r="F1456" t="s">
        <v>283</v>
      </c>
      <c r="G1456" t="s">
        <v>1170</v>
      </c>
      <c r="H1456" t="s">
        <v>3144</v>
      </c>
      <c r="I1456" t="s">
        <v>224</v>
      </c>
      <c r="J1456" s="3" t="s">
        <v>3052</v>
      </c>
      <c r="K1456" t="s">
        <v>3053</v>
      </c>
      <c r="L1456" s="4">
        <v>20</v>
      </c>
      <c r="M1456" s="4">
        <v>0</v>
      </c>
      <c r="N1456">
        <v>20</v>
      </c>
      <c r="P1456">
        <v>60</v>
      </c>
      <c r="Q1456">
        <f>QtyRemaining*EstMfgMin/60</f>
        <v>20</v>
      </c>
      <c r="U1456" t="e">
        <f t="shared" si="46"/>
        <v>#REF!</v>
      </c>
      <c r="V1456" s="5" t="e">
        <f t="shared" si="47"/>
        <v>#REF!</v>
      </c>
    </row>
    <row r="1457" spans="1:22" x14ac:dyDescent="0.25">
      <c r="A1457" s="2">
        <v>46156</v>
      </c>
      <c r="B1457" s="2">
        <v>46013</v>
      </c>
      <c r="C1457" t="s">
        <v>232</v>
      </c>
      <c r="D1457">
        <v>20</v>
      </c>
      <c r="E1457" t="s">
        <v>2945</v>
      </c>
      <c r="F1457" t="s">
        <v>211</v>
      </c>
      <c r="G1457" t="s">
        <v>270</v>
      </c>
      <c r="H1457" t="s">
        <v>2946</v>
      </c>
      <c r="I1457" t="s">
        <v>214</v>
      </c>
      <c r="J1457" s="3" t="s">
        <v>2071</v>
      </c>
      <c r="K1457" t="s">
        <v>2072</v>
      </c>
      <c r="L1457" s="4">
        <v>300</v>
      </c>
      <c r="M1457" s="4">
        <v>0</v>
      </c>
      <c r="N1457">
        <v>300</v>
      </c>
      <c r="O1457" t="s">
        <v>118</v>
      </c>
      <c r="P1457">
        <v>8</v>
      </c>
      <c r="Q1457">
        <f>QtyRemaining*EstMfgMin/60</f>
        <v>40</v>
      </c>
      <c r="U1457" t="e">
        <f t="shared" si="46"/>
        <v>#REF!</v>
      </c>
      <c r="V1457" s="5" t="e">
        <f t="shared" si="47"/>
        <v>#REF!</v>
      </c>
    </row>
    <row r="1458" spans="1:22" x14ac:dyDescent="0.25">
      <c r="A1458" s="2">
        <v>46156</v>
      </c>
      <c r="B1458" s="2">
        <v>46050</v>
      </c>
      <c r="C1458" t="s">
        <v>633</v>
      </c>
      <c r="D1458">
        <v>20</v>
      </c>
      <c r="E1458" t="s">
        <v>3145</v>
      </c>
      <c r="F1458" t="s">
        <v>261</v>
      </c>
      <c r="G1458" t="s">
        <v>262</v>
      </c>
      <c r="H1458" t="s">
        <v>3146</v>
      </c>
      <c r="I1458" t="s">
        <v>45</v>
      </c>
      <c r="J1458" s="3" t="s">
        <v>3147</v>
      </c>
      <c r="K1458" t="s">
        <v>2414</v>
      </c>
      <c r="L1458" s="4">
        <v>19</v>
      </c>
      <c r="M1458" s="4">
        <v>0</v>
      </c>
      <c r="N1458">
        <v>19</v>
      </c>
      <c r="O1458" t="s">
        <v>1342</v>
      </c>
      <c r="P1458">
        <v>0</v>
      </c>
      <c r="Q1458">
        <f>QtyRemaining*EstMfgMin/60</f>
        <v>0</v>
      </c>
      <c r="U1458" t="e">
        <f t="shared" si="46"/>
        <v>#REF!</v>
      </c>
      <c r="V1458" s="5" t="e">
        <f t="shared" si="47"/>
        <v>#REF!</v>
      </c>
    </row>
    <row r="1459" spans="1:22" x14ac:dyDescent="0.25">
      <c r="A1459" s="2">
        <v>46157</v>
      </c>
      <c r="B1459" s="2">
        <v>45632</v>
      </c>
      <c r="C1459" t="s">
        <v>478</v>
      </c>
      <c r="D1459">
        <v>20</v>
      </c>
      <c r="E1459" t="s">
        <v>1137</v>
      </c>
      <c r="F1459" t="s">
        <v>261</v>
      </c>
      <c r="G1459" t="s">
        <v>510</v>
      </c>
      <c r="H1459" t="s">
        <v>1138</v>
      </c>
      <c r="I1459" t="s">
        <v>122</v>
      </c>
      <c r="J1459" s="3" t="s">
        <v>512</v>
      </c>
      <c r="K1459" t="s">
        <v>513</v>
      </c>
      <c r="L1459" s="4">
        <v>2</v>
      </c>
      <c r="M1459" s="4">
        <v>0</v>
      </c>
      <c r="N1459">
        <v>2</v>
      </c>
      <c r="O1459" t="s">
        <v>1139</v>
      </c>
      <c r="P1459">
        <v>1394</v>
      </c>
      <c r="Q1459">
        <f>QtyRemaining*EstMfgMin/60</f>
        <v>46.466666666666669</v>
      </c>
      <c r="U1459" t="e">
        <f t="shared" si="46"/>
        <v>#REF!</v>
      </c>
      <c r="V1459" s="5" t="e">
        <f t="shared" si="47"/>
        <v>#REF!</v>
      </c>
    </row>
    <row r="1460" spans="1:22" x14ac:dyDescent="0.25">
      <c r="A1460" s="2">
        <v>46157</v>
      </c>
      <c r="B1460" s="2">
        <v>45656</v>
      </c>
      <c r="C1460" t="s">
        <v>478</v>
      </c>
      <c r="D1460">
        <v>20</v>
      </c>
      <c r="E1460" t="s">
        <v>2555</v>
      </c>
      <c r="F1460" t="s">
        <v>261</v>
      </c>
      <c r="G1460" t="s">
        <v>1021</v>
      </c>
      <c r="H1460" t="s">
        <v>2556</v>
      </c>
      <c r="I1460" t="s">
        <v>83</v>
      </c>
      <c r="J1460" s="3" t="s">
        <v>1993</v>
      </c>
      <c r="K1460" t="s">
        <v>1240</v>
      </c>
      <c r="L1460" s="4">
        <v>12</v>
      </c>
      <c r="M1460" s="4">
        <v>0</v>
      </c>
      <c r="N1460">
        <v>12</v>
      </c>
      <c r="O1460" t="s">
        <v>643</v>
      </c>
      <c r="P1460">
        <v>50</v>
      </c>
      <c r="Q1460">
        <f>QtyRemaining*EstMfgMin/60</f>
        <v>10</v>
      </c>
      <c r="U1460" t="e">
        <f t="shared" si="46"/>
        <v>#REF!</v>
      </c>
      <c r="V1460" s="5" t="e">
        <f t="shared" si="47"/>
        <v>#REF!</v>
      </c>
    </row>
    <row r="1461" spans="1:22" x14ac:dyDescent="0.25">
      <c r="A1461" s="2">
        <v>46157</v>
      </c>
      <c r="B1461" s="2">
        <v>45656</v>
      </c>
      <c r="C1461" t="s">
        <v>478</v>
      </c>
      <c r="D1461">
        <v>20</v>
      </c>
      <c r="E1461" t="s">
        <v>2555</v>
      </c>
      <c r="F1461" t="s">
        <v>261</v>
      </c>
      <c r="G1461" t="s">
        <v>1021</v>
      </c>
      <c r="H1461" t="s">
        <v>2556</v>
      </c>
      <c r="I1461" t="s">
        <v>83</v>
      </c>
      <c r="J1461" s="3" t="s">
        <v>1239</v>
      </c>
      <c r="K1461" t="s">
        <v>1240</v>
      </c>
      <c r="L1461" s="4">
        <v>12</v>
      </c>
      <c r="M1461" s="4">
        <v>0</v>
      </c>
      <c r="N1461">
        <v>12</v>
      </c>
      <c r="O1461" t="s">
        <v>643</v>
      </c>
      <c r="P1461">
        <v>191</v>
      </c>
      <c r="Q1461">
        <f>QtyRemaining*EstMfgMin/60</f>
        <v>38.200000000000003</v>
      </c>
      <c r="U1461" t="e">
        <f t="shared" si="46"/>
        <v>#REF!</v>
      </c>
      <c r="V1461" s="5" t="e">
        <f t="shared" si="47"/>
        <v>#REF!</v>
      </c>
    </row>
    <row r="1462" spans="1:22" x14ac:dyDescent="0.25">
      <c r="A1462" s="2">
        <v>46157</v>
      </c>
      <c r="B1462" s="2">
        <v>45840</v>
      </c>
      <c r="C1462" t="s">
        <v>523</v>
      </c>
      <c r="D1462">
        <v>20</v>
      </c>
      <c r="E1462" t="s">
        <v>1241</v>
      </c>
      <c r="F1462" t="s">
        <v>261</v>
      </c>
      <c r="G1462" t="s">
        <v>1242</v>
      </c>
      <c r="H1462" t="s">
        <v>1243</v>
      </c>
      <c r="I1462" t="s">
        <v>83</v>
      </c>
      <c r="J1462" s="3" t="s">
        <v>1244</v>
      </c>
      <c r="K1462" t="s">
        <v>1245</v>
      </c>
      <c r="L1462" s="4">
        <v>10</v>
      </c>
      <c r="M1462" s="4">
        <v>0</v>
      </c>
      <c r="N1462">
        <v>10</v>
      </c>
      <c r="O1462" t="s">
        <v>118</v>
      </c>
      <c r="P1462">
        <v>1050</v>
      </c>
      <c r="Q1462">
        <f>QtyRemaining*EstMfgMin/60</f>
        <v>175</v>
      </c>
      <c r="U1462" t="e">
        <f t="shared" si="46"/>
        <v>#REF!</v>
      </c>
      <c r="V1462" s="5" t="e">
        <f t="shared" si="47"/>
        <v>#REF!</v>
      </c>
    </row>
    <row r="1463" spans="1:22" x14ac:dyDescent="0.25">
      <c r="A1463" s="2">
        <v>46157</v>
      </c>
      <c r="B1463" s="2">
        <v>46028</v>
      </c>
      <c r="C1463" t="s">
        <v>1821</v>
      </c>
      <c r="D1463">
        <v>20</v>
      </c>
      <c r="E1463" t="s">
        <v>3148</v>
      </c>
      <c r="F1463" t="s">
        <v>261</v>
      </c>
      <c r="G1463" t="s">
        <v>1684</v>
      </c>
      <c r="H1463" t="s">
        <v>3149</v>
      </c>
      <c r="I1463" t="s">
        <v>83</v>
      </c>
      <c r="J1463" s="3" t="s">
        <v>3150</v>
      </c>
      <c r="K1463" t="s">
        <v>3151</v>
      </c>
      <c r="L1463" s="4">
        <v>80</v>
      </c>
      <c r="M1463" s="4">
        <v>0</v>
      </c>
      <c r="N1463">
        <v>80</v>
      </c>
      <c r="O1463" t="s">
        <v>1268</v>
      </c>
      <c r="P1463">
        <v>20</v>
      </c>
      <c r="Q1463">
        <f>QtyRemaining*EstMfgMin/60</f>
        <v>26.666666666666668</v>
      </c>
      <c r="U1463" t="e">
        <f t="shared" si="46"/>
        <v>#REF!</v>
      </c>
      <c r="V1463" s="5" t="e">
        <f t="shared" si="47"/>
        <v>#REF!</v>
      </c>
    </row>
    <row r="1464" spans="1:22" x14ac:dyDescent="0.25">
      <c r="A1464" s="2">
        <v>46157</v>
      </c>
      <c r="B1464" s="2">
        <v>46028</v>
      </c>
      <c r="C1464" t="s">
        <v>1821</v>
      </c>
      <c r="D1464">
        <v>20</v>
      </c>
      <c r="E1464" t="s">
        <v>3148</v>
      </c>
      <c r="F1464" t="s">
        <v>261</v>
      </c>
      <c r="G1464" t="s">
        <v>1684</v>
      </c>
      <c r="H1464" t="s">
        <v>3149</v>
      </c>
      <c r="I1464" t="s">
        <v>874</v>
      </c>
      <c r="J1464" s="3" t="s">
        <v>875</v>
      </c>
      <c r="K1464" t="s">
        <v>1115</v>
      </c>
      <c r="L1464" s="4">
        <v>1</v>
      </c>
      <c r="M1464" s="4">
        <v>0</v>
      </c>
      <c r="N1464">
        <v>1</v>
      </c>
      <c r="P1464">
        <v>0</v>
      </c>
      <c r="Q1464">
        <f>QtyRemaining*EstMfgMin/60</f>
        <v>0</v>
      </c>
      <c r="U1464" t="e">
        <f t="shared" si="46"/>
        <v>#REF!</v>
      </c>
      <c r="V1464" s="5" t="e">
        <f t="shared" si="47"/>
        <v>#REF!</v>
      </c>
    </row>
    <row r="1465" spans="1:22" x14ac:dyDescent="0.25">
      <c r="A1465" s="2">
        <v>46160</v>
      </c>
      <c r="B1465" s="2">
        <v>45905</v>
      </c>
      <c r="C1465" t="s">
        <v>478</v>
      </c>
      <c r="D1465">
        <v>21</v>
      </c>
      <c r="E1465" t="s">
        <v>3152</v>
      </c>
      <c r="F1465" t="s">
        <v>261</v>
      </c>
      <c r="G1465" t="s">
        <v>529</v>
      </c>
      <c r="H1465" t="s">
        <v>3153</v>
      </c>
      <c r="I1465" t="s">
        <v>45</v>
      </c>
      <c r="J1465" s="3" t="s">
        <v>3154</v>
      </c>
      <c r="K1465" t="s">
        <v>3155</v>
      </c>
      <c r="L1465" s="4">
        <v>25</v>
      </c>
      <c r="M1465" s="4">
        <v>0</v>
      </c>
      <c r="N1465">
        <v>25</v>
      </c>
      <c r="O1465" t="s">
        <v>118</v>
      </c>
      <c r="P1465">
        <v>178</v>
      </c>
      <c r="Q1465">
        <f>QtyRemaining*EstMfgMin/60</f>
        <v>74.166666666666671</v>
      </c>
      <c r="U1465" t="e">
        <f t="shared" si="46"/>
        <v>#REF!</v>
      </c>
      <c r="V1465" s="5" t="e">
        <f t="shared" si="47"/>
        <v>#REF!</v>
      </c>
    </row>
    <row r="1466" spans="1:22" x14ac:dyDescent="0.25">
      <c r="A1466" s="2">
        <v>46160</v>
      </c>
      <c r="B1466" s="2">
        <v>45905</v>
      </c>
      <c r="C1466" t="s">
        <v>478</v>
      </c>
      <c r="D1466">
        <v>21</v>
      </c>
      <c r="E1466" t="s">
        <v>3152</v>
      </c>
      <c r="F1466" t="s">
        <v>261</v>
      </c>
      <c r="G1466" t="s">
        <v>529</v>
      </c>
      <c r="H1466" t="s">
        <v>3153</v>
      </c>
      <c r="I1466" t="s">
        <v>45</v>
      </c>
      <c r="J1466" s="3" t="s">
        <v>3156</v>
      </c>
      <c r="K1466" t="s">
        <v>3157</v>
      </c>
      <c r="L1466" s="4">
        <v>2</v>
      </c>
      <c r="M1466" s="4">
        <v>0</v>
      </c>
      <c r="N1466">
        <v>2</v>
      </c>
      <c r="P1466">
        <v>176</v>
      </c>
      <c r="Q1466">
        <f>QtyRemaining*EstMfgMin/60</f>
        <v>5.8666666666666663</v>
      </c>
      <c r="U1466" t="e">
        <f t="shared" si="46"/>
        <v>#REF!</v>
      </c>
      <c r="V1466" s="5" t="e">
        <f t="shared" si="47"/>
        <v>#REF!</v>
      </c>
    </row>
    <row r="1467" spans="1:22" x14ac:dyDescent="0.25">
      <c r="A1467" s="2">
        <v>46160</v>
      </c>
      <c r="B1467" s="2">
        <v>45905</v>
      </c>
      <c r="C1467" t="s">
        <v>478</v>
      </c>
      <c r="D1467">
        <v>21</v>
      </c>
      <c r="E1467" t="s">
        <v>3152</v>
      </c>
      <c r="F1467" t="s">
        <v>261</v>
      </c>
      <c r="G1467" t="s">
        <v>529</v>
      </c>
      <c r="H1467" t="s">
        <v>3153</v>
      </c>
      <c r="I1467" t="s">
        <v>45</v>
      </c>
      <c r="J1467" s="3" t="s">
        <v>3158</v>
      </c>
      <c r="K1467" t="s">
        <v>3159</v>
      </c>
      <c r="L1467" s="4">
        <v>2</v>
      </c>
      <c r="M1467" s="4">
        <v>0</v>
      </c>
      <c r="N1467">
        <v>2</v>
      </c>
      <c r="O1467" t="s">
        <v>176</v>
      </c>
      <c r="P1467">
        <v>219</v>
      </c>
      <c r="Q1467">
        <f>QtyRemaining*EstMfgMin/60</f>
        <v>7.3</v>
      </c>
      <c r="U1467" t="e">
        <f t="shared" si="46"/>
        <v>#REF!</v>
      </c>
      <c r="V1467" s="5" t="e">
        <f t="shared" si="47"/>
        <v>#REF!</v>
      </c>
    </row>
    <row r="1468" spans="1:22" x14ac:dyDescent="0.25">
      <c r="A1468" s="2">
        <v>46160</v>
      </c>
      <c r="B1468" s="2">
        <v>45905</v>
      </c>
      <c r="C1468" t="s">
        <v>478</v>
      </c>
      <c r="D1468">
        <v>21</v>
      </c>
      <c r="E1468" t="s">
        <v>3152</v>
      </c>
      <c r="F1468" t="s">
        <v>261</v>
      </c>
      <c r="G1468" t="s">
        <v>529</v>
      </c>
      <c r="H1468" t="s">
        <v>3153</v>
      </c>
      <c r="I1468" t="s">
        <v>45</v>
      </c>
      <c r="J1468" s="3" t="s">
        <v>3160</v>
      </c>
      <c r="K1468" t="s">
        <v>3161</v>
      </c>
      <c r="L1468" s="4">
        <v>2</v>
      </c>
      <c r="M1468" s="4">
        <v>0</v>
      </c>
      <c r="N1468">
        <v>2</v>
      </c>
      <c r="O1468" t="s">
        <v>176</v>
      </c>
      <c r="P1468">
        <v>415</v>
      </c>
      <c r="Q1468">
        <f>QtyRemaining*EstMfgMin/60</f>
        <v>13.833333333333334</v>
      </c>
      <c r="U1468" t="e">
        <f t="shared" si="46"/>
        <v>#REF!</v>
      </c>
      <c r="V1468" s="5" t="e">
        <f t="shared" si="47"/>
        <v>#REF!</v>
      </c>
    </row>
    <row r="1469" spans="1:22" x14ac:dyDescent="0.25">
      <c r="A1469" s="2">
        <v>46160</v>
      </c>
      <c r="B1469" s="2">
        <v>45905</v>
      </c>
      <c r="C1469" t="s">
        <v>478</v>
      </c>
      <c r="D1469">
        <v>21</v>
      </c>
      <c r="E1469" t="s">
        <v>3152</v>
      </c>
      <c r="F1469" t="s">
        <v>261</v>
      </c>
      <c r="G1469" t="s">
        <v>529</v>
      </c>
      <c r="H1469" t="s">
        <v>3153</v>
      </c>
      <c r="I1469" t="s">
        <v>45</v>
      </c>
      <c r="J1469" s="3" t="s">
        <v>3162</v>
      </c>
      <c r="K1469" t="s">
        <v>3163</v>
      </c>
      <c r="L1469" s="4">
        <v>9</v>
      </c>
      <c r="M1469" s="4">
        <v>0</v>
      </c>
      <c r="N1469">
        <v>9</v>
      </c>
      <c r="O1469" t="s">
        <v>176</v>
      </c>
      <c r="P1469">
        <v>430</v>
      </c>
      <c r="Q1469">
        <f>QtyRemaining*EstMfgMin/60</f>
        <v>64.5</v>
      </c>
      <c r="U1469" t="e">
        <f t="shared" si="46"/>
        <v>#REF!</v>
      </c>
      <c r="V1469" s="5" t="e">
        <f t="shared" si="47"/>
        <v>#REF!</v>
      </c>
    </row>
    <row r="1470" spans="1:22" x14ac:dyDescent="0.25">
      <c r="A1470" s="2">
        <v>46160</v>
      </c>
      <c r="B1470" s="2">
        <v>45905</v>
      </c>
      <c r="C1470" t="s">
        <v>478</v>
      </c>
      <c r="D1470">
        <v>21</v>
      </c>
      <c r="E1470" t="s">
        <v>3152</v>
      </c>
      <c r="F1470" t="s">
        <v>261</v>
      </c>
      <c r="G1470" t="s">
        <v>529</v>
      </c>
      <c r="H1470" t="s">
        <v>3153</v>
      </c>
      <c r="I1470" t="s">
        <v>45</v>
      </c>
      <c r="J1470" s="3" t="s">
        <v>3164</v>
      </c>
      <c r="K1470" t="s">
        <v>3165</v>
      </c>
      <c r="L1470" s="4">
        <v>26</v>
      </c>
      <c r="M1470" s="4">
        <v>0</v>
      </c>
      <c r="N1470">
        <v>26</v>
      </c>
      <c r="O1470" t="s">
        <v>118</v>
      </c>
      <c r="P1470">
        <v>263</v>
      </c>
      <c r="Q1470">
        <f>QtyRemaining*EstMfgMin/60</f>
        <v>113.96666666666667</v>
      </c>
      <c r="U1470" t="e">
        <f t="shared" si="46"/>
        <v>#REF!</v>
      </c>
      <c r="V1470" s="5" t="e">
        <f t="shared" si="47"/>
        <v>#REF!</v>
      </c>
    </row>
    <row r="1471" spans="1:22" x14ac:dyDescent="0.25">
      <c r="A1471" s="2">
        <v>46160</v>
      </c>
      <c r="B1471" s="2">
        <v>45905</v>
      </c>
      <c r="C1471" t="s">
        <v>478</v>
      </c>
      <c r="D1471">
        <v>21</v>
      </c>
      <c r="E1471" t="s">
        <v>3152</v>
      </c>
      <c r="F1471" t="s">
        <v>261</v>
      </c>
      <c r="G1471" t="s">
        <v>529</v>
      </c>
      <c r="H1471" t="s">
        <v>3153</v>
      </c>
      <c r="I1471" t="s">
        <v>45</v>
      </c>
      <c r="J1471" s="3" t="s">
        <v>3166</v>
      </c>
      <c r="K1471" t="s">
        <v>3167</v>
      </c>
      <c r="L1471" s="4">
        <v>22</v>
      </c>
      <c r="M1471" s="4">
        <v>0</v>
      </c>
      <c r="N1471">
        <v>22</v>
      </c>
      <c r="O1471" t="s">
        <v>176</v>
      </c>
      <c r="P1471">
        <v>300</v>
      </c>
      <c r="Q1471">
        <f>QtyRemaining*EstMfgMin/60</f>
        <v>110</v>
      </c>
      <c r="U1471" t="e">
        <f t="shared" si="46"/>
        <v>#REF!</v>
      </c>
      <c r="V1471" s="5" t="e">
        <f t="shared" si="47"/>
        <v>#REF!</v>
      </c>
    </row>
    <row r="1472" spans="1:22" x14ac:dyDescent="0.25">
      <c r="A1472" s="2">
        <v>46160</v>
      </c>
      <c r="B1472" s="2">
        <v>45905</v>
      </c>
      <c r="C1472" t="s">
        <v>478</v>
      </c>
      <c r="D1472">
        <v>21</v>
      </c>
      <c r="E1472" t="s">
        <v>3152</v>
      </c>
      <c r="F1472" t="s">
        <v>261</v>
      </c>
      <c r="G1472" t="s">
        <v>529</v>
      </c>
      <c r="H1472" t="s">
        <v>3153</v>
      </c>
      <c r="I1472" t="s">
        <v>155</v>
      </c>
      <c r="J1472" s="3" t="s">
        <v>3168</v>
      </c>
      <c r="K1472" t="s">
        <v>3169</v>
      </c>
      <c r="L1472" s="4">
        <v>17</v>
      </c>
      <c r="M1472" s="4">
        <v>0</v>
      </c>
      <c r="N1472">
        <v>17</v>
      </c>
      <c r="O1472" t="s">
        <v>118</v>
      </c>
      <c r="P1472">
        <v>12</v>
      </c>
      <c r="Q1472">
        <f>QtyRemaining*EstMfgMin/60</f>
        <v>3.4</v>
      </c>
      <c r="U1472" t="e">
        <f t="shared" si="46"/>
        <v>#REF!</v>
      </c>
      <c r="V1472" s="5" t="e">
        <f t="shared" si="47"/>
        <v>#REF!</v>
      </c>
    </row>
    <row r="1473" spans="1:22" x14ac:dyDescent="0.25">
      <c r="A1473" s="2">
        <v>46160</v>
      </c>
      <c r="B1473" s="2">
        <v>45905</v>
      </c>
      <c r="C1473" t="s">
        <v>478</v>
      </c>
      <c r="D1473">
        <v>21</v>
      </c>
      <c r="E1473" t="s">
        <v>3152</v>
      </c>
      <c r="F1473" t="s">
        <v>261</v>
      </c>
      <c r="G1473" t="s">
        <v>529</v>
      </c>
      <c r="H1473" t="s">
        <v>3153</v>
      </c>
      <c r="I1473" t="s">
        <v>45</v>
      </c>
      <c r="J1473" s="3" t="s">
        <v>3170</v>
      </c>
      <c r="K1473" t="s">
        <v>3171</v>
      </c>
      <c r="L1473" s="4">
        <v>26</v>
      </c>
      <c r="M1473" s="4">
        <v>0</v>
      </c>
      <c r="N1473">
        <v>26</v>
      </c>
      <c r="O1473" t="s">
        <v>176</v>
      </c>
      <c r="P1473">
        <v>209</v>
      </c>
      <c r="Q1473">
        <f>QtyRemaining*EstMfgMin/60</f>
        <v>90.566666666666663</v>
      </c>
      <c r="U1473" t="e">
        <f t="shared" si="46"/>
        <v>#REF!</v>
      </c>
      <c r="V1473" s="5" t="e">
        <f t="shared" si="47"/>
        <v>#REF!</v>
      </c>
    </row>
    <row r="1474" spans="1:22" x14ac:dyDescent="0.25">
      <c r="A1474" s="2">
        <v>46160</v>
      </c>
      <c r="B1474" s="2">
        <v>45905</v>
      </c>
      <c r="C1474" t="s">
        <v>478</v>
      </c>
      <c r="D1474">
        <v>21</v>
      </c>
      <c r="E1474" t="s">
        <v>3152</v>
      </c>
      <c r="F1474" t="s">
        <v>261</v>
      </c>
      <c r="G1474" t="s">
        <v>529</v>
      </c>
      <c r="H1474" t="s">
        <v>3153</v>
      </c>
      <c r="I1474" t="s">
        <v>45</v>
      </c>
      <c r="J1474" s="3" t="s">
        <v>3172</v>
      </c>
      <c r="K1474" t="s">
        <v>3173</v>
      </c>
      <c r="L1474" s="4">
        <v>3</v>
      </c>
      <c r="M1474" s="4">
        <v>0</v>
      </c>
      <c r="N1474">
        <v>3</v>
      </c>
      <c r="O1474" t="s">
        <v>118</v>
      </c>
      <c r="P1474">
        <v>128</v>
      </c>
      <c r="Q1474">
        <f>QtyRemaining*EstMfgMin/60</f>
        <v>6.4</v>
      </c>
      <c r="U1474" t="e">
        <f t="shared" si="46"/>
        <v>#REF!</v>
      </c>
      <c r="V1474" s="5" t="e">
        <f t="shared" si="47"/>
        <v>#REF!</v>
      </c>
    </row>
    <row r="1475" spans="1:22" x14ac:dyDescent="0.25">
      <c r="A1475" s="2">
        <v>46160</v>
      </c>
      <c r="B1475" s="2">
        <v>45905</v>
      </c>
      <c r="C1475" t="s">
        <v>478</v>
      </c>
      <c r="D1475">
        <v>21</v>
      </c>
      <c r="E1475" t="s">
        <v>3152</v>
      </c>
      <c r="F1475" t="s">
        <v>261</v>
      </c>
      <c r="G1475" t="s">
        <v>529</v>
      </c>
      <c r="H1475" t="s">
        <v>3153</v>
      </c>
      <c r="I1475" t="s">
        <v>45</v>
      </c>
      <c r="J1475" s="3" t="s">
        <v>3174</v>
      </c>
      <c r="K1475" t="s">
        <v>3175</v>
      </c>
      <c r="L1475" s="4">
        <v>20</v>
      </c>
      <c r="M1475" s="4">
        <v>0</v>
      </c>
      <c r="N1475">
        <v>20</v>
      </c>
      <c r="O1475" t="s">
        <v>176</v>
      </c>
      <c r="P1475">
        <v>355</v>
      </c>
      <c r="Q1475">
        <f>QtyRemaining*EstMfgMin/60</f>
        <v>118.33333333333333</v>
      </c>
      <c r="U1475" t="e">
        <f t="shared" ref="U1475:U1538" si="48">VLOOKUP(A1475,Calendar,13,FALSE)</f>
        <v>#REF!</v>
      </c>
      <c r="V1475" s="5" t="e">
        <f t="shared" ref="V1475:V1538" si="49">VLOOKUP(A1475,Calendar,14,FALSE)</f>
        <v>#REF!</v>
      </c>
    </row>
    <row r="1476" spans="1:22" x14ac:dyDescent="0.25">
      <c r="A1476" s="2">
        <v>46160</v>
      </c>
      <c r="B1476" s="2">
        <v>45905</v>
      </c>
      <c r="C1476" t="s">
        <v>478</v>
      </c>
      <c r="D1476">
        <v>21</v>
      </c>
      <c r="E1476" t="s">
        <v>3152</v>
      </c>
      <c r="F1476" t="s">
        <v>261</v>
      </c>
      <c r="G1476" t="s">
        <v>529</v>
      </c>
      <c r="H1476" t="s">
        <v>3153</v>
      </c>
      <c r="I1476" t="s">
        <v>83</v>
      </c>
      <c r="J1476" s="3" t="s">
        <v>3176</v>
      </c>
      <c r="K1476" t="s">
        <v>3177</v>
      </c>
      <c r="L1476" s="4">
        <v>3</v>
      </c>
      <c r="M1476" s="4">
        <v>0</v>
      </c>
      <c r="N1476">
        <v>3</v>
      </c>
      <c r="O1476" t="s">
        <v>118</v>
      </c>
      <c r="P1476">
        <v>12</v>
      </c>
      <c r="Q1476">
        <f>QtyRemaining*EstMfgMin/60</f>
        <v>0.6</v>
      </c>
      <c r="U1476" t="e">
        <f t="shared" si="48"/>
        <v>#REF!</v>
      </c>
      <c r="V1476" s="5" t="e">
        <f t="shared" si="49"/>
        <v>#REF!</v>
      </c>
    </row>
    <row r="1477" spans="1:22" x14ac:dyDescent="0.25">
      <c r="A1477" s="2">
        <v>46160</v>
      </c>
      <c r="B1477" s="2">
        <v>45905</v>
      </c>
      <c r="C1477" t="s">
        <v>478</v>
      </c>
      <c r="D1477">
        <v>21</v>
      </c>
      <c r="E1477" t="s">
        <v>3152</v>
      </c>
      <c r="F1477" t="s">
        <v>261</v>
      </c>
      <c r="G1477" t="s">
        <v>529</v>
      </c>
      <c r="H1477" t="s">
        <v>3153</v>
      </c>
      <c r="I1477" t="s">
        <v>83</v>
      </c>
      <c r="J1477" s="3" t="s">
        <v>3178</v>
      </c>
      <c r="K1477" t="s">
        <v>3179</v>
      </c>
      <c r="L1477" s="4">
        <v>3</v>
      </c>
      <c r="M1477" s="4">
        <v>0</v>
      </c>
      <c r="N1477">
        <v>3</v>
      </c>
      <c r="O1477" t="s">
        <v>118</v>
      </c>
      <c r="P1477">
        <v>12</v>
      </c>
      <c r="Q1477">
        <f>QtyRemaining*EstMfgMin/60</f>
        <v>0.6</v>
      </c>
      <c r="U1477" t="e">
        <f t="shared" si="48"/>
        <v>#REF!</v>
      </c>
      <c r="V1477" s="5" t="e">
        <f t="shared" si="49"/>
        <v>#REF!</v>
      </c>
    </row>
    <row r="1478" spans="1:22" x14ac:dyDescent="0.25">
      <c r="A1478" s="2">
        <v>46160</v>
      </c>
      <c r="B1478" s="2">
        <v>45905</v>
      </c>
      <c r="C1478" t="s">
        <v>478</v>
      </c>
      <c r="D1478">
        <v>21</v>
      </c>
      <c r="E1478" t="s">
        <v>3152</v>
      </c>
      <c r="F1478" t="s">
        <v>261</v>
      </c>
      <c r="G1478" t="s">
        <v>529</v>
      </c>
      <c r="H1478" t="s">
        <v>3153</v>
      </c>
      <c r="I1478" t="s">
        <v>83</v>
      </c>
      <c r="J1478" s="3" t="s">
        <v>3180</v>
      </c>
      <c r="K1478" t="s">
        <v>3181</v>
      </c>
      <c r="L1478" s="4">
        <v>3</v>
      </c>
      <c r="M1478" s="4">
        <v>0</v>
      </c>
      <c r="N1478">
        <v>3</v>
      </c>
      <c r="O1478" t="s">
        <v>118</v>
      </c>
      <c r="P1478">
        <v>13</v>
      </c>
      <c r="Q1478">
        <f>QtyRemaining*EstMfgMin/60</f>
        <v>0.65</v>
      </c>
      <c r="U1478" t="e">
        <f t="shared" si="48"/>
        <v>#REF!</v>
      </c>
      <c r="V1478" s="5" t="e">
        <f t="shared" si="49"/>
        <v>#REF!</v>
      </c>
    </row>
    <row r="1479" spans="1:22" x14ac:dyDescent="0.25">
      <c r="A1479" s="2">
        <v>46160</v>
      </c>
      <c r="B1479" s="2">
        <v>45905</v>
      </c>
      <c r="C1479" t="s">
        <v>478</v>
      </c>
      <c r="D1479">
        <v>21</v>
      </c>
      <c r="E1479" t="s">
        <v>3152</v>
      </c>
      <c r="F1479" t="s">
        <v>261</v>
      </c>
      <c r="G1479" t="s">
        <v>529</v>
      </c>
      <c r="H1479" t="s">
        <v>3153</v>
      </c>
      <c r="I1479" t="s">
        <v>83</v>
      </c>
      <c r="J1479" s="3" t="s">
        <v>3182</v>
      </c>
      <c r="K1479" t="s">
        <v>3183</v>
      </c>
      <c r="L1479" s="4">
        <v>23</v>
      </c>
      <c r="M1479" s="4">
        <v>0</v>
      </c>
      <c r="N1479">
        <v>23</v>
      </c>
      <c r="O1479" t="s">
        <v>118</v>
      </c>
      <c r="P1479">
        <v>12</v>
      </c>
      <c r="Q1479">
        <f>QtyRemaining*EstMfgMin/60</f>
        <v>4.5999999999999996</v>
      </c>
      <c r="U1479" t="e">
        <f t="shared" si="48"/>
        <v>#REF!</v>
      </c>
      <c r="V1479" s="5" t="e">
        <f t="shared" si="49"/>
        <v>#REF!</v>
      </c>
    </row>
    <row r="1480" spans="1:22" x14ac:dyDescent="0.25">
      <c r="A1480" s="2">
        <v>46160</v>
      </c>
      <c r="B1480" s="2">
        <v>45905</v>
      </c>
      <c r="C1480" t="s">
        <v>478</v>
      </c>
      <c r="D1480">
        <v>21</v>
      </c>
      <c r="E1480" t="s">
        <v>3152</v>
      </c>
      <c r="F1480" t="s">
        <v>261</v>
      </c>
      <c r="G1480" t="s">
        <v>529</v>
      </c>
      <c r="H1480" t="s">
        <v>3153</v>
      </c>
      <c r="I1480" t="s">
        <v>83</v>
      </c>
      <c r="J1480" s="3" t="s">
        <v>3184</v>
      </c>
      <c r="K1480" t="s">
        <v>3185</v>
      </c>
      <c r="L1480" s="4">
        <v>17</v>
      </c>
      <c r="M1480" s="4">
        <v>0</v>
      </c>
      <c r="N1480">
        <v>17</v>
      </c>
      <c r="O1480" t="s">
        <v>118</v>
      </c>
      <c r="P1480">
        <v>12</v>
      </c>
      <c r="Q1480">
        <f>QtyRemaining*EstMfgMin/60</f>
        <v>3.4</v>
      </c>
      <c r="U1480" t="e">
        <f t="shared" si="48"/>
        <v>#REF!</v>
      </c>
      <c r="V1480" s="5" t="e">
        <f t="shared" si="49"/>
        <v>#REF!</v>
      </c>
    </row>
    <row r="1481" spans="1:22" x14ac:dyDescent="0.25">
      <c r="A1481" s="2">
        <v>46160</v>
      </c>
      <c r="B1481" s="2">
        <v>45905</v>
      </c>
      <c r="C1481" t="s">
        <v>478</v>
      </c>
      <c r="D1481">
        <v>21</v>
      </c>
      <c r="E1481" t="s">
        <v>3152</v>
      </c>
      <c r="F1481" t="s">
        <v>261</v>
      </c>
      <c r="G1481" t="s">
        <v>529</v>
      </c>
      <c r="H1481" t="s">
        <v>3153</v>
      </c>
      <c r="I1481" t="s">
        <v>45</v>
      </c>
      <c r="J1481" s="3" t="s">
        <v>3186</v>
      </c>
      <c r="K1481" t="s">
        <v>3187</v>
      </c>
      <c r="L1481" s="4">
        <v>4</v>
      </c>
      <c r="M1481" s="4">
        <v>0</v>
      </c>
      <c r="N1481">
        <v>4</v>
      </c>
      <c r="O1481" t="s">
        <v>86</v>
      </c>
      <c r="P1481">
        <v>382</v>
      </c>
      <c r="Q1481">
        <f>QtyRemaining*EstMfgMin/60</f>
        <v>25.466666666666665</v>
      </c>
      <c r="U1481" t="e">
        <f t="shared" si="48"/>
        <v>#REF!</v>
      </c>
      <c r="V1481" s="5" t="e">
        <f t="shared" si="49"/>
        <v>#REF!</v>
      </c>
    </row>
    <row r="1482" spans="1:22" x14ac:dyDescent="0.25">
      <c r="A1482" s="2">
        <v>46160</v>
      </c>
      <c r="B1482" s="2">
        <v>45905</v>
      </c>
      <c r="C1482" t="s">
        <v>478</v>
      </c>
      <c r="D1482">
        <v>21</v>
      </c>
      <c r="E1482" t="s">
        <v>3152</v>
      </c>
      <c r="F1482" t="s">
        <v>261</v>
      </c>
      <c r="G1482" t="s">
        <v>529</v>
      </c>
      <c r="H1482" t="s">
        <v>3153</v>
      </c>
      <c r="I1482" t="s">
        <v>45</v>
      </c>
      <c r="J1482" s="3" t="s">
        <v>3188</v>
      </c>
      <c r="K1482" t="s">
        <v>3189</v>
      </c>
      <c r="L1482" s="4">
        <v>19</v>
      </c>
      <c r="M1482" s="4">
        <v>0</v>
      </c>
      <c r="N1482">
        <v>19</v>
      </c>
      <c r="O1482" t="s">
        <v>118</v>
      </c>
      <c r="P1482">
        <v>912</v>
      </c>
      <c r="Q1482">
        <f>QtyRemaining*EstMfgMin/60</f>
        <v>288.8</v>
      </c>
      <c r="U1482" t="e">
        <f t="shared" si="48"/>
        <v>#REF!</v>
      </c>
      <c r="V1482" s="5" t="e">
        <f t="shared" si="49"/>
        <v>#REF!</v>
      </c>
    </row>
    <row r="1483" spans="1:22" x14ac:dyDescent="0.25">
      <c r="A1483" s="2">
        <v>46160</v>
      </c>
      <c r="B1483" s="2">
        <v>45905</v>
      </c>
      <c r="C1483" t="s">
        <v>478</v>
      </c>
      <c r="D1483">
        <v>21</v>
      </c>
      <c r="E1483" t="s">
        <v>3152</v>
      </c>
      <c r="F1483" t="s">
        <v>261</v>
      </c>
      <c r="G1483" t="s">
        <v>529</v>
      </c>
      <c r="H1483" t="s">
        <v>3153</v>
      </c>
      <c r="I1483" t="s">
        <v>45</v>
      </c>
      <c r="J1483" s="3" t="s">
        <v>3190</v>
      </c>
      <c r="K1483" t="s">
        <v>3191</v>
      </c>
      <c r="L1483" s="4">
        <v>4</v>
      </c>
      <c r="M1483" s="4">
        <v>0</v>
      </c>
      <c r="N1483">
        <v>4</v>
      </c>
      <c r="O1483" t="s">
        <v>118</v>
      </c>
      <c r="P1483">
        <v>695</v>
      </c>
      <c r="Q1483">
        <f>QtyRemaining*EstMfgMin/60</f>
        <v>46.333333333333336</v>
      </c>
      <c r="U1483" t="e">
        <f t="shared" si="48"/>
        <v>#REF!</v>
      </c>
      <c r="V1483" s="5" t="e">
        <f t="shared" si="49"/>
        <v>#REF!</v>
      </c>
    </row>
    <row r="1484" spans="1:22" x14ac:dyDescent="0.25">
      <c r="A1484" s="2">
        <v>46160</v>
      </c>
      <c r="B1484" s="2">
        <v>45905</v>
      </c>
      <c r="C1484" t="s">
        <v>478</v>
      </c>
      <c r="D1484">
        <v>21</v>
      </c>
      <c r="E1484" t="s">
        <v>3152</v>
      </c>
      <c r="F1484" t="s">
        <v>261</v>
      </c>
      <c r="G1484" t="s">
        <v>529</v>
      </c>
      <c r="H1484" t="s">
        <v>3153</v>
      </c>
      <c r="I1484" t="s">
        <v>45</v>
      </c>
      <c r="J1484" s="3" t="s">
        <v>3192</v>
      </c>
      <c r="K1484" t="s">
        <v>3193</v>
      </c>
      <c r="L1484" s="4">
        <v>3</v>
      </c>
      <c r="M1484" s="4">
        <v>0</v>
      </c>
      <c r="N1484">
        <v>3</v>
      </c>
      <c r="O1484" t="s">
        <v>118</v>
      </c>
      <c r="P1484">
        <v>607</v>
      </c>
      <c r="Q1484">
        <f>QtyRemaining*EstMfgMin/60</f>
        <v>30.35</v>
      </c>
      <c r="U1484" t="e">
        <f t="shared" si="48"/>
        <v>#REF!</v>
      </c>
      <c r="V1484" s="5" t="e">
        <f t="shared" si="49"/>
        <v>#REF!</v>
      </c>
    </row>
    <row r="1485" spans="1:22" x14ac:dyDescent="0.25">
      <c r="A1485" s="2">
        <v>46160</v>
      </c>
      <c r="B1485" s="2">
        <v>45905</v>
      </c>
      <c r="C1485" t="s">
        <v>478</v>
      </c>
      <c r="D1485">
        <v>21</v>
      </c>
      <c r="E1485" t="s">
        <v>3152</v>
      </c>
      <c r="F1485" t="s">
        <v>261</v>
      </c>
      <c r="G1485" t="s">
        <v>529</v>
      </c>
      <c r="H1485" t="s">
        <v>3153</v>
      </c>
      <c r="I1485" t="s">
        <v>83</v>
      </c>
      <c r="J1485" s="3" t="s">
        <v>3194</v>
      </c>
      <c r="K1485" t="s">
        <v>3195</v>
      </c>
      <c r="L1485" s="4">
        <v>6</v>
      </c>
      <c r="M1485" s="4">
        <v>0</v>
      </c>
      <c r="N1485">
        <v>6</v>
      </c>
      <c r="O1485" t="s">
        <v>457</v>
      </c>
      <c r="P1485">
        <v>51</v>
      </c>
      <c r="Q1485">
        <f>QtyRemaining*EstMfgMin/60</f>
        <v>5.0999999999999996</v>
      </c>
      <c r="U1485" t="e">
        <f t="shared" si="48"/>
        <v>#REF!</v>
      </c>
      <c r="V1485" s="5" t="e">
        <f t="shared" si="49"/>
        <v>#REF!</v>
      </c>
    </row>
    <row r="1486" spans="1:22" x14ac:dyDescent="0.25">
      <c r="A1486" s="2">
        <v>46160</v>
      </c>
      <c r="B1486" s="2">
        <v>45905</v>
      </c>
      <c r="C1486" t="s">
        <v>478</v>
      </c>
      <c r="D1486">
        <v>21</v>
      </c>
      <c r="E1486" t="s">
        <v>3152</v>
      </c>
      <c r="F1486" t="s">
        <v>261</v>
      </c>
      <c r="G1486" t="s">
        <v>529</v>
      </c>
      <c r="H1486" t="s">
        <v>3153</v>
      </c>
      <c r="I1486" t="s">
        <v>45</v>
      </c>
      <c r="J1486" s="3" t="s">
        <v>3196</v>
      </c>
      <c r="K1486" t="s">
        <v>3197</v>
      </c>
      <c r="L1486" s="4">
        <v>17</v>
      </c>
      <c r="M1486" s="4">
        <v>0</v>
      </c>
      <c r="N1486">
        <v>17</v>
      </c>
      <c r="O1486" t="s">
        <v>176</v>
      </c>
      <c r="P1486">
        <v>414</v>
      </c>
      <c r="Q1486">
        <f>QtyRemaining*EstMfgMin/60</f>
        <v>117.3</v>
      </c>
      <c r="U1486" t="e">
        <f t="shared" si="48"/>
        <v>#REF!</v>
      </c>
      <c r="V1486" s="5" t="e">
        <f t="shared" si="49"/>
        <v>#REF!</v>
      </c>
    </row>
    <row r="1487" spans="1:22" x14ac:dyDescent="0.25">
      <c r="A1487" s="2">
        <v>46160</v>
      </c>
      <c r="B1487" s="2">
        <v>45905</v>
      </c>
      <c r="C1487" t="s">
        <v>478</v>
      </c>
      <c r="D1487">
        <v>21</v>
      </c>
      <c r="E1487" t="s">
        <v>3152</v>
      </c>
      <c r="F1487" t="s">
        <v>261</v>
      </c>
      <c r="G1487" t="s">
        <v>529</v>
      </c>
      <c r="H1487" t="s">
        <v>3153</v>
      </c>
      <c r="I1487" t="s">
        <v>45</v>
      </c>
      <c r="J1487" s="3" t="s">
        <v>3198</v>
      </c>
      <c r="K1487" t="s">
        <v>3199</v>
      </c>
      <c r="L1487" s="4">
        <v>2</v>
      </c>
      <c r="M1487" s="4">
        <v>0</v>
      </c>
      <c r="N1487">
        <v>2</v>
      </c>
      <c r="O1487" t="s">
        <v>176</v>
      </c>
      <c r="P1487">
        <v>414</v>
      </c>
      <c r="Q1487">
        <f>QtyRemaining*EstMfgMin/60</f>
        <v>13.8</v>
      </c>
      <c r="U1487" t="e">
        <f t="shared" si="48"/>
        <v>#REF!</v>
      </c>
      <c r="V1487" s="5" t="e">
        <f t="shared" si="49"/>
        <v>#REF!</v>
      </c>
    </row>
    <row r="1488" spans="1:22" x14ac:dyDescent="0.25">
      <c r="A1488" s="2">
        <v>46160</v>
      </c>
      <c r="B1488" s="2">
        <v>45905</v>
      </c>
      <c r="C1488" t="s">
        <v>478</v>
      </c>
      <c r="D1488">
        <v>21</v>
      </c>
      <c r="E1488" t="s">
        <v>3152</v>
      </c>
      <c r="F1488" t="s">
        <v>261</v>
      </c>
      <c r="G1488" t="s">
        <v>529</v>
      </c>
      <c r="H1488" t="s">
        <v>3153</v>
      </c>
      <c r="I1488" t="s">
        <v>45</v>
      </c>
      <c r="J1488" s="3" t="s">
        <v>3200</v>
      </c>
      <c r="K1488" t="s">
        <v>3201</v>
      </c>
      <c r="L1488" s="4">
        <v>2</v>
      </c>
      <c r="M1488" s="4">
        <v>0</v>
      </c>
      <c r="N1488">
        <v>2</v>
      </c>
      <c r="O1488" t="s">
        <v>176</v>
      </c>
      <c r="P1488">
        <v>891</v>
      </c>
      <c r="Q1488">
        <f>QtyRemaining*EstMfgMin/60</f>
        <v>29.7</v>
      </c>
      <c r="U1488" t="e">
        <f t="shared" si="48"/>
        <v>#REF!</v>
      </c>
      <c r="V1488" s="5" t="e">
        <f t="shared" si="49"/>
        <v>#REF!</v>
      </c>
    </row>
    <row r="1489" spans="1:22" x14ac:dyDescent="0.25">
      <c r="A1489" s="2">
        <v>46160</v>
      </c>
      <c r="B1489" s="2">
        <v>45905</v>
      </c>
      <c r="C1489" t="s">
        <v>478</v>
      </c>
      <c r="D1489">
        <v>21</v>
      </c>
      <c r="E1489" t="s">
        <v>3152</v>
      </c>
      <c r="F1489" t="s">
        <v>261</v>
      </c>
      <c r="G1489" t="s">
        <v>529</v>
      </c>
      <c r="H1489" t="s">
        <v>3153</v>
      </c>
      <c r="I1489" t="s">
        <v>45</v>
      </c>
      <c r="J1489" s="3" t="s">
        <v>3202</v>
      </c>
      <c r="K1489" t="s">
        <v>3203</v>
      </c>
      <c r="L1489" s="4">
        <v>2</v>
      </c>
      <c r="M1489" s="4">
        <v>0</v>
      </c>
      <c r="N1489">
        <v>2</v>
      </c>
      <c r="O1489" t="s">
        <v>86</v>
      </c>
      <c r="P1489">
        <v>692</v>
      </c>
      <c r="Q1489">
        <f>QtyRemaining*EstMfgMin/60</f>
        <v>23.066666666666666</v>
      </c>
      <c r="U1489" t="e">
        <f t="shared" si="48"/>
        <v>#REF!</v>
      </c>
      <c r="V1489" s="5" t="e">
        <f t="shared" si="49"/>
        <v>#REF!</v>
      </c>
    </row>
    <row r="1490" spans="1:22" x14ac:dyDescent="0.25">
      <c r="A1490" s="2">
        <v>46160</v>
      </c>
      <c r="B1490" s="2">
        <v>45905</v>
      </c>
      <c r="C1490" t="s">
        <v>478</v>
      </c>
      <c r="D1490">
        <v>21</v>
      </c>
      <c r="E1490" t="s">
        <v>3152</v>
      </c>
      <c r="F1490" t="s">
        <v>261</v>
      </c>
      <c r="G1490" t="s">
        <v>529</v>
      </c>
      <c r="H1490" t="s">
        <v>3153</v>
      </c>
      <c r="I1490" t="s">
        <v>83</v>
      </c>
      <c r="J1490" s="3" t="s">
        <v>3204</v>
      </c>
      <c r="K1490" t="s">
        <v>3205</v>
      </c>
      <c r="L1490" s="4">
        <v>4</v>
      </c>
      <c r="M1490" s="4">
        <v>0</v>
      </c>
      <c r="N1490">
        <v>4</v>
      </c>
      <c r="O1490" t="s">
        <v>118</v>
      </c>
      <c r="P1490">
        <v>12</v>
      </c>
      <c r="Q1490">
        <f>QtyRemaining*EstMfgMin/60</f>
        <v>0.8</v>
      </c>
      <c r="U1490" t="e">
        <f t="shared" si="48"/>
        <v>#REF!</v>
      </c>
      <c r="V1490" s="5" t="e">
        <f t="shared" si="49"/>
        <v>#REF!</v>
      </c>
    </row>
    <row r="1491" spans="1:22" x14ac:dyDescent="0.25">
      <c r="A1491" s="2">
        <v>46160</v>
      </c>
      <c r="B1491" s="2">
        <v>45905</v>
      </c>
      <c r="C1491" t="s">
        <v>478</v>
      </c>
      <c r="D1491">
        <v>21</v>
      </c>
      <c r="E1491" t="s">
        <v>3152</v>
      </c>
      <c r="F1491" t="s">
        <v>261</v>
      </c>
      <c r="G1491" t="s">
        <v>529</v>
      </c>
      <c r="H1491" t="s">
        <v>3153</v>
      </c>
      <c r="I1491" t="s">
        <v>83</v>
      </c>
      <c r="J1491" s="3" t="s">
        <v>3206</v>
      </c>
      <c r="K1491" t="s">
        <v>3207</v>
      </c>
      <c r="L1491" s="4">
        <v>2</v>
      </c>
      <c r="M1491" s="4">
        <v>0</v>
      </c>
      <c r="N1491">
        <v>2</v>
      </c>
      <c r="O1491" t="s">
        <v>118</v>
      </c>
      <c r="P1491">
        <v>12</v>
      </c>
      <c r="Q1491">
        <f>QtyRemaining*EstMfgMin/60</f>
        <v>0.4</v>
      </c>
      <c r="U1491" t="e">
        <f t="shared" si="48"/>
        <v>#REF!</v>
      </c>
      <c r="V1491" s="5" t="e">
        <f t="shared" si="49"/>
        <v>#REF!</v>
      </c>
    </row>
    <row r="1492" spans="1:22" x14ac:dyDescent="0.25">
      <c r="A1492" s="2">
        <v>46160</v>
      </c>
      <c r="B1492" s="2">
        <v>45905</v>
      </c>
      <c r="C1492" t="s">
        <v>478</v>
      </c>
      <c r="D1492">
        <v>21</v>
      </c>
      <c r="E1492" t="s">
        <v>3152</v>
      </c>
      <c r="F1492" t="s">
        <v>261</v>
      </c>
      <c r="G1492" t="s">
        <v>529</v>
      </c>
      <c r="H1492" t="s">
        <v>3153</v>
      </c>
      <c r="I1492" t="s">
        <v>83</v>
      </c>
      <c r="J1492" s="3" t="s">
        <v>3208</v>
      </c>
      <c r="K1492" t="s">
        <v>3209</v>
      </c>
      <c r="L1492" s="4">
        <v>20</v>
      </c>
      <c r="M1492" s="4">
        <v>0</v>
      </c>
      <c r="N1492">
        <v>20</v>
      </c>
      <c r="O1492" t="s">
        <v>118</v>
      </c>
      <c r="P1492">
        <v>12</v>
      </c>
      <c r="Q1492">
        <f>QtyRemaining*EstMfgMin/60</f>
        <v>4</v>
      </c>
      <c r="U1492" t="e">
        <f t="shared" si="48"/>
        <v>#REF!</v>
      </c>
      <c r="V1492" s="5" t="e">
        <f t="shared" si="49"/>
        <v>#REF!</v>
      </c>
    </row>
    <row r="1493" spans="1:22" x14ac:dyDescent="0.25">
      <c r="A1493" s="2">
        <v>46160</v>
      </c>
      <c r="B1493" s="2">
        <v>45905</v>
      </c>
      <c r="C1493" t="s">
        <v>478</v>
      </c>
      <c r="D1493">
        <v>21</v>
      </c>
      <c r="E1493" t="s">
        <v>3152</v>
      </c>
      <c r="F1493" t="s">
        <v>261</v>
      </c>
      <c r="G1493" t="s">
        <v>529</v>
      </c>
      <c r="H1493" t="s">
        <v>3153</v>
      </c>
      <c r="I1493" t="s">
        <v>83</v>
      </c>
      <c r="J1493" s="3" t="s">
        <v>3210</v>
      </c>
      <c r="K1493" t="s">
        <v>3211</v>
      </c>
      <c r="L1493" s="4">
        <v>4</v>
      </c>
      <c r="M1493" s="4">
        <v>0</v>
      </c>
      <c r="N1493">
        <v>4</v>
      </c>
      <c r="P1493">
        <v>12</v>
      </c>
      <c r="Q1493">
        <f>QtyRemaining*EstMfgMin/60</f>
        <v>0.8</v>
      </c>
      <c r="U1493" t="e">
        <f t="shared" si="48"/>
        <v>#REF!</v>
      </c>
      <c r="V1493" s="5" t="e">
        <f t="shared" si="49"/>
        <v>#REF!</v>
      </c>
    </row>
    <row r="1494" spans="1:22" x14ac:dyDescent="0.25">
      <c r="A1494" s="2">
        <v>46160</v>
      </c>
      <c r="B1494" s="2">
        <v>45905</v>
      </c>
      <c r="C1494" t="s">
        <v>478</v>
      </c>
      <c r="D1494">
        <v>21</v>
      </c>
      <c r="E1494" t="s">
        <v>3152</v>
      </c>
      <c r="F1494" t="s">
        <v>261</v>
      </c>
      <c r="G1494" t="s">
        <v>529</v>
      </c>
      <c r="H1494" t="s">
        <v>3153</v>
      </c>
      <c r="I1494" t="s">
        <v>83</v>
      </c>
      <c r="J1494" s="3" t="s">
        <v>3212</v>
      </c>
      <c r="K1494" t="s">
        <v>3213</v>
      </c>
      <c r="L1494" s="4">
        <v>23</v>
      </c>
      <c r="M1494" s="4">
        <v>0</v>
      </c>
      <c r="N1494">
        <v>23</v>
      </c>
      <c r="O1494" t="s">
        <v>176</v>
      </c>
      <c r="P1494">
        <v>13</v>
      </c>
      <c r="Q1494">
        <f>QtyRemaining*EstMfgMin/60</f>
        <v>4.9833333333333334</v>
      </c>
      <c r="U1494" t="e">
        <f t="shared" si="48"/>
        <v>#REF!</v>
      </c>
      <c r="V1494" s="5" t="e">
        <f t="shared" si="49"/>
        <v>#REF!</v>
      </c>
    </row>
    <row r="1495" spans="1:22" x14ac:dyDescent="0.25">
      <c r="A1495" s="2">
        <v>46160</v>
      </c>
      <c r="B1495" s="2">
        <v>45905</v>
      </c>
      <c r="C1495" t="s">
        <v>478</v>
      </c>
      <c r="D1495">
        <v>21</v>
      </c>
      <c r="E1495" t="s">
        <v>3152</v>
      </c>
      <c r="F1495" t="s">
        <v>261</v>
      </c>
      <c r="G1495" t="s">
        <v>529</v>
      </c>
      <c r="H1495" t="s">
        <v>3153</v>
      </c>
      <c r="I1495" t="s">
        <v>83</v>
      </c>
      <c r="J1495" s="3" t="s">
        <v>3214</v>
      </c>
      <c r="K1495" t="s">
        <v>3215</v>
      </c>
      <c r="L1495" s="4">
        <v>4</v>
      </c>
      <c r="M1495" s="4">
        <v>0</v>
      </c>
      <c r="N1495">
        <v>4</v>
      </c>
      <c r="O1495" t="s">
        <v>176</v>
      </c>
      <c r="P1495">
        <v>13</v>
      </c>
      <c r="Q1495">
        <f>QtyRemaining*EstMfgMin/60</f>
        <v>0.8666666666666667</v>
      </c>
      <c r="U1495" t="e">
        <f t="shared" si="48"/>
        <v>#REF!</v>
      </c>
      <c r="V1495" s="5" t="e">
        <f t="shared" si="49"/>
        <v>#REF!</v>
      </c>
    </row>
    <row r="1496" spans="1:22" x14ac:dyDescent="0.25">
      <c r="A1496" s="2">
        <v>46160</v>
      </c>
      <c r="B1496" s="2">
        <v>45905</v>
      </c>
      <c r="C1496" t="s">
        <v>478</v>
      </c>
      <c r="D1496">
        <v>21</v>
      </c>
      <c r="E1496" t="s">
        <v>3152</v>
      </c>
      <c r="F1496" t="s">
        <v>261</v>
      </c>
      <c r="G1496" t="s">
        <v>529</v>
      </c>
      <c r="H1496" t="s">
        <v>3153</v>
      </c>
      <c r="I1496" t="s">
        <v>83</v>
      </c>
      <c r="J1496" s="3" t="s">
        <v>3216</v>
      </c>
      <c r="K1496" t="s">
        <v>3217</v>
      </c>
      <c r="L1496" s="4">
        <v>20</v>
      </c>
      <c r="M1496" s="4">
        <v>0</v>
      </c>
      <c r="N1496">
        <v>20</v>
      </c>
      <c r="P1496">
        <v>13</v>
      </c>
      <c r="Q1496">
        <f>QtyRemaining*EstMfgMin/60</f>
        <v>4.333333333333333</v>
      </c>
      <c r="U1496" t="e">
        <f t="shared" si="48"/>
        <v>#REF!</v>
      </c>
      <c r="V1496" s="5" t="e">
        <f t="shared" si="49"/>
        <v>#REF!</v>
      </c>
    </row>
    <row r="1497" spans="1:22" x14ac:dyDescent="0.25">
      <c r="A1497" s="2">
        <v>46160</v>
      </c>
      <c r="B1497" s="2">
        <v>45905</v>
      </c>
      <c r="C1497" t="s">
        <v>478</v>
      </c>
      <c r="D1497">
        <v>21</v>
      </c>
      <c r="E1497" t="s">
        <v>3152</v>
      </c>
      <c r="F1497" t="s">
        <v>261</v>
      </c>
      <c r="G1497" t="s">
        <v>529</v>
      </c>
      <c r="H1497" t="s">
        <v>3153</v>
      </c>
      <c r="I1497" t="s">
        <v>83</v>
      </c>
      <c r="J1497" s="3" t="s">
        <v>3218</v>
      </c>
      <c r="K1497" t="s">
        <v>3219</v>
      </c>
      <c r="L1497" s="4">
        <v>4</v>
      </c>
      <c r="M1497" s="4">
        <v>0</v>
      </c>
      <c r="N1497">
        <v>4</v>
      </c>
      <c r="O1497" t="s">
        <v>176</v>
      </c>
      <c r="P1497">
        <v>13</v>
      </c>
      <c r="Q1497">
        <f>QtyRemaining*EstMfgMin/60</f>
        <v>0.8666666666666667</v>
      </c>
      <c r="U1497" t="e">
        <f t="shared" si="48"/>
        <v>#REF!</v>
      </c>
      <c r="V1497" s="5" t="e">
        <f t="shared" si="49"/>
        <v>#REF!</v>
      </c>
    </row>
    <row r="1498" spans="1:22" x14ac:dyDescent="0.25">
      <c r="A1498" s="2">
        <v>46160</v>
      </c>
      <c r="B1498" s="2">
        <v>45905</v>
      </c>
      <c r="C1498" t="s">
        <v>478</v>
      </c>
      <c r="D1498">
        <v>21</v>
      </c>
      <c r="E1498" t="s">
        <v>3152</v>
      </c>
      <c r="F1498" t="s">
        <v>261</v>
      </c>
      <c r="G1498" t="s">
        <v>529</v>
      </c>
      <c r="H1498" t="s">
        <v>3153</v>
      </c>
      <c r="I1498" t="s">
        <v>155</v>
      </c>
      <c r="J1498" s="3" t="s">
        <v>3220</v>
      </c>
      <c r="K1498" t="s">
        <v>3221</v>
      </c>
      <c r="L1498" s="4">
        <v>5</v>
      </c>
      <c r="M1498" s="4">
        <v>0</v>
      </c>
      <c r="N1498">
        <v>5</v>
      </c>
      <c r="P1498">
        <v>5</v>
      </c>
      <c r="Q1498">
        <f>QtyRemaining*EstMfgMin/60</f>
        <v>0.41666666666666669</v>
      </c>
      <c r="U1498" t="e">
        <f t="shared" si="48"/>
        <v>#REF!</v>
      </c>
      <c r="V1498" s="5" t="e">
        <f t="shared" si="49"/>
        <v>#REF!</v>
      </c>
    </row>
    <row r="1499" spans="1:22" x14ac:dyDescent="0.25">
      <c r="A1499" s="2">
        <v>46160</v>
      </c>
      <c r="B1499" s="2">
        <v>45905</v>
      </c>
      <c r="C1499" t="s">
        <v>478</v>
      </c>
      <c r="D1499">
        <v>21</v>
      </c>
      <c r="E1499" t="s">
        <v>3152</v>
      </c>
      <c r="F1499" t="s">
        <v>261</v>
      </c>
      <c r="G1499" t="s">
        <v>529</v>
      </c>
      <c r="H1499" t="s">
        <v>3153</v>
      </c>
      <c r="I1499" t="s">
        <v>155</v>
      </c>
      <c r="J1499" s="3" t="s">
        <v>3222</v>
      </c>
      <c r="K1499" t="s">
        <v>3223</v>
      </c>
      <c r="L1499" s="4">
        <v>5</v>
      </c>
      <c r="M1499" s="4">
        <v>0</v>
      </c>
      <c r="N1499">
        <v>5</v>
      </c>
      <c r="P1499">
        <v>6</v>
      </c>
      <c r="Q1499">
        <f>QtyRemaining*EstMfgMin/60</f>
        <v>0.5</v>
      </c>
      <c r="U1499" t="e">
        <f t="shared" si="48"/>
        <v>#REF!</v>
      </c>
      <c r="V1499" s="5" t="e">
        <f t="shared" si="49"/>
        <v>#REF!</v>
      </c>
    </row>
    <row r="1500" spans="1:22" x14ac:dyDescent="0.25">
      <c r="A1500" s="2">
        <v>46160</v>
      </c>
      <c r="B1500" s="2">
        <v>45905</v>
      </c>
      <c r="C1500" t="s">
        <v>478</v>
      </c>
      <c r="D1500">
        <v>21</v>
      </c>
      <c r="E1500" t="s">
        <v>3152</v>
      </c>
      <c r="F1500" t="s">
        <v>261</v>
      </c>
      <c r="G1500" t="s">
        <v>529</v>
      </c>
      <c r="H1500" t="s">
        <v>3153</v>
      </c>
      <c r="I1500" t="s">
        <v>83</v>
      </c>
      <c r="J1500" s="3" t="s">
        <v>3224</v>
      </c>
      <c r="K1500" t="s">
        <v>3225</v>
      </c>
      <c r="L1500" s="4">
        <v>5</v>
      </c>
      <c r="M1500" s="4">
        <v>0</v>
      </c>
      <c r="N1500">
        <v>5</v>
      </c>
      <c r="P1500">
        <v>82</v>
      </c>
      <c r="Q1500">
        <f>QtyRemaining*EstMfgMin/60</f>
        <v>6.833333333333333</v>
      </c>
      <c r="U1500" t="e">
        <f t="shared" si="48"/>
        <v>#REF!</v>
      </c>
      <c r="V1500" s="5" t="e">
        <f t="shared" si="49"/>
        <v>#REF!</v>
      </c>
    </row>
    <row r="1501" spans="1:22" x14ac:dyDescent="0.25">
      <c r="A1501" s="2">
        <v>46160</v>
      </c>
      <c r="B1501" s="2">
        <v>45905</v>
      </c>
      <c r="C1501" t="s">
        <v>478</v>
      </c>
      <c r="D1501">
        <v>21</v>
      </c>
      <c r="E1501" t="s">
        <v>3152</v>
      </c>
      <c r="F1501" t="s">
        <v>261</v>
      </c>
      <c r="G1501" t="s">
        <v>529</v>
      </c>
      <c r="H1501" t="s">
        <v>3153</v>
      </c>
      <c r="I1501" t="s">
        <v>83</v>
      </c>
      <c r="J1501" s="3" t="s">
        <v>3226</v>
      </c>
      <c r="K1501" t="s">
        <v>3227</v>
      </c>
      <c r="L1501" s="4">
        <v>2</v>
      </c>
      <c r="M1501" s="4">
        <v>0</v>
      </c>
      <c r="N1501">
        <v>2</v>
      </c>
      <c r="O1501" t="s">
        <v>2642</v>
      </c>
      <c r="P1501">
        <v>12</v>
      </c>
      <c r="Q1501">
        <f>QtyRemaining*EstMfgMin/60</f>
        <v>0.4</v>
      </c>
      <c r="U1501" t="e">
        <f t="shared" si="48"/>
        <v>#REF!</v>
      </c>
      <c r="V1501" s="5" t="e">
        <f t="shared" si="49"/>
        <v>#REF!</v>
      </c>
    </row>
    <row r="1502" spans="1:22" x14ac:dyDescent="0.25">
      <c r="A1502" s="2">
        <v>46160</v>
      </c>
      <c r="B1502" s="2">
        <v>45905</v>
      </c>
      <c r="C1502" t="s">
        <v>478</v>
      </c>
      <c r="D1502">
        <v>21</v>
      </c>
      <c r="E1502" t="s">
        <v>3152</v>
      </c>
      <c r="F1502" t="s">
        <v>261</v>
      </c>
      <c r="G1502" t="s">
        <v>529</v>
      </c>
      <c r="H1502" t="s">
        <v>3153</v>
      </c>
      <c r="I1502" t="s">
        <v>83</v>
      </c>
      <c r="J1502" s="3" t="s">
        <v>3228</v>
      </c>
      <c r="K1502" t="s">
        <v>3229</v>
      </c>
      <c r="L1502" s="4">
        <v>2</v>
      </c>
      <c r="M1502" s="4">
        <v>0</v>
      </c>
      <c r="N1502">
        <v>2</v>
      </c>
      <c r="O1502" t="s">
        <v>2642</v>
      </c>
      <c r="P1502">
        <v>12</v>
      </c>
      <c r="Q1502">
        <f>QtyRemaining*EstMfgMin/60</f>
        <v>0.4</v>
      </c>
      <c r="U1502" t="e">
        <f t="shared" si="48"/>
        <v>#REF!</v>
      </c>
      <c r="V1502" s="5" t="e">
        <f t="shared" si="49"/>
        <v>#REF!</v>
      </c>
    </row>
    <row r="1503" spans="1:22" x14ac:dyDescent="0.25">
      <c r="A1503" s="2">
        <v>46160</v>
      </c>
      <c r="B1503" s="2">
        <v>45905</v>
      </c>
      <c r="C1503" t="s">
        <v>478</v>
      </c>
      <c r="D1503">
        <v>21</v>
      </c>
      <c r="E1503" t="s">
        <v>3152</v>
      </c>
      <c r="F1503" t="s">
        <v>261</v>
      </c>
      <c r="G1503" t="s">
        <v>529</v>
      </c>
      <c r="H1503" t="s">
        <v>3153</v>
      </c>
      <c r="I1503" t="s">
        <v>155</v>
      </c>
      <c r="J1503" s="3" t="s">
        <v>3230</v>
      </c>
      <c r="K1503" t="s">
        <v>3231</v>
      </c>
      <c r="L1503" s="4">
        <v>5</v>
      </c>
      <c r="M1503" s="4">
        <v>0</v>
      </c>
      <c r="N1503">
        <v>5</v>
      </c>
      <c r="O1503" t="s">
        <v>2600</v>
      </c>
      <c r="P1503">
        <v>5</v>
      </c>
      <c r="Q1503">
        <f>QtyRemaining*EstMfgMin/60</f>
        <v>0.41666666666666669</v>
      </c>
      <c r="U1503" t="e">
        <f t="shared" si="48"/>
        <v>#REF!</v>
      </c>
      <c r="V1503" s="5" t="e">
        <f t="shared" si="49"/>
        <v>#REF!</v>
      </c>
    </row>
    <row r="1504" spans="1:22" x14ac:dyDescent="0.25">
      <c r="A1504" s="2">
        <v>46160</v>
      </c>
      <c r="B1504" s="2">
        <v>45905</v>
      </c>
      <c r="C1504" t="s">
        <v>478</v>
      </c>
      <c r="D1504">
        <v>21</v>
      </c>
      <c r="E1504" t="s">
        <v>3152</v>
      </c>
      <c r="F1504" t="s">
        <v>261</v>
      </c>
      <c r="G1504" t="s">
        <v>529</v>
      </c>
      <c r="H1504" t="s">
        <v>3153</v>
      </c>
      <c r="I1504" t="s">
        <v>155</v>
      </c>
      <c r="J1504" s="3" t="s">
        <v>3232</v>
      </c>
      <c r="K1504" t="s">
        <v>3233</v>
      </c>
      <c r="L1504" s="4">
        <v>5</v>
      </c>
      <c r="M1504" s="4">
        <v>0</v>
      </c>
      <c r="N1504">
        <v>5</v>
      </c>
      <c r="O1504" t="s">
        <v>2603</v>
      </c>
      <c r="P1504">
        <v>5</v>
      </c>
      <c r="Q1504">
        <f>QtyRemaining*EstMfgMin/60</f>
        <v>0.41666666666666669</v>
      </c>
      <c r="U1504" t="e">
        <f t="shared" si="48"/>
        <v>#REF!</v>
      </c>
      <c r="V1504" s="5" t="e">
        <f t="shared" si="49"/>
        <v>#REF!</v>
      </c>
    </row>
    <row r="1505" spans="1:22" x14ac:dyDescent="0.25">
      <c r="A1505" s="2">
        <v>46160</v>
      </c>
      <c r="B1505" s="2">
        <v>45905</v>
      </c>
      <c r="C1505" t="s">
        <v>478</v>
      </c>
      <c r="D1505">
        <v>21</v>
      </c>
      <c r="E1505" t="s">
        <v>3152</v>
      </c>
      <c r="F1505" t="s">
        <v>261</v>
      </c>
      <c r="G1505" t="s">
        <v>529</v>
      </c>
      <c r="H1505" t="s">
        <v>3153</v>
      </c>
      <c r="I1505" t="s">
        <v>155</v>
      </c>
      <c r="J1505" s="3" t="s">
        <v>3234</v>
      </c>
      <c r="K1505" t="s">
        <v>3235</v>
      </c>
      <c r="L1505" s="4">
        <v>5</v>
      </c>
      <c r="M1505" s="4">
        <v>0</v>
      </c>
      <c r="N1505">
        <v>5</v>
      </c>
      <c r="P1505">
        <v>20</v>
      </c>
      <c r="Q1505">
        <f>QtyRemaining*EstMfgMin/60</f>
        <v>1.6666666666666667</v>
      </c>
      <c r="U1505" t="e">
        <f t="shared" si="48"/>
        <v>#REF!</v>
      </c>
      <c r="V1505" s="5" t="e">
        <f t="shared" si="49"/>
        <v>#REF!</v>
      </c>
    </row>
    <row r="1506" spans="1:22" x14ac:dyDescent="0.25">
      <c r="A1506" s="2">
        <v>46160</v>
      </c>
      <c r="B1506" s="2">
        <v>45905</v>
      </c>
      <c r="C1506" t="s">
        <v>478</v>
      </c>
      <c r="D1506">
        <v>21</v>
      </c>
      <c r="E1506" t="s">
        <v>3152</v>
      </c>
      <c r="F1506" t="s">
        <v>261</v>
      </c>
      <c r="G1506" t="s">
        <v>529</v>
      </c>
      <c r="H1506" t="s">
        <v>3153</v>
      </c>
      <c r="I1506" t="s">
        <v>45</v>
      </c>
      <c r="J1506" s="3" t="s">
        <v>3236</v>
      </c>
      <c r="K1506" t="s">
        <v>3237</v>
      </c>
      <c r="L1506" s="4">
        <v>5</v>
      </c>
      <c r="M1506" s="4">
        <v>0</v>
      </c>
      <c r="N1506">
        <v>5</v>
      </c>
      <c r="P1506">
        <v>5</v>
      </c>
      <c r="Q1506">
        <f>QtyRemaining*EstMfgMin/60</f>
        <v>0.41666666666666669</v>
      </c>
      <c r="U1506" t="e">
        <f t="shared" si="48"/>
        <v>#REF!</v>
      </c>
      <c r="V1506" s="5" t="e">
        <f t="shared" si="49"/>
        <v>#REF!</v>
      </c>
    </row>
    <row r="1507" spans="1:22" x14ac:dyDescent="0.25">
      <c r="A1507" s="2">
        <v>46160</v>
      </c>
      <c r="B1507" s="2">
        <v>45905</v>
      </c>
      <c r="C1507" t="s">
        <v>478</v>
      </c>
      <c r="D1507">
        <v>21</v>
      </c>
      <c r="E1507" t="s">
        <v>3152</v>
      </c>
      <c r="F1507" t="s">
        <v>261</v>
      </c>
      <c r="G1507" t="s">
        <v>529</v>
      </c>
      <c r="H1507" t="s">
        <v>3153</v>
      </c>
      <c r="I1507" t="s">
        <v>45</v>
      </c>
      <c r="J1507" s="3" t="s">
        <v>3238</v>
      </c>
      <c r="K1507" t="s">
        <v>3239</v>
      </c>
      <c r="L1507" s="4">
        <v>5</v>
      </c>
      <c r="M1507" s="4">
        <v>0</v>
      </c>
      <c r="N1507">
        <v>5</v>
      </c>
      <c r="P1507">
        <v>5</v>
      </c>
      <c r="Q1507">
        <f>QtyRemaining*EstMfgMin/60</f>
        <v>0.41666666666666669</v>
      </c>
      <c r="U1507" t="e">
        <f t="shared" si="48"/>
        <v>#REF!</v>
      </c>
      <c r="V1507" s="5" t="e">
        <f t="shared" si="49"/>
        <v>#REF!</v>
      </c>
    </row>
    <row r="1508" spans="1:22" x14ac:dyDescent="0.25">
      <c r="A1508" s="2">
        <v>46160</v>
      </c>
      <c r="B1508" s="2">
        <v>45905</v>
      </c>
      <c r="C1508" t="s">
        <v>478</v>
      </c>
      <c r="D1508">
        <v>21</v>
      </c>
      <c r="E1508" t="s">
        <v>3152</v>
      </c>
      <c r="F1508" t="s">
        <v>261</v>
      </c>
      <c r="G1508" t="s">
        <v>529</v>
      </c>
      <c r="H1508" t="s">
        <v>3153</v>
      </c>
      <c r="I1508" t="s">
        <v>45</v>
      </c>
      <c r="J1508" s="3" t="s">
        <v>3240</v>
      </c>
      <c r="K1508" t="s">
        <v>3241</v>
      </c>
      <c r="L1508" s="4">
        <v>2</v>
      </c>
      <c r="M1508" s="4">
        <v>0</v>
      </c>
      <c r="N1508">
        <v>2</v>
      </c>
      <c r="P1508">
        <v>5</v>
      </c>
      <c r="Q1508">
        <f>QtyRemaining*EstMfgMin/60</f>
        <v>0.16666666666666666</v>
      </c>
      <c r="U1508" t="e">
        <f t="shared" si="48"/>
        <v>#REF!</v>
      </c>
      <c r="V1508" s="5" t="e">
        <f t="shared" si="49"/>
        <v>#REF!</v>
      </c>
    </row>
    <row r="1509" spans="1:22" x14ac:dyDescent="0.25">
      <c r="A1509" s="2">
        <v>46160</v>
      </c>
      <c r="B1509" s="2">
        <v>45905</v>
      </c>
      <c r="C1509" t="s">
        <v>478</v>
      </c>
      <c r="D1509">
        <v>21</v>
      </c>
      <c r="E1509" t="s">
        <v>3152</v>
      </c>
      <c r="F1509" t="s">
        <v>261</v>
      </c>
      <c r="G1509" t="s">
        <v>529</v>
      </c>
      <c r="H1509" t="s">
        <v>3153</v>
      </c>
      <c r="I1509" t="s">
        <v>45</v>
      </c>
      <c r="J1509" s="3" t="s">
        <v>3242</v>
      </c>
      <c r="K1509" t="s">
        <v>3243</v>
      </c>
      <c r="L1509" s="4">
        <v>2</v>
      </c>
      <c r="M1509" s="4">
        <v>0</v>
      </c>
      <c r="N1509">
        <v>2</v>
      </c>
      <c r="O1509" t="s">
        <v>2600</v>
      </c>
      <c r="P1509">
        <v>5</v>
      </c>
      <c r="Q1509">
        <f>QtyRemaining*EstMfgMin/60</f>
        <v>0.16666666666666666</v>
      </c>
      <c r="U1509" t="e">
        <f t="shared" si="48"/>
        <v>#REF!</v>
      </c>
      <c r="V1509" s="5" t="e">
        <f t="shared" si="49"/>
        <v>#REF!</v>
      </c>
    </row>
    <row r="1510" spans="1:22" x14ac:dyDescent="0.25">
      <c r="A1510" s="2">
        <v>46160</v>
      </c>
      <c r="B1510" s="2">
        <v>45905</v>
      </c>
      <c r="C1510" t="s">
        <v>478</v>
      </c>
      <c r="D1510">
        <v>21</v>
      </c>
      <c r="E1510" t="s">
        <v>3152</v>
      </c>
      <c r="F1510" t="s">
        <v>261</v>
      </c>
      <c r="G1510" t="s">
        <v>529</v>
      </c>
      <c r="H1510" t="s">
        <v>3153</v>
      </c>
      <c r="I1510" t="s">
        <v>83</v>
      </c>
      <c r="J1510" s="3" t="s">
        <v>3244</v>
      </c>
      <c r="K1510" t="s">
        <v>3245</v>
      </c>
      <c r="L1510" s="4">
        <v>5</v>
      </c>
      <c r="M1510" s="4">
        <v>0</v>
      </c>
      <c r="N1510">
        <v>5</v>
      </c>
      <c r="P1510">
        <v>66</v>
      </c>
      <c r="Q1510">
        <f>QtyRemaining*EstMfgMin/60</f>
        <v>5.5</v>
      </c>
      <c r="U1510" t="e">
        <f t="shared" si="48"/>
        <v>#REF!</v>
      </c>
      <c r="V1510" s="5" t="e">
        <f t="shared" si="49"/>
        <v>#REF!</v>
      </c>
    </row>
    <row r="1511" spans="1:22" x14ac:dyDescent="0.25">
      <c r="A1511" s="2">
        <v>46160</v>
      </c>
      <c r="B1511" s="2">
        <v>45905</v>
      </c>
      <c r="C1511" t="s">
        <v>478</v>
      </c>
      <c r="D1511">
        <v>21</v>
      </c>
      <c r="E1511" t="s">
        <v>3152</v>
      </c>
      <c r="F1511" t="s">
        <v>261</v>
      </c>
      <c r="G1511" t="s">
        <v>529</v>
      </c>
      <c r="H1511" t="s">
        <v>3153</v>
      </c>
      <c r="I1511" t="s">
        <v>83</v>
      </c>
      <c r="J1511" s="3" t="s">
        <v>3246</v>
      </c>
      <c r="K1511" t="s">
        <v>3247</v>
      </c>
      <c r="L1511" s="4">
        <v>5</v>
      </c>
      <c r="M1511" s="4">
        <v>0</v>
      </c>
      <c r="N1511">
        <v>5</v>
      </c>
      <c r="P1511">
        <v>112</v>
      </c>
      <c r="Q1511">
        <f>QtyRemaining*EstMfgMin/60</f>
        <v>9.3333333333333339</v>
      </c>
      <c r="U1511" t="e">
        <f t="shared" si="48"/>
        <v>#REF!</v>
      </c>
      <c r="V1511" s="5" t="e">
        <f t="shared" si="49"/>
        <v>#REF!</v>
      </c>
    </row>
    <row r="1512" spans="1:22" x14ac:dyDescent="0.25">
      <c r="A1512" s="2">
        <v>46160</v>
      </c>
      <c r="B1512" s="2">
        <v>45905</v>
      </c>
      <c r="C1512" t="s">
        <v>478</v>
      </c>
      <c r="D1512">
        <v>21</v>
      </c>
      <c r="E1512" t="s">
        <v>3152</v>
      </c>
      <c r="F1512" t="s">
        <v>261</v>
      </c>
      <c r="G1512" t="s">
        <v>529</v>
      </c>
      <c r="H1512" t="s">
        <v>3153</v>
      </c>
      <c r="I1512" t="s">
        <v>83</v>
      </c>
      <c r="J1512" s="3" t="s">
        <v>3248</v>
      </c>
      <c r="K1512" t="s">
        <v>3249</v>
      </c>
      <c r="L1512" s="4">
        <v>4</v>
      </c>
      <c r="M1512" s="4">
        <v>0</v>
      </c>
      <c r="N1512">
        <v>4</v>
      </c>
      <c r="O1512" t="s">
        <v>2642</v>
      </c>
      <c r="P1512">
        <v>12</v>
      </c>
      <c r="Q1512">
        <f>QtyRemaining*EstMfgMin/60</f>
        <v>0.8</v>
      </c>
      <c r="U1512" t="e">
        <f t="shared" si="48"/>
        <v>#REF!</v>
      </c>
      <c r="V1512" s="5" t="e">
        <f t="shared" si="49"/>
        <v>#REF!</v>
      </c>
    </row>
    <row r="1513" spans="1:22" x14ac:dyDescent="0.25">
      <c r="A1513" s="2">
        <v>46160</v>
      </c>
      <c r="B1513" s="2">
        <v>45905</v>
      </c>
      <c r="C1513" t="s">
        <v>478</v>
      </c>
      <c r="D1513">
        <v>21</v>
      </c>
      <c r="E1513" t="s">
        <v>3152</v>
      </c>
      <c r="F1513" t="s">
        <v>261</v>
      </c>
      <c r="G1513" t="s">
        <v>529</v>
      </c>
      <c r="H1513" t="s">
        <v>3153</v>
      </c>
      <c r="I1513" t="s">
        <v>83</v>
      </c>
      <c r="J1513" s="3" t="s">
        <v>3250</v>
      </c>
      <c r="K1513" t="s">
        <v>3251</v>
      </c>
      <c r="L1513" s="4">
        <v>4</v>
      </c>
      <c r="M1513" s="4">
        <v>0</v>
      </c>
      <c r="N1513">
        <v>4</v>
      </c>
      <c r="O1513" t="s">
        <v>2642</v>
      </c>
      <c r="P1513">
        <v>12</v>
      </c>
      <c r="Q1513">
        <f>QtyRemaining*EstMfgMin/60</f>
        <v>0.8</v>
      </c>
      <c r="U1513" t="e">
        <f t="shared" si="48"/>
        <v>#REF!</v>
      </c>
      <c r="V1513" s="5" t="e">
        <f t="shared" si="49"/>
        <v>#REF!</v>
      </c>
    </row>
    <row r="1514" spans="1:22" x14ac:dyDescent="0.25">
      <c r="A1514" s="2">
        <v>46160</v>
      </c>
      <c r="B1514" s="2">
        <v>45905</v>
      </c>
      <c r="C1514" t="s">
        <v>478</v>
      </c>
      <c r="D1514">
        <v>21</v>
      </c>
      <c r="E1514" t="s">
        <v>3152</v>
      </c>
      <c r="F1514" t="s">
        <v>261</v>
      </c>
      <c r="G1514" t="s">
        <v>529</v>
      </c>
      <c r="H1514" t="s">
        <v>3153</v>
      </c>
      <c r="I1514" t="s">
        <v>45</v>
      </c>
      <c r="J1514" s="3" t="s">
        <v>3252</v>
      </c>
      <c r="K1514" t="s">
        <v>3253</v>
      </c>
      <c r="L1514" s="4">
        <v>4</v>
      </c>
      <c r="M1514" s="4">
        <v>0</v>
      </c>
      <c r="N1514">
        <v>4</v>
      </c>
      <c r="O1514" t="s">
        <v>2600</v>
      </c>
      <c r="P1514">
        <v>5</v>
      </c>
      <c r="Q1514">
        <f>QtyRemaining*EstMfgMin/60</f>
        <v>0.33333333333333331</v>
      </c>
      <c r="U1514" t="e">
        <f t="shared" si="48"/>
        <v>#REF!</v>
      </c>
      <c r="V1514" s="5" t="e">
        <f t="shared" si="49"/>
        <v>#REF!</v>
      </c>
    </row>
    <row r="1515" spans="1:22" x14ac:dyDescent="0.25">
      <c r="A1515" s="2">
        <v>46160</v>
      </c>
      <c r="B1515" s="2">
        <v>45905</v>
      </c>
      <c r="C1515" t="s">
        <v>478</v>
      </c>
      <c r="D1515">
        <v>21</v>
      </c>
      <c r="E1515" t="s">
        <v>3152</v>
      </c>
      <c r="F1515" t="s">
        <v>261</v>
      </c>
      <c r="G1515" t="s">
        <v>529</v>
      </c>
      <c r="H1515" t="s">
        <v>3153</v>
      </c>
      <c r="I1515" t="s">
        <v>45</v>
      </c>
      <c r="J1515" s="3" t="s">
        <v>3254</v>
      </c>
      <c r="K1515" t="s">
        <v>3255</v>
      </c>
      <c r="L1515" s="4">
        <v>4</v>
      </c>
      <c r="M1515" s="4">
        <v>0</v>
      </c>
      <c r="N1515">
        <v>4</v>
      </c>
      <c r="P1515">
        <v>5</v>
      </c>
      <c r="Q1515">
        <f>QtyRemaining*EstMfgMin/60</f>
        <v>0.33333333333333331</v>
      </c>
      <c r="U1515" t="e">
        <f t="shared" si="48"/>
        <v>#REF!</v>
      </c>
      <c r="V1515" s="5" t="e">
        <f t="shared" si="49"/>
        <v>#REF!</v>
      </c>
    </row>
    <row r="1516" spans="1:22" x14ac:dyDescent="0.25">
      <c r="A1516" s="2">
        <v>46160</v>
      </c>
      <c r="B1516" s="2">
        <v>45905</v>
      </c>
      <c r="C1516" t="s">
        <v>478</v>
      </c>
      <c r="D1516">
        <v>21</v>
      </c>
      <c r="E1516" t="s">
        <v>3152</v>
      </c>
      <c r="F1516" t="s">
        <v>261</v>
      </c>
      <c r="G1516" t="s">
        <v>529</v>
      </c>
      <c r="H1516" t="s">
        <v>3153</v>
      </c>
      <c r="I1516" t="s">
        <v>45</v>
      </c>
      <c r="J1516" s="3" t="s">
        <v>3256</v>
      </c>
      <c r="K1516" t="s">
        <v>3257</v>
      </c>
      <c r="L1516" s="4">
        <v>3</v>
      </c>
      <c r="M1516" s="4">
        <v>0</v>
      </c>
      <c r="N1516">
        <v>3</v>
      </c>
      <c r="P1516">
        <v>5</v>
      </c>
      <c r="Q1516">
        <f>QtyRemaining*EstMfgMin/60</f>
        <v>0.25</v>
      </c>
      <c r="U1516" t="e">
        <f t="shared" si="48"/>
        <v>#REF!</v>
      </c>
      <c r="V1516" s="5" t="e">
        <f t="shared" si="49"/>
        <v>#REF!</v>
      </c>
    </row>
    <row r="1517" spans="1:22" x14ac:dyDescent="0.25">
      <c r="A1517" s="2">
        <v>46160</v>
      </c>
      <c r="B1517" s="2">
        <v>45905</v>
      </c>
      <c r="C1517" t="s">
        <v>478</v>
      </c>
      <c r="D1517">
        <v>21</v>
      </c>
      <c r="E1517" t="s">
        <v>3152</v>
      </c>
      <c r="F1517" t="s">
        <v>261</v>
      </c>
      <c r="G1517" t="s">
        <v>529</v>
      </c>
      <c r="H1517" t="s">
        <v>3153</v>
      </c>
      <c r="I1517" t="s">
        <v>45</v>
      </c>
      <c r="J1517" s="3" t="s">
        <v>3258</v>
      </c>
      <c r="K1517" t="s">
        <v>3259</v>
      </c>
      <c r="L1517" s="4">
        <v>3</v>
      </c>
      <c r="M1517" s="4">
        <v>0</v>
      </c>
      <c r="N1517">
        <v>3</v>
      </c>
      <c r="P1517">
        <v>5</v>
      </c>
      <c r="Q1517">
        <f>QtyRemaining*EstMfgMin/60</f>
        <v>0.25</v>
      </c>
      <c r="U1517" t="e">
        <f t="shared" si="48"/>
        <v>#REF!</v>
      </c>
      <c r="V1517" s="5" t="e">
        <f t="shared" si="49"/>
        <v>#REF!</v>
      </c>
    </row>
    <row r="1518" spans="1:22" x14ac:dyDescent="0.25">
      <c r="A1518" s="2">
        <v>46160</v>
      </c>
      <c r="B1518" s="2">
        <v>45905</v>
      </c>
      <c r="C1518" t="s">
        <v>478</v>
      </c>
      <c r="D1518">
        <v>21</v>
      </c>
      <c r="E1518" t="s">
        <v>3152</v>
      </c>
      <c r="F1518" t="s">
        <v>261</v>
      </c>
      <c r="G1518" t="s">
        <v>529</v>
      </c>
      <c r="H1518" t="s">
        <v>3153</v>
      </c>
      <c r="I1518" t="s">
        <v>45</v>
      </c>
      <c r="J1518" s="3" t="s">
        <v>3260</v>
      </c>
      <c r="K1518" t="s">
        <v>3261</v>
      </c>
      <c r="L1518" s="4">
        <v>3</v>
      </c>
      <c r="M1518" s="4">
        <v>0</v>
      </c>
      <c r="N1518">
        <v>3</v>
      </c>
      <c r="P1518">
        <v>5</v>
      </c>
      <c r="Q1518">
        <f>QtyRemaining*EstMfgMin/60</f>
        <v>0.25</v>
      </c>
      <c r="U1518" t="e">
        <f t="shared" si="48"/>
        <v>#REF!</v>
      </c>
      <c r="V1518" s="5" t="e">
        <f t="shared" si="49"/>
        <v>#REF!</v>
      </c>
    </row>
    <row r="1519" spans="1:22" x14ac:dyDescent="0.25">
      <c r="A1519" s="2">
        <v>46160</v>
      </c>
      <c r="B1519" s="2">
        <v>45905</v>
      </c>
      <c r="C1519" t="s">
        <v>478</v>
      </c>
      <c r="D1519">
        <v>21</v>
      </c>
      <c r="E1519" t="s">
        <v>3152</v>
      </c>
      <c r="F1519" t="s">
        <v>261</v>
      </c>
      <c r="G1519" t="s">
        <v>529</v>
      </c>
      <c r="H1519" t="s">
        <v>3153</v>
      </c>
      <c r="I1519" t="s">
        <v>45</v>
      </c>
      <c r="J1519" s="3" t="s">
        <v>3262</v>
      </c>
      <c r="K1519" t="s">
        <v>3263</v>
      </c>
      <c r="L1519" s="4">
        <v>3</v>
      </c>
      <c r="M1519" s="4">
        <v>0</v>
      </c>
      <c r="N1519">
        <v>3</v>
      </c>
      <c r="P1519">
        <v>10</v>
      </c>
      <c r="Q1519">
        <f>QtyRemaining*EstMfgMin/60</f>
        <v>0.5</v>
      </c>
      <c r="U1519" t="e">
        <f t="shared" si="48"/>
        <v>#REF!</v>
      </c>
      <c r="V1519" s="5" t="e">
        <f t="shared" si="49"/>
        <v>#REF!</v>
      </c>
    </row>
    <row r="1520" spans="1:22" x14ac:dyDescent="0.25">
      <c r="A1520" s="2">
        <v>46160</v>
      </c>
      <c r="B1520" s="2">
        <v>45905</v>
      </c>
      <c r="C1520" t="s">
        <v>478</v>
      </c>
      <c r="D1520">
        <v>21</v>
      </c>
      <c r="E1520" t="s">
        <v>3152</v>
      </c>
      <c r="F1520" t="s">
        <v>261</v>
      </c>
      <c r="G1520" t="s">
        <v>529</v>
      </c>
      <c r="H1520" t="s">
        <v>3153</v>
      </c>
      <c r="I1520" t="s">
        <v>45</v>
      </c>
      <c r="J1520" s="3" t="s">
        <v>3264</v>
      </c>
      <c r="K1520" t="s">
        <v>3265</v>
      </c>
      <c r="L1520" s="4">
        <v>3</v>
      </c>
      <c r="M1520" s="4">
        <v>0</v>
      </c>
      <c r="N1520">
        <v>3</v>
      </c>
      <c r="O1520" t="s">
        <v>176</v>
      </c>
      <c r="P1520">
        <v>10</v>
      </c>
      <c r="Q1520">
        <f>QtyRemaining*EstMfgMin/60</f>
        <v>0.5</v>
      </c>
      <c r="U1520" t="e">
        <f t="shared" si="48"/>
        <v>#REF!</v>
      </c>
      <c r="V1520" s="5" t="e">
        <f t="shared" si="49"/>
        <v>#REF!</v>
      </c>
    </row>
    <row r="1521" spans="1:22" x14ac:dyDescent="0.25">
      <c r="A1521" s="2">
        <v>46160</v>
      </c>
      <c r="B1521" s="2">
        <v>45905</v>
      </c>
      <c r="C1521" t="s">
        <v>478</v>
      </c>
      <c r="D1521">
        <v>21</v>
      </c>
      <c r="E1521" t="s">
        <v>3152</v>
      </c>
      <c r="F1521" t="s">
        <v>261</v>
      </c>
      <c r="G1521" t="s">
        <v>529</v>
      </c>
      <c r="H1521" t="s">
        <v>3153</v>
      </c>
      <c r="I1521" t="s">
        <v>45</v>
      </c>
      <c r="J1521" s="3" t="s">
        <v>3266</v>
      </c>
      <c r="K1521" t="s">
        <v>3267</v>
      </c>
      <c r="L1521" s="4">
        <v>3</v>
      </c>
      <c r="M1521" s="4">
        <v>0</v>
      </c>
      <c r="N1521">
        <v>3</v>
      </c>
      <c r="P1521">
        <v>5</v>
      </c>
      <c r="Q1521">
        <f>QtyRemaining*EstMfgMin/60</f>
        <v>0.25</v>
      </c>
      <c r="U1521" t="e">
        <f t="shared" si="48"/>
        <v>#REF!</v>
      </c>
      <c r="V1521" s="5" t="e">
        <f t="shared" si="49"/>
        <v>#REF!</v>
      </c>
    </row>
    <row r="1522" spans="1:22" x14ac:dyDescent="0.25">
      <c r="A1522" s="2">
        <v>46160</v>
      </c>
      <c r="B1522" s="2">
        <v>45905</v>
      </c>
      <c r="C1522" t="s">
        <v>478</v>
      </c>
      <c r="D1522">
        <v>21</v>
      </c>
      <c r="E1522" t="s">
        <v>3152</v>
      </c>
      <c r="F1522" t="s">
        <v>261</v>
      </c>
      <c r="G1522" t="s">
        <v>529</v>
      </c>
      <c r="H1522" t="s">
        <v>3153</v>
      </c>
      <c r="I1522" t="s">
        <v>83</v>
      </c>
      <c r="J1522" s="3" t="s">
        <v>3268</v>
      </c>
      <c r="K1522" t="s">
        <v>3269</v>
      </c>
      <c r="L1522" s="4">
        <v>3</v>
      </c>
      <c r="M1522" s="4">
        <v>0</v>
      </c>
      <c r="N1522">
        <v>3</v>
      </c>
      <c r="P1522">
        <v>46</v>
      </c>
      <c r="Q1522">
        <f>QtyRemaining*EstMfgMin/60</f>
        <v>2.2999999999999998</v>
      </c>
      <c r="U1522" t="e">
        <f t="shared" si="48"/>
        <v>#REF!</v>
      </c>
      <c r="V1522" s="5" t="e">
        <f t="shared" si="49"/>
        <v>#REF!</v>
      </c>
    </row>
    <row r="1523" spans="1:22" x14ac:dyDescent="0.25">
      <c r="A1523" s="2">
        <v>46160</v>
      </c>
      <c r="B1523" s="2">
        <v>45905</v>
      </c>
      <c r="C1523" t="s">
        <v>478</v>
      </c>
      <c r="D1523">
        <v>21</v>
      </c>
      <c r="E1523" t="s">
        <v>3152</v>
      </c>
      <c r="F1523" t="s">
        <v>261</v>
      </c>
      <c r="G1523" t="s">
        <v>529</v>
      </c>
      <c r="H1523" t="s">
        <v>3153</v>
      </c>
      <c r="I1523" t="s">
        <v>83</v>
      </c>
      <c r="J1523" s="3" t="s">
        <v>3270</v>
      </c>
      <c r="K1523" t="s">
        <v>3271</v>
      </c>
      <c r="L1523" s="4">
        <v>3</v>
      </c>
      <c r="M1523" s="4">
        <v>0</v>
      </c>
      <c r="N1523">
        <v>3</v>
      </c>
      <c r="P1523">
        <v>13</v>
      </c>
      <c r="Q1523">
        <f>QtyRemaining*EstMfgMin/60</f>
        <v>0.65</v>
      </c>
      <c r="U1523" t="e">
        <f t="shared" si="48"/>
        <v>#REF!</v>
      </c>
      <c r="V1523" s="5" t="e">
        <f t="shared" si="49"/>
        <v>#REF!</v>
      </c>
    </row>
    <row r="1524" spans="1:22" x14ac:dyDescent="0.25">
      <c r="A1524" s="2">
        <v>46160</v>
      </c>
      <c r="B1524" s="2">
        <v>45905</v>
      </c>
      <c r="C1524" t="s">
        <v>478</v>
      </c>
      <c r="D1524">
        <v>21</v>
      </c>
      <c r="E1524" t="s">
        <v>3152</v>
      </c>
      <c r="F1524" t="s">
        <v>261</v>
      </c>
      <c r="G1524" t="s">
        <v>529</v>
      </c>
      <c r="H1524" t="s">
        <v>3153</v>
      </c>
      <c r="I1524" t="s">
        <v>83</v>
      </c>
      <c r="J1524" s="3" t="s">
        <v>3272</v>
      </c>
      <c r="K1524" t="s">
        <v>3273</v>
      </c>
      <c r="L1524" s="4">
        <v>3</v>
      </c>
      <c r="M1524" s="4">
        <v>0</v>
      </c>
      <c r="N1524">
        <v>3</v>
      </c>
      <c r="P1524">
        <v>13</v>
      </c>
      <c r="Q1524">
        <f>QtyRemaining*EstMfgMin/60</f>
        <v>0.65</v>
      </c>
      <c r="U1524" t="e">
        <f t="shared" si="48"/>
        <v>#REF!</v>
      </c>
      <c r="V1524" s="5" t="e">
        <f t="shared" si="49"/>
        <v>#REF!</v>
      </c>
    </row>
    <row r="1525" spans="1:22" x14ac:dyDescent="0.25">
      <c r="A1525" s="2">
        <v>46160</v>
      </c>
      <c r="B1525" s="2">
        <v>45905</v>
      </c>
      <c r="C1525" t="s">
        <v>478</v>
      </c>
      <c r="D1525">
        <v>21</v>
      </c>
      <c r="E1525" t="s">
        <v>3152</v>
      </c>
      <c r="F1525" t="s">
        <v>261</v>
      </c>
      <c r="G1525" t="s">
        <v>529</v>
      </c>
      <c r="H1525" t="s">
        <v>3153</v>
      </c>
      <c r="I1525" t="s">
        <v>83</v>
      </c>
      <c r="J1525" s="3" t="s">
        <v>3274</v>
      </c>
      <c r="K1525" t="s">
        <v>3275</v>
      </c>
      <c r="L1525" s="4">
        <v>3</v>
      </c>
      <c r="M1525" s="4">
        <v>0</v>
      </c>
      <c r="N1525">
        <v>3</v>
      </c>
      <c r="P1525">
        <v>26</v>
      </c>
      <c r="Q1525">
        <f>QtyRemaining*EstMfgMin/60</f>
        <v>1.3</v>
      </c>
      <c r="U1525" t="e">
        <f t="shared" si="48"/>
        <v>#REF!</v>
      </c>
      <c r="V1525" s="5" t="e">
        <f t="shared" si="49"/>
        <v>#REF!</v>
      </c>
    </row>
    <row r="1526" spans="1:22" x14ac:dyDescent="0.25">
      <c r="A1526" s="2">
        <v>46160</v>
      </c>
      <c r="B1526" s="2">
        <v>45905</v>
      </c>
      <c r="C1526" t="s">
        <v>478</v>
      </c>
      <c r="D1526">
        <v>21</v>
      </c>
      <c r="E1526" t="s">
        <v>3152</v>
      </c>
      <c r="F1526" t="s">
        <v>261</v>
      </c>
      <c r="G1526" t="s">
        <v>529</v>
      </c>
      <c r="H1526" t="s">
        <v>3153</v>
      </c>
      <c r="I1526" t="s">
        <v>155</v>
      </c>
      <c r="J1526" s="3" t="s">
        <v>3276</v>
      </c>
      <c r="K1526" t="s">
        <v>3277</v>
      </c>
      <c r="L1526" s="4">
        <v>3</v>
      </c>
      <c r="M1526" s="4">
        <v>0</v>
      </c>
      <c r="N1526">
        <v>3</v>
      </c>
      <c r="P1526">
        <v>11</v>
      </c>
      <c r="Q1526">
        <f>QtyRemaining*EstMfgMin/60</f>
        <v>0.55000000000000004</v>
      </c>
      <c r="U1526" t="e">
        <f t="shared" si="48"/>
        <v>#REF!</v>
      </c>
      <c r="V1526" s="5" t="e">
        <f t="shared" si="49"/>
        <v>#REF!</v>
      </c>
    </row>
    <row r="1527" spans="1:22" x14ac:dyDescent="0.25">
      <c r="A1527" s="2">
        <v>46160</v>
      </c>
      <c r="B1527" s="2">
        <v>45905</v>
      </c>
      <c r="C1527" t="s">
        <v>478</v>
      </c>
      <c r="D1527">
        <v>21</v>
      </c>
      <c r="E1527" t="s">
        <v>3152</v>
      </c>
      <c r="F1527" t="s">
        <v>261</v>
      </c>
      <c r="G1527" t="s">
        <v>529</v>
      </c>
      <c r="H1527" t="s">
        <v>3153</v>
      </c>
      <c r="I1527" t="s">
        <v>155</v>
      </c>
      <c r="J1527" s="3" t="s">
        <v>3278</v>
      </c>
      <c r="K1527" t="s">
        <v>3279</v>
      </c>
      <c r="L1527" s="4">
        <v>3</v>
      </c>
      <c r="M1527" s="4">
        <v>0</v>
      </c>
      <c r="N1527">
        <v>3</v>
      </c>
      <c r="P1527">
        <v>92</v>
      </c>
      <c r="Q1527">
        <f>QtyRemaining*EstMfgMin/60</f>
        <v>4.5999999999999996</v>
      </c>
      <c r="U1527" t="e">
        <f t="shared" si="48"/>
        <v>#REF!</v>
      </c>
      <c r="V1527" s="5" t="e">
        <f t="shared" si="49"/>
        <v>#REF!</v>
      </c>
    </row>
    <row r="1528" spans="1:22" x14ac:dyDescent="0.25">
      <c r="A1528" s="2">
        <v>46160</v>
      </c>
      <c r="B1528" s="2">
        <v>45905</v>
      </c>
      <c r="C1528" t="s">
        <v>478</v>
      </c>
      <c r="D1528">
        <v>21</v>
      </c>
      <c r="E1528" t="s">
        <v>3152</v>
      </c>
      <c r="F1528" t="s">
        <v>261</v>
      </c>
      <c r="G1528" t="s">
        <v>529</v>
      </c>
      <c r="H1528" t="s">
        <v>3153</v>
      </c>
      <c r="I1528" t="s">
        <v>155</v>
      </c>
      <c r="J1528" s="3" t="s">
        <v>3280</v>
      </c>
      <c r="K1528" t="s">
        <v>3281</v>
      </c>
      <c r="L1528" s="4">
        <v>3</v>
      </c>
      <c r="M1528" s="4">
        <v>0</v>
      </c>
      <c r="N1528">
        <v>3</v>
      </c>
      <c r="P1528">
        <v>105</v>
      </c>
      <c r="Q1528">
        <f>QtyRemaining*EstMfgMin/60</f>
        <v>5.25</v>
      </c>
      <c r="U1528" t="e">
        <f t="shared" si="48"/>
        <v>#REF!</v>
      </c>
      <c r="V1528" s="5" t="e">
        <f t="shared" si="49"/>
        <v>#REF!</v>
      </c>
    </row>
    <row r="1529" spans="1:22" x14ac:dyDescent="0.25">
      <c r="A1529" s="2">
        <v>46160</v>
      </c>
      <c r="B1529" s="2">
        <v>45905</v>
      </c>
      <c r="C1529" t="s">
        <v>478</v>
      </c>
      <c r="D1529">
        <v>21</v>
      </c>
      <c r="E1529" t="s">
        <v>3152</v>
      </c>
      <c r="F1529" t="s">
        <v>261</v>
      </c>
      <c r="G1529" t="s">
        <v>529</v>
      </c>
      <c r="H1529" t="s">
        <v>3153</v>
      </c>
      <c r="I1529" t="s">
        <v>155</v>
      </c>
      <c r="J1529" s="3" t="s">
        <v>3282</v>
      </c>
      <c r="K1529" t="s">
        <v>3283</v>
      </c>
      <c r="L1529" s="4">
        <v>3</v>
      </c>
      <c r="M1529" s="4">
        <v>0</v>
      </c>
      <c r="N1529">
        <v>3</v>
      </c>
      <c r="P1529">
        <v>118</v>
      </c>
      <c r="Q1529">
        <f>QtyRemaining*EstMfgMin/60</f>
        <v>5.9</v>
      </c>
      <c r="U1529" t="e">
        <f t="shared" si="48"/>
        <v>#REF!</v>
      </c>
      <c r="V1529" s="5" t="e">
        <f t="shared" si="49"/>
        <v>#REF!</v>
      </c>
    </row>
    <row r="1530" spans="1:22" x14ac:dyDescent="0.25">
      <c r="A1530" s="2">
        <v>46160</v>
      </c>
      <c r="B1530" s="2">
        <v>45905</v>
      </c>
      <c r="C1530" t="s">
        <v>478</v>
      </c>
      <c r="D1530">
        <v>21</v>
      </c>
      <c r="E1530" t="s">
        <v>3152</v>
      </c>
      <c r="F1530" t="s">
        <v>261</v>
      </c>
      <c r="G1530" t="s">
        <v>529</v>
      </c>
      <c r="H1530" t="s">
        <v>3153</v>
      </c>
      <c r="I1530" t="s">
        <v>155</v>
      </c>
      <c r="J1530" s="3" t="s">
        <v>3284</v>
      </c>
      <c r="K1530" t="s">
        <v>3285</v>
      </c>
      <c r="L1530" s="4">
        <v>3</v>
      </c>
      <c r="M1530" s="4">
        <v>0</v>
      </c>
      <c r="N1530">
        <v>3</v>
      </c>
      <c r="O1530" t="s">
        <v>118</v>
      </c>
      <c r="P1530">
        <v>168</v>
      </c>
      <c r="Q1530">
        <f>QtyRemaining*EstMfgMin/60</f>
        <v>8.4</v>
      </c>
      <c r="U1530" t="e">
        <f t="shared" si="48"/>
        <v>#REF!</v>
      </c>
      <c r="V1530" s="5" t="e">
        <f t="shared" si="49"/>
        <v>#REF!</v>
      </c>
    </row>
    <row r="1531" spans="1:22" x14ac:dyDescent="0.25">
      <c r="A1531" s="2">
        <v>46160</v>
      </c>
      <c r="B1531" s="2">
        <v>45905</v>
      </c>
      <c r="C1531" t="s">
        <v>478</v>
      </c>
      <c r="D1531">
        <v>21</v>
      </c>
      <c r="E1531" t="s">
        <v>3152</v>
      </c>
      <c r="F1531" t="s">
        <v>261</v>
      </c>
      <c r="G1531" t="s">
        <v>529</v>
      </c>
      <c r="H1531" t="s">
        <v>3153</v>
      </c>
      <c r="I1531" t="s">
        <v>155</v>
      </c>
      <c r="J1531" s="3" t="s">
        <v>3286</v>
      </c>
      <c r="K1531" t="s">
        <v>3287</v>
      </c>
      <c r="L1531" s="4">
        <v>6</v>
      </c>
      <c r="M1531" s="4">
        <v>0</v>
      </c>
      <c r="N1531">
        <v>6</v>
      </c>
      <c r="O1531" t="s">
        <v>86</v>
      </c>
      <c r="P1531">
        <v>153</v>
      </c>
      <c r="Q1531">
        <f>QtyRemaining*EstMfgMin/60</f>
        <v>15.3</v>
      </c>
      <c r="U1531" t="e">
        <f t="shared" si="48"/>
        <v>#REF!</v>
      </c>
      <c r="V1531" s="5" t="e">
        <f t="shared" si="49"/>
        <v>#REF!</v>
      </c>
    </row>
    <row r="1532" spans="1:22" x14ac:dyDescent="0.25">
      <c r="A1532" s="2">
        <v>46160</v>
      </c>
      <c r="B1532" s="2">
        <v>45905</v>
      </c>
      <c r="C1532" t="s">
        <v>478</v>
      </c>
      <c r="D1532">
        <v>21</v>
      </c>
      <c r="E1532" t="s">
        <v>3152</v>
      </c>
      <c r="F1532" t="s">
        <v>261</v>
      </c>
      <c r="G1532" t="s">
        <v>529</v>
      </c>
      <c r="H1532" t="s">
        <v>3153</v>
      </c>
      <c r="I1532" t="s">
        <v>155</v>
      </c>
      <c r="J1532" s="3" t="s">
        <v>3288</v>
      </c>
      <c r="K1532" t="s">
        <v>3289</v>
      </c>
      <c r="L1532" s="4">
        <v>6</v>
      </c>
      <c r="M1532" s="4">
        <v>0</v>
      </c>
      <c r="N1532">
        <v>6</v>
      </c>
      <c r="P1532">
        <v>30</v>
      </c>
      <c r="Q1532">
        <f>QtyRemaining*EstMfgMin/60</f>
        <v>3</v>
      </c>
      <c r="U1532" t="e">
        <f t="shared" si="48"/>
        <v>#REF!</v>
      </c>
      <c r="V1532" s="5" t="e">
        <f t="shared" si="49"/>
        <v>#REF!</v>
      </c>
    </row>
    <row r="1533" spans="1:22" x14ac:dyDescent="0.25">
      <c r="A1533" s="2">
        <v>46160</v>
      </c>
      <c r="B1533" s="2">
        <v>45905</v>
      </c>
      <c r="C1533" t="s">
        <v>478</v>
      </c>
      <c r="D1533">
        <v>21</v>
      </c>
      <c r="E1533" t="s">
        <v>3152</v>
      </c>
      <c r="F1533" t="s">
        <v>261</v>
      </c>
      <c r="G1533" t="s">
        <v>529</v>
      </c>
      <c r="H1533" t="s">
        <v>3153</v>
      </c>
      <c r="I1533" t="s">
        <v>155</v>
      </c>
      <c r="J1533" s="3" t="s">
        <v>3290</v>
      </c>
      <c r="K1533" t="s">
        <v>3291</v>
      </c>
      <c r="L1533" s="4">
        <v>6</v>
      </c>
      <c r="M1533" s="4">
        <v>0</v>
      </c>
      <c r="N1533">
        <v>6</v>
      </c>
      <c r="P1533">
        <v>44</v>
      </c>
      <c r="Q1533">
        <f>QtyRemaining*EstMfgMin/60</f>
        <v>4.4000000000000004</v>
      </c>
      <c r="U1533" t="e">
        <f t="shared" si="48"/>
        <v>#REF!</v>
      </c>
      <c r="V1533" s="5" t="e">
        <f t="shared" si="49"/>
        <v>#REF!</v>
      </c>
    </row>
    <row r="1534" spans="1:22" x14ac:dyDescent="0.25">
      <c r="A1534" s="2">
        <v>46160</v>
      </c>
      <c r="B1534" s="2">
        <v>45905</v>
      </c>
      <c r="C1534" t="s">
        <v>478</v>
      </c>
      <c r="D1534">
        <v>21</v>
      </c>
      <c r="E1534" t="s">
        <v>3152</v>
      </c>
      <c r="F1534" t="s">
        <v>261</v>
      </c>
      <c r="G1534" t="s">
        <v>529</v>
      </c>
      <c r="H1534" t="s">
        <v>3153</v>
      </c>
      <c r="I1534" t="s">
        <v>83</v>
      </c>
      <c r="J1534" s="3" t="s">
        <v>3292</v>
      </c>
      <c r="K1534" t="s">
        <v>3293</v>
      </c>
      <c r="L1534" s="4">
        <v>6</v>
      </c>
      <c r="M1534" s="4">
        <v>0</v>
      </c>
      <c r="N1534">
        <v>6</v>
      </c>
      <c r="O1534" t="s">
        <v>176</v>
      </c>
      <c r="P1534">
        <v>12</v>
      </c>
      <c r="Q1534">
        <f>QtyRemaining*EstMfgMin/60</f>
        <v>1.2</v>
      </c>
      <c r="U1534" t="e">
        <f t="shared" si="48"/>
        <v>#REF!</v>
      </c>
      <c r="V1534" s="5" t="e">
        <f t="shared" si="49"/>
        <v>#REF!</v>
      </c>
    </row>
    <row r="1535" spans="1:22" x14ac:dyDescent="0.25">
      <c r="A1535" s="2">
        <v>46160</v>
      </c>
      <c r="B1535" s="2">
        <v>45905</v>
      </c>
      <c r="C1535" t="s">
        <v>478</v>
      </c>
      <c r="D1535">
        <v>21</v>
      </c>
      <c r="E1535" t="s">
        <v>3152</v>
      </c>
      <c r="F1535" t="s">
        <v>261</v>
      </c>
      <c r="G1535" t="s">
        <v>529</v>
      </c>
      <c r="H1535" t="s">
        <v>3153</v>
      </c>
      <c r="I1535" t="s">
        <v>83</v>
      </c>
      <c r="J1535" s="3" t="s">
        <v>3294</v>
      </c>
      <c r="K1535" t="s">
        <v>3295</v>
      </c>
      <c r="L1535" s="4">
        <v>6</v>
      </c>
      <c r="M1535" s="4">
        <v>0</v>
      </c>
      <c r="N1535">
        <v>6</v>
      </c>
      <c r="O1535" t="s">
        <v>176</v>
      </c>
      <c r="P1535">
        <v>12</v>
      </c>
      <c r="Q1535">
        <f>QtyRemaining*EstMfgMin/60</f>
        <v>1.2</v>
      </c>
      <c r="U1535" t="e">
        <f t="shared" si="48"/>
        <v>#REF!</v>
      </c>
      <c r="V1535" s="5" t="e">
        <f t="shared" si="49"/>
        <v>#REF!</v>
      </c>
    </row>
    <row r="1536" spans="1:22" x14ac:dyDescent="0.25">
      <c r="A1536" s="2">
        <v>46160</v>
      </c>
      <c r="B1536" s="2">
        <v>45905</v>
      </c>
      <c r="C1536" t="s">
        <v>478</v>
      </c>
      <c r="D1536">
        <v>21</v>
      </c>
      <c r="E1536" t="s">
        <v>3152</v>
      </c>
      <c r="F1536" t="s">
        <v>261</v>
      </c>
      <c r="G1536" t="s">
        <v>529</v>
      </c>
      <c r="H1536" t="s">
        <v>3153</v>
      </c>
      <c r="I1536" t="s">
        <v>83</v>
      </c>
      <c r="J1536" s="3" t="s">
        <v>3296</v>
      </c>
      <c r="K1536" t="s">
        <v>3297</v>
      </c>
      <c r="L1536" s="4">
        <v>6</v>
      </c>
      <c r="M1536" s="4">
        <v>0</v>
      </c>
      <c r="N1536">
        <v>6</v>
      </c>
      <c r="O1536" t="s">
        <v>176</v>
      </c>
      <c r="P1536">
        <v>29</v>
      </c>
      <c r="Q1536">
        <f>QtyRemaining*EstMfgMin/60</f>
        <v>2.9</v>
      </c>
      <c r="U1536" t="e">
        <f t="shared" si="48"/>
        <v>#REF!</v>
      </c>
      <c r="V1536" s="5" t="e">
        <f t="shared" si="49"/>
        <v>#REF!</v>
      </c>
    </row>
    <row r="1537" spans="1:22" x14ac:dyDescent="0.25">
      <c r="A1537" s="2">
        <v>46160</v>
      </c>
      <c r="B1537" s="2">
        <v>45905</v>
      </c>
      <c r="C1537" t="s">
        <v>478</v>
      </c>
      <c r="D1537">
        <v>21</v>
      </c>
      <c r="E1537" t="s">
        <v>3152</v>
      </c>
      <c r="F1537" t="s">
        <v>261</v>
      </c>
      <c r="G1537" t="s">
        <v>529</v>
      </c>
      <c r="H1537" t="s">
        <v>3153</v>
      </c>
      <c r="I1537" t="s">
        <v>155</v>
      </c>
      <c r="J1537" s="3" t="s">
        <v>3298</v>
      </c>
      <c r="K1537" t="s">
        <v>3299</v>
      </c>
      <c r="L1537" s="4">
        <v>6</v>
      </c>
      <c r="M1537" s="4">
        <v>0</v>
      </c>
      <c r="N1537">
        <v>6</v>
      </c>
      <c r="O1537" t="s">
        <v>176</v>
      </c>
      <c r="P1537">
        <v>12</v>
      </c>
      <c r="Q1537">
        <f>QtyRemaining*EstMfgMin/60</f>
        <v>1.2</v>
      </c>
      <c r="U1537" t="e">
        <f t="shared" si="48"/>
        <v>#REF!</v>
      </c>
      <c r="V1537" s="5" t="e">
        <f t="shared" si="49"/>
        <v>#REF!</v>
      </c>
    </row>
    <row r="1538" spans="1:22" x14ac:dyDescent="0.25">
      <c r="A1538" s="2">
        <v>46160</v>
      </c>
      <c r="B1538" s="2">
        <v>45905</v>
      </c>
      <c r="C1538" t="s">
        <v>478</v>
      </c>
      <c r="D1538">
        <v>21</v>
      </c>
      <c r="E1538" t="s">
        <v>3152</v>
      </c>
      <c r="F1538" t="s">
        <v>261</v>
      </c>
      <c r="G1538" t="s">
        <v>529</v>
      </c>
      <c r="H1538" t="s">
        <v>3153</v>
      </c>
      <c r="I1538" t="s">
        <v>155</v>
      </c>
      <c r="J1538" s="3" t="s">
        <v>3300</v>
      </c>
      <c r="K1538" t="s">
        <v>3301</v>
      </c>
      <c r="L1538" s="4">
        <v>6</v>
      </c>
      <c r="M1538" s="4">
        <v>0</v>
      </c>
      <c r="N1538">
        <v>6</v>
      </c>
      <c r="P1538">
        <v>116</v>
      </c>
      <c r="Q1538">
        <f>QtyRemaining*EstMfgMin/60</f>
        <v>11.6</v>
      </c>
      <c r="U1538" t="e">
        <f t="shared" si="48"/>
        <v>#REF!</v>
      </c>
      <c r="V1538" s="5" t="e">
        <f t="shared" si="49"/>
        <v>#REF!</v>
      </c>
    </row>
    <row r="1539" spans="1:22" x14ac:dyDescent="0.25">
      <c r="A1539" s="2">
        <v>46160</v>
      </c>
      <c r="B1539" s="2">
        <v>45905</v>
      </c>
      <c r="C1539" t="s">
        <v>478</v>
      </c>
      <c r="D1539">
        <v>21</v>
      </c>
      <c r="E1539" t="s">
        <v>3152</v>
      </c>
      <c r="F1539" t="s">
        <v>261</v>
      </c>
      <c r="G1539" t="s">
        <v>529</v>
      </c>
      <c r="H1539" t="s">
        <v>3153</v>
      </c>
      <c r="I1539" t="s">
        <v>155</v>
      </c>
      <c r="J1539" s="3" t="s">
        <v>3302</v>
      </c>
      <c r="K1539" t="s">
        <v>3303</v>
      </c>
      <c r="L1539" s="4">
        <v>6</v>
      </c>
      <c r="M1539" s="4">
        <v>0</v>
      </c>
      <c r="N1539">
        <v>6</v>
      </c>
      <c r="P1539">
        <v>29</v>
      </c>
      <c r="Q1539">
        <f>QtyRemaining*EstMfgMin/60</f>
        <v>2.9</v>
      </c>
      <c r="U1539" t="e">
        <f t="shared" ref="U1539:U1602" si="50">VLOOKUP(A1539,Calendar,13,FALSE)</f>
        <v>#REF!</v>
      </c>
      <c r="V1539" s="5" t="e">
        <f t="shared" ref="V1539:V1602" si="51">VLOOKUP(A1539,Calendar,14,FALSE)</f>
        <v>#REF!</v>
      </c>
    </row>
    <row r="1540" spans="1:22" x14ac:dyDescent="0.25">
      <c r="A1540" s="2">
        <v>46160</v>
      </c>
      <c r="B1540" s="2">
        <v>45905</v>
      </c>
      <c r="C1540" t="s">
        <v>478</v>
      </c>
      <c r="D1540">
        <v>21</v>
      </c>
      <c r="E1540" t="s">
        <v>3152</v>
      </c>
      <c r="F1540" t="s">
        <v>261</v>
      </c>
      <c r="G1540" t="s">
        <v>529</v>
      </c>
      <c r="H1540" t="s">
        <v>3153</v>
      </c>
      <c r="I1540" t="s">
        <v>155</v>
      </c>
      <c r="J1540" s="3" t="s">
        <v>3304</v>
      </c>
      <c r="K1540" t="s">
        <v>3305</v>
      </c>
      <c r="L1540" s="4">
        <v>59</v>
      </c>
      <c r="M1540" s="4">
        <v>0</v>
      </c>
      <c r="N1540">
        <v>59</v>
      </c>
      <c r="P1540">
        <v>0</v>
      </c>
      <c r="Q1540">
        <f>QtyRemaining*EstMfgMin/60</f>
        <v>0</v>
      </c>
      <c r="U1540" t="e">
        <f t="shared" si="50"/>
        <v>#REF!</v>
      </c>
      <c r="V1540" s="5" t="e">
        <f t="shared" si="51"/>
        <v>#REF!</v>
      </c>
    </row>
    <row r="1541" spans="1:22" x14ac:dyDescent="0.25">
      <c r="A1541" s="2">
        <v>46160</v>
      </c>
      <c r="B1541" s="2">
        <v>45905</v>
      </c>
      <c r="C1541" t="s">
        <v>478</v>
      </c>
      <c r="D1541">
        <v>21</v>
      </c>
      <c r="E1541" t="s">
        <v>3152</v>
      </c>
      <c r="F1541" t="s">
        <v>261</v>
      </c>
      <c r="G1541" t="s">
        <v>529</v>
      </c>
      <c r="H1541" t="s">
        <v>3153</v>
      </c>
      <c r="I1541" t="s">
        <v>155</v>
      </c>
      <c r="J1541" s="3" t="s">
        <v>3306</v>
      </c>
      <c r="K1541" t="s">
        <v>3307</v>
      </c>
      <c r="L1541" s="4">
        <v>59</v>
      </c>
      <c r="M1541" s="4">
        <v>0</v>
      </c>
      <c r="N1541">
        <v>59</v>
      </c>
      <c r="P1541">
        <v>0</v>
      </c>
      <c r="Q1541">
        <f>QtyRemaining*EstMfgMin/60</f>
        <v>0</v>
      </c>
      <c r="U1541" t="e">
        <f t="shared" si="50"/>
        <v>#REF!</v>
      </c>
      <c r="V1541" s="5" t="e">
        <f t="shared" si="51"/>
        <v>#REF!</v>
      </c>
    </row>
    <row r="1542" spans="1:22" x14ac:dyDescent="0.25">
      <c r="A1542" s="2">
        <v>46160</v>
      </c>
      <c r="B1542" s="2">
        <v>45905</v>
      </c>
      <c r="C1542" t="s">
        <v>478</v>
      </c>
      <c r="D1542">
        <v>21</v>
      </c>
      <c r="E1542" t="s">
        <v>3152</v>
      </c>
      <c r="F1542" t="s">
        <v>261</v>
      </c>
      <c r="G1542" t="s">
        <v>529</v>
      </c>
      <c r="H1542" t="s">
        <v>3153</v>
      </c>
      <c r="I1542" t="s">
        <v>155</v>
      </c>
      <c r="J1542" s="3" t="s">
        <v>3308</v>
      </c>
      <c r="K1542" t="s">
        <v>3309</v>
      </c>
      <c r="L1542" s="4">
        <v>59</v>
      </c>
      <c r="M1542" s="4">
        <v>0</v>
      </c>
      <c r="N1542">
        <v>59</v>
      </c>
      <c r="P1542">
        <v>0</v>
      </c>
      <c r="Q1542">
        <f>QtyRemaining*EstMfgMin/60</f>
        <v>0</v>
      </c>
      <c r="U1542" t="e">
        <f t="shared" si="50"/>
        <v>#REF!</v>
      </c>
      <c r="V1542" s="5" t="e">
        <f t="shared" si="51"/>
        <v>#REF!</v>
      </c>
    </row>
    <row r="1543" spans="1:22" x14ac:dyDescent="0.25">
      <c r="A1543" s="2">
        <v>46160</v>
      </c>
      <c r="B1543" s="2">
        <v>45905</v>
      </c>
      <c r="C1543" t="s">
        <v>478</v>
      </c>
      <c r="D1543">
        <v>21</v>
      </c>
      <c r="E1543" t="s">
        <v>3152</v>
      </c>
      <c r="F1543" t="s">
        <v>261</v>
      </c>
      <c r="G1543" t="s">
        <v>529</v>
      </c>
      <c r="H1543" t="s">
        <v>3153</v>
      </c>
      <c r="I1543" t="s">
        <v>45</v>
      </c>
      <c r="J1543" s="3" t="s">
        <v>3310</v>
      </c>
      <c r="K1543" t="s">
        <v>3311</v>
      </c>
      <c r="L1543" s="4">
        <v>8</v>
      </c>
      <c r="M1543" s="4">
        <v>0</v>
      </c>
      <c r="N1543">
        <v>8</v>
      </c>
      <c r="P1543">
        <v>0</v>
      </c>
      <c r="Q1543">
        <f>QtyRemaining*EstMfgMin/60</f>
        <v>0</v>
      </c>
      <c r="U1543" t="e">
        <f t="shared" si="50"/>
        <v>#REF!</v>
      </c>
      <c r="V1543" s="5" t="e">
        <f t="shared" si="51"/>
        <v>#REF!</v>
      </c>
    </row>
    <row r="1544" spans="1:22" x14ac:dyDescent="0.25">
      <c r="A1544" s="2">
        <v>46160</v>
      </c>
      <c r="B1544" s="2">
        <v>45905</v>
      </c>
      <c r="C1544" t="s">
        <v>478</v>
      </c>
      <c r="D1544">
        <v>21</v>
      </c>
      <c r="E1544" t="s">
        <v>3152</v>
      </c>
      <c r="F1544" t="s">
        <v>261</v>
      </c>
      <c r="G1544" t="s">
        <v>529</v>
      </c>
      <c r="H1544" t="s">
        <v>3153</v>
      </c>
      <c r="I1544" t="s">
        <v>45</v>
      </c>
      <c r="J1544" s="3" t="s">
        <v>3312</v>
      </c>
      <c r="K1544" t="s">
        <v>3313</v>
      </c>
      <c r="L1544" s="4">
        <v>3</v>
      </c>
      <c r="M1544" s="4">
        <v>0</v>
      </c>
      <c r="N1544">
        <v>3</v>
      </c>
      <c r="P1544">
        <v>0</v>
      </c>
      <c r="Q1544">
        <f>QtyRemaining*EstMfgMin/60</f>
        <v>0</v>
      </c>
      <c r="U1544" t="e">
        <f t="shared" si="50"/>
        <v>#REF!</v>
      </c>
      <c r="V1544" s="5" t="e">
        <f t="shared" si="51"/>
        <v>#REF!</v>
      </c>
    </row>
    <row r="1545" spans="1:22" x14ac:dyDescent="0.25">
      <c r="A1545" s="2">
        <v>46160</v>
      </c>
      <c r="B1545" s="2">
        <v>45905</v>
      </c>
      <c r="C1545" t="s">
        <v>478</v>
      </c>
      <c r="D1545">
        <v>21</v>
      </c>
      <c r="E1545" t="s">
        <v>3152</v>
      </c>
      <c r="F1545" t="s">
        <v>261</v>
      </c>
      <c r="G1545" t="s">
        <v>529</v>
      </c>
      <c r="H1545" t="s">
        <v>3153</v>
      </c>
      <c r="I1545" t="s">
        <v>45</v>
      </c>
      <c r="J1545" s="3" t="s">
        <v>3314</v>
      </c>
      <c r="K1545" t="s">
        <v>3315</v>
      </c>
      <c r="L1545" s="4">
        <v>10</v>
      </c>
      <c r="M1545" s="4">
        <v>0</v>
      </c>
      <c r="N1545">
        <v>10</v>
      </c>
      <c r="P1545">
        <v>0</v>
      </c>
      <c r="Q1545">
        <f>QtyRemaining*EstMfgMin/60</f>
        <v>0</v>
      </c>
      <c r="U1545" t="e">
        <f t="shared" si="50"/>
        <v>#REF!</v>
      </c>
      <c r="V1545" s="5" t="e">
        <f t="shared" si="51"/>
        <v>#REF!</v>
      </c>
    </row>
    <row r="1546" spans="1:22" x14ac:dyDescent="0.25">
      <c r="A1546" s="2">
        <v>46160</v>
      </c>
      <c r="B1546" s="2">
        <v>45905</v>
      </c>
      <c r="C1546" t="s">
        <v>478</v>
      </c>
      <c r="D1546">
        <v>21</v>
      </c>
      <c r="E1546" t="s">
        <v>3152</v>
      </c>
      <c r="F1546" t="s">
        <v>261</v>
      </c>
      <c r="G1546" t="s">
        <v>529</v>
      </c>
      <c r="H1546" t="s">
        <v>3153</v>
      </c>
      <c r="I1546" t="s">
        <v>45</v>
      </c>
      <c r="J1546" s="3" t="s">
        <v>3316</v>
      </c>
      <c r="K1546" t="s">
        <v>3317</v>
      </c>
      <c r="L1546" s="4">
        <v>10</v>
      </c>
      <c r="M1546" s="4">
        <v>0</v>
      </c>
      <c r="N1546">
        <v>10</v>
      </c>
      <c r="P1546">
        <v>0</v>
      </c>
      <c r="Q1546">
        <f>QtyRemaining*EstMfgMin/60</f>
        <v>0</v>
      </c>
      <c r="U1546" t="e">
        <f t="shared" si="50"/>
        <v>#REF!</v>
      </c>
      <c r="V1546" s="5" t="e">
        <f t="shared" si="51"/>
        <v>#REF!</v>
      </c>
    </row>
    <row r="1547" spans="1:22" x14ac:dyDescent="0.25">
      <c r="A1547" s="2">
        <v>46160</v>
      </c>
      <c r="B1547" s="2">
        <v>45905</v>
      </c>
      <c r="C1547" t="s">
        <v>478</v>
      </c>
      <c r="D1547">
        <v>21</v>
      </c>
      <c r="E1547" t="s">
        <v>3152</v>
      </c>
      <c r="F1547" t="s">
        <v>261</v>
      </c>
      <c r="G1547" t="s">
        <v>529</v>
      </c>
      <c r="H1547" t="s">
        <v>3153</v>
      </c>
      <c r="I1547" t="s">
        <v>155</v>
      </c>
      <c r="J1547" s="3" t="s">
        <v>3318</v>
      </c>
      <c r="K1547" t="s">
        <v>3319</v>
      </c>
      <c r="L1547" s="4">
        <v>18</v>
      </c>
      <c r="M1547" s="4">
        <v>0</v>
      </c>
      <c r="N1547">
        <v>18</v>
      </c>
      <c r="P1547">
        <v>0</v>
      </c>
      <c r="Q1547">
        <f>QtyRemaining*EstMfgMin/60</f>
        <v>0</v>
      </c>
      <c r="U1547" t="e">
        <f t="shared" si="50"/>
        <v>#REF!</v>
      </c>
      <c r="V1547" s="5" t="e">
        <f t="shared" si="51"/>
        <v>#REF!</v>
      </c>
    </row>
    <row r="1548" spans="1:22" x14ac:dyDescent="0.25">
      <c r="A1548" s="2">
        <v>46160</v>
      </c>
      <c r="B1548" s="2">
        <v>45905</v>
      </c>
      <c r="C1548" t="s">
        <v>478</v>
      </c>
      <c r="D1548">
        <v>21</v>
      </c>
      <c r="E1548" t="s">
        <v>3152</v>
      </c>
      <c r="F1548" t="s">
        <v>261</v>
      </c>
      <c r="G1548" t="s">
        <v>529</v>
      </c>
      <c r="H1548" t="s">
        <v>3153</v>
      </c>
      <c r="I1548" t="s">
        <v>155</v>
      </c>
      <c r="J1548" s="3" t="s">
        <v>3320</v>
      </c>
      <c r="K1548" t="s">
        <v>3321</v>
      </c>
      <c r="L1548" s="4">
        <v>38</v>
      </c>
      <c r="M1548" s="4">
        <v>0</v>
      </c>
      <c r="N1548">
        <v>38</v>
      </c>
      <c r="P1548">
        <v>0</v>
      </c>
      <c r="Q1548">
        <f>QtyRemaining*EstMfgMin/60</f>
        <v>0</v>
      </c>
      <c r="U1548" t="e">
        <f t="shared" si="50"/>
        <v>#REF!</v>
      </c>
      <c r="V1548" s="5" t="e">
        <f t="shared" si="51"/>
        <v>#REF!</v>
      </c>
    </row>
    <row r="1549" spans="1:22" x14ac:dyDescent="0.25">
      <c r="A1549" s="2">
        <v>46160</v>
      </c>
      <c r="B1549" s="2">
        <v>45933</v>
      </c>
      <c r="C1549" t="s">
        <v>523</v>
      </c>
      <c r="D1549">
        <v>21</v>
      </c>
      <c r="E1549" t="s">
        <v>1998</v>
      </c>
      <c r="F1549" t="s">
        <v>211</v>
      </c>
      <c r="G1549" t="s">
        <v>1999</v>
      </c>
      <c r="H1549" t="s">
        <v>2000</v>
      </c>
      <c r="I1549" t="s">
        <v>83</v>
      </c>
      <c r="J1549" s="3" t="s">
        <v>2001</v>
      </c>
      <c r="K1549" t="s">
        <v>2002</v>
      </c>
      <c r="L1549" s="4">
        <v>4</v>
      </c>
      <c r="M1549" s="4">
        <v>0</v>
      </c>
      <c r="N1549">
        <v>4</v>
      </c>
      <c r="O1549" t="s">
        <v>94</v>
      </c>
      <c r="P1549">
        <v>600</v>
      </c>
      <c r="Q1549">
        <f>QtyRemaining*EstMfgMin/60</f>
        <v>40</v>
      </c>
      <c r="U1549" t="e">
        <f t="shared" si="50"/>
        <v>#REF!</v>
      </c>
      <c r="V1549" s="5" t="e">
        <f t="shared" si="51"/>
        <v>#REF!</v>
      </c>
    </row>
    <row r="1550" spans="1:22" x14ac:dyDescent="0.25">
      <c r="A1550" s="2">
        <v>46160</v>
      </c>
      <c r="B1550" s="2">
        <v>45933</v>
      </c>
      <c r="C1550" t="s">
        <v>523</v>
      </c>
      <c r="D1550">
        <v>21</v>
      </c>
      <c r="E1550" t="s">
        <v>1998</v>
      </c>
      <c r="F1550" t="s">
        <v>211</v>
      </c>
      <c r="G1550" t="s">
        <v>1999</v>
      </c>
      <c r="H1550" t="s">
        <v>2000</v>
      </c>
      <c r="I1550" t="s">
        <v>83</v>
      </c>
      <c r="J1550" s="3" t="s">
        <v>2003</v>
      </c>
      <c r="K1550" t="s">
        <v>2004</v>
      </c>
      <c r="L1550" s="4">
        <v>4</v>
      </c>
      <c r="M1550" s="4">
        <v>0</v>
      </c>
      <c r="N1550">
        <v>4</v>
      </c>
      <c r="O1550" t="s">
        <v>457</v>
      </c>
      <c r="P1550">
        <v>240</v>
      </c>
      <c r="Q1550">
        <f>QtyRemaining*EstMfgMin/60</f>
        <v>16</v>
      </c>
      <c r="U1550" t="e">
        <f t="shared" si="50"/>
        <v>#REF!</v>
      </c>
      <c r="V1550" s="5" t="e">
        <f t="shared" si="51"/>
        <v>#REF!</v>
      </c>
    </row>
    <row r="1551" spans="1:22" x14ac:dyDescent="0.25">
      <c r="A1551" s="2">
        <v>46160</v>
      </c>
      <c r="B1551" s="2">
        <v>45933</v>
      </c>
      <c r="C1551" t="s">
        <v>523</v>
      </c>
      <c r="D1551">
        <v>21</v>
      </c>
      <c r="E1551" t="s">
        <v>1998</v>
      </c>
      <c r="F1551" t="s">
        <v>211</v>
      </c>
      <c r="G1551" t="s">
        <v>1999</v>
      </c>
      <c r="H1551" t="s">
        <v>2000</v>
      </c>
      <c r="I1551" t="s">
        <v>83</v>
      </c>
      <c r="J1551" s="3" t="s">
        <v>2005</v>
      </c>
      <c r="K1551" t="s">
        <v>2006</v>
      </c>
      <c r="L1551" s="4">
        <v>4</v>
      </c>
      <c r="M1551" s="4">
        <v>0</v>
      </c>
      <c r="N1551">
        <v>4</v>
      </c>
      <c r="O1551" t="s">
        <v>457</v>
      </c>
      <c r="P1551">
        <v>240</v>
      </c>
      <c r="Q1551">
        <f>QtyRemaining*EstMfgMin/60</f>
        <v>16</v>
      </c>
      <c r="U1551" t="e">
        <f t="shared" si="50"/>
        <v>#REF!</v>
      </c>
      <c r="V1551" s="5" t="e">
        <f t="shared" si="51"/>
        <v>#REF!</v>
      </c>
    </row>
    <row r="1552" spans="1:22" x14ac:dyDescent="0.25">
      <c r="A1552" s="2">
        <v>46164</v>
      </c>
      <c r="B1552" s="2">
        <v>45609</v>
      </c>
      <c r="C1552" t="s">
        <v>633</v>
      </c>
      <c r="D1552">
        <v>21</v>
      </c>
      <c r="E1552" t="s">
        <v>3322</v>
      </c>
      <c r="F1552" t="s">
        <v>211</v>
      </c>
      <c r="G1552" t="s">
        <v>262</v>
      </c>
      <c r="H1552" t="s">
        <v>3323</v>
      </c>
      <c r="I1552" t="s">
        <v>83</v>
      </c>
      <c r="J1552" s="3" t="s">
        <v>1845</v>
      </c>
      <c r="K1552" t="s">
        <v>1846</v>
      </c>
      <c r="L1552" s="4">
        <v>19</v>
      </c>
      <c r="M1552" s="4">
        <v>0</v>
      </c>
      <c r="N1552">
        <v>19</v>
      </c>
      <c r="O1552" t="s">
        <v>176</v>
      </c>
      <c r="P1552">
        <v>66</v>
      </c>
      <c r="Q1552">
        <f>QtyRemaining*EstMfgMin/60</f>
        <v>20.9</v>
      </c>
      <c r="U1552" t="e">
        <f t="shared" si="50"/>
        <v>#REF!</v>
      </c>
      <c r="V1552" s="5" t="e">
        <f t="shared" si="51"/>
        <v>#REF!</v>
      </c>
    </row>
    <row r="1553" spans="1:22" x14ac:dyDescent="0.25">
      <c r="A1553" s="2">
        <v>46164</v>
      </c>
      <c r="B1553" s="2">
        <v>45792</v>
      </c>
      <c r="C1553" t="s">
        <v>633</v>
      </c>
      <c r="D1553">
        <v>21</v>
      </c>
      <c r="E1553" t="s">
        <v>3324</v>
      </c>
      <c r="F1553" t="s">
        <v>261</v>
      </c>
      <c r="G1553" t="s">
        <v>262</v>
      </c>
      <c r="H1553" t="s">
        <v>3325</v>
      </c>
      <c r="I1553" t="s">
        <v>155</v>
      </c>
      <c r="J1553" s="3" t="s">
        <v>3326</v>
      </c>
      <c r="K1553" t="s">
        <v>3327</v>
      </c>
      <c r="L1553" s="4">
        <v>17</v>
      </c>
      <c r="M1553" s="4">
        <v>0</v>
      </c>
      <c r="N1553">
        <v>17</v>
      </c>
      <c r="O1553" t="s">
        <v>266</v>
      </c>
      <c r="P1553">
        <v>0</v>
      </c>
      <c r="Q1553">
        <f>QtyRemaining*EstMfgMin/60</f>
        <v>0</v>
      </c>
      <c r="R1553" t="s">
        <v>3328</v>
      </c>
      <c r="U1553" t="e">
        <f t="shared" si="50"/>
        <v>#REF!</v>
      </c>
      <c r="V1553" s="5" t="e">
        <f t="shared" si="51"/>
        <v>#REF!</v>
      </c>
    </row>
    <row r="1554" spans="1:22" x14ac:dyDescent="0.25">
      <c r="A1554" s="2">
        <v>46164</v>
      </c>
      <c r="B1554" s="2">
        <v>45792</v>
      </c>
      <c r="C1554" t="s">
        <v>633</v>
      </c>
      <c r="D1554">
        <v>21</v>
      </c>
      <c r="E1554" t="s">
        <v>3324</v>
      </c>
      <c r="F1554" t="s">
        <v>261</v>
      </c>
      <c r="G1554" t="s">
        <v>262</v>
      </c>
      <c r="H1554" t="s">
        <v>3325</v>
      </c>
      <c r="I1554" t="s">
        <v>155</v>
      </c>
      <c r="J1554" s="3" t="s">
        <v>3326</v>
      </c>
      <c r="K1554" t="s">
        <v>3327</v>
      </c>
      <c r="L1554" s="4">
        <v>25</v>
      </c>
      <c r="M1554" s="4">
        <v>0</v>
      </c>
      <c r="N1554">
        <v>25</v>
      </c>
      <c r="O1554" t="s">
        <v>266</v>
      </c>
      <c r="P1554">
        <v>0</v>
      </c>
      <c r="Q1554">
        <f>QtyRemaining*EstMfgMin/60</f>
        <v>0</v>
      </c>
      <c r="R1554" t="s">
        <v>3328</v>
      </c>
      <c r="U1554" t="e">
        <f t="shared" si="50"/>
        <v>#REF!</v>
      </c>
      <c r="V1554" s="5" t="e">
        <f t="shared" si="51"/>
        <v>#REF!</v>
      </c>
    </row>
    <row r="1555" spans="1:22" x14ac:dyDescent="0.25">
      <c r="A1555" s="2">
        <v>46164</v>
      </c>
      <c r="B1555" s="2">
        <v>45860</v>
      </c>
      <c r="C1555" t="s">
        <v>650</v>
      </c>
      <c r="D1555">
        <v>21</v>
      </c>
      <c r="E1555" t="s">
        <v>3329</v>
      </c>
      <c r="F1555" t="s">
        <v>283</v>
      </c>
      <c r="G1555" t="s">
        <v>652</v>
      </c>
      <c r="H1555" t="s">
        <v>3330</v>
      </c>
      <c r="I1555" t="s">
        <v>1087</v>
      </c>
      <c r="J1555" s="3" t="s">
        <v>2911</v>
      </c>
      <c r="K1555" t="s">
        <v>2912</v>
      </c>
      <c r="L1555" s="4">
        <v>31</v>
      </c>
      <c r="M1555" s="4">
        <v>0</v>
      </c>
      <c r="N1555">
        <v>31</v>
      </c>
      <c r="O1555" t="s">
        <v>656</v>
      </c>
      <c r="P1555">
        <v>115</v>
      </c>
      <c r="Q1555">
        <f>QtyRemaining*EstMfgMin/60</f>
        <v>59.416666666666664</v>
      </c>
      <c r="R1555" t="s">
        <v>1062</v>
      </c>
      <c r="U1555" t="e">
        <f t="shared" si="50"/>
        <v>#REF!</v>
      </c>
      <c r="V1555" s="5" t="e">
        <f t="shared" si="51"/>
        <v>#REF!</v>
      </c>
    </row>
    <row r="1556" spans="1:22" x14ac:dyDescent="0.25">
      <c r="A1556" s="2">
        <v>46164</v>
      </c>
      <c r="B1556" s="2">
        <v>45946</v>
      </c>
      <c r="C1556" t="s">
        <v>650</v>
      </c>
      <c r="D1556">
        <v>21</v>
      </c>
      <c r="E1556" t="s">
        <v>3331</v>
      </c>
      <c r="F1556" t="s">
        <v>283</v>
      </c>
      <c r="G1556" t="s">
        <v>652</v>
      </c>
      <c r="H1556" t="s">
        <v>3332</v>
      </c>
      <c r="I1556" t="s">
        <v>1087</v>
      </c>
      <c r="J1556" s="3" t="s">
        <v>3333</v>
      </c>
      <c r="K1556" t="s">
        <v>3334</v>
      </c>
      <c r="L1556" s="4">
        <v>3</v>
      </c>
      <c r="M1556" s="4">
        <v>0</v>
      </c>
      <c r="N1556">
        <v>3</v>
      </c>
      <c r="O1556" t="s">
        <v>1090</v>
      </c>
      <c r="P1556">
        <v>45</v>
      </c>
      <c r="Q1556">
        <f>QtyRemaining*EstMfgMin/60</f>
        <v>2.25</v>
      </c>
      <c r="R1556" t="s">
        <v>1062</v>
      </c>
      <c r="U1556" t="e">
        <f t="shared" si="50"/>
        <v>#REF!</v>
      </c>
      <c r="V1556" s="5" t="e">
        <f t="shared" si="51"/>
        <v>#REF!</v>
      </c>
    </row>
    <row r="1557" spans="1:22" x14ac:dyDescent="0.25">
      <c r="A1557" s="2">
        <v>46167</v>
      </c>
      <c r="B1557" s="2">
        <v>46010</v>
      </c>
      <c r="C1557" t="s">
        <v>633</v>
      </c>
      <c r="D1557">
        <v>22</v>
      </c>
      <c r="E1557" t="s">
        <v>3335</v>
      </c>
      <c r="F1557" t="s">
        <v>211</v>
      </c>
      <c r="G1557" t="s">
        <v>262</v>
      </c>
      <c r="H1557" t="s">
        <v>3336</v>
      </c>
      <c r="I1557" t="s">
        <v>83</v>
      </c>
      <c r="J1557" s="3" t="s">
        <v>2936</v>
      </c>
      <c r="K1557" t="s">
        <v>3337</v>
      </c>
      <c r="L1557" s="4">
        <v>35</v>
      </c>
      <c r="M1557" s="4">
        <v>0</v>
      </c>
      <c r="N1557">
        <v>35</v>
      </c>
      <c r="O1557" t="s">
        <v>118</v>
      </c>
      <c r="P1557">
        <v>7</v>
      </c>
      <c r="Q1557">
        <f>QtyRemaining*EstMfgMin/60</f>
        <v>4.083333333333333</v>
      </c>
      <c r="U1557" t="e">
        <f t="shared" si="50"/>
        <v>#REF!</v>
      </c>
      <c r="V1557" s="5" t="e">
        <f t="shared" si="51"/>
        <v>#REF!</v>
      </c>
    </row>
    <row r="1558" spans="1:22" x14ac:dyDescent="0.25">
      <c r="A1558" s="2">
        <v>46167</v>
      </c>
      <c r="B1558" s="2">
        <v>46014</v>
      </c>
      <c r="C1558" t="s">
        <v>633</v>
      </c>
      <c r="D1558">
        <v>22</v>
      </c>
      <c r="E1558" t="s">
        <v>3338</v>
      </c>
      <c r="F1558" t="s">
        <v>261</v>
      </c>
      <c r="G1558" t="s">
        <v>262</v>
      </c>
      <c r="H1558" t="s">
        <v>3339</v>
      </c>
      <c r="I1558" t="s">
        <v>155</v>
      </c>
      <c r="J1558" s="3" t="s">
        <v>3340</v>
      </c>
      <c r="K1558" t="s">
        <v>131</v>
      </c>
      <c r="L1558" s="4">
        <v>8</v>
      </c>
      <c r="M1558" s="4">
        <v>0</v>
      </c>
      <c r="N1558">
        <v>8</v>
      </c>
      <c r="O1558" t="s">
        <v>266</v>
      </c>
      <c r="P1558">
        <v>0</v>
      </c>
      <c r="Q1558">
        <f>QtyRemaining*EstMfgMin/60</f>
        <v>0</v>
      </c>
      <c r="R1558" t="s">
        <v>3341</v>
      </c>
      <c r="U1558" t="e">
        <f t="shared" si="50"/>
        <v>#REF!</v>
      </c>
      <c r="V1558" s="5" t="e">
        <f t="shared" si="51"/>
        <v>#REF!</v>
      </c>
    </row>
    <row r="1559" spans="1:22" x14ac:dyDescent="0.25">
      <c r="A1559" s="2">
        <v>46167</v>
      </c>
      <c r="B1559" s="2">
        <v>46031</v>
      </c>
      <c r="C1559" t="s">
        <v>633</v>
      </c>
      <c r="D1559">
        <v>22</v>
      </c>
      <c r="E1559" t="s">
        <v>3342</v>
      </c>
      <c r="F1559" t="s">
        <v>261</v>
      </c>
      <c r="G1559" t="s">
        <v>262</v>
      </c>
      <c r="H1559" t="s">
        <v>3343</v>
      </c>
      <c r="I1559" t="s">
        <v>83</v>
      </c>
      <c r="J1559" s="3" t="s">
        <v>2877</v>
      </c>
      <c r="K1559" t="s">
        <v>2878</v>
      </c>
      <c r="L1559" s="4">
        <v>312</v>
      </c>
      <c r="M1559" s="4">
        <v>0</v>
      </c>
      <c r="N1559">
        <v>312</v>
      </c>
      <c r="O1559" t="s">
        <v>668</v>
      </c>
      <c r="P1559">
        <v>75</v>
      </c>
      <c r="Q1559">
        <f>QtyRemaining*EstMfgMin/60</f>
        <v>390</v>
      </c>
      <c r="U1559" t="e">
        <f t="shared" si="50"/>
        <v>#REF!</v>
      </c>
      <c r="V1559" s="5" t="e">
        <f t="shared" si="51"/>
        <v>#REF!</v>
      </c>
    </row>
    <row r="1560" spans="1:22" x14ac:dyDescent="0.25">
      <c r="A1560" s="2">
        <v>46168</v>
      </c>
      <c r="B1560" s="2">
        <v>45142</v>
      </c>
      <c r="C1560" t="s">
        <v>485</v>
      </c>
      <c r="D1560">
        <v>22</v>
      </c>
      <c r="E1560" t="s">
        <v>486</v>
      </c>
      <c r="F1560" t="s">
        <v>211</v>
      </c>
      <c r="G1560" t="s">
        <v>487</v>
      </c>
      <c r="H1560" t="s">
        <v>488</v>
      </c>
      <c r="I1560" t="s">
        <v>83</v>
      </c>
      <c r="J1560" s="3" t="s">
        <v>489</v>
      </c>
      <c r="K1560" t="s">
        <v>490</v>
      </c>
      <c r="L1560" s="4">
        <v>40</v>
      </c>
      <c r="M1560" s="4">
        <v>0</v>
      </c>
      <c r="N1560">
        <v>40</v>
      </c>
      <c r="O1560" t="s">
        <v>94</v>
      </c>
      <c r="P1560">
        <v>56</v>
      </c>
      <c r="Q1560">
        <f>QtyRemaining*EstMfgMin/60</f>
        <v>37.333333333333336</v>
      </c>
      <c r="U1560" t="e">
        <f t="shared" si="50"/>
        <v>#REF!</v>
      </c>
      <c r="V1560" s="5" t="e">
        <f t="shared" si="51"/>
        <v>#REF!</v>
      </c>
    </row>
    <row r="1561" spans="1:22" x14ac:dyDescent="0.25">
      <c r="A1561" s="2">
        <v>46168</v>
      </c>
      <c r="B1561" s="2">
        <v>45891</v>
      </c>
      <c r="C1561" t="s">
        <v>232</v>
      </c>
      <c r="D1561">
        <v>22</v>
      </c>
      <c r="E1561" t="s">
        <v>1418</v>
      </c>
      <c r="F1561" t="s">
        <v>211</v>
      </c>
      <c r="G1561" t="s">
        <v>270</v>
      </c>
      <c r="H1561" t="s">
        <v>1419</v>
      </c>
      <c r="I1561" t="s">
        <v>214</v>
      </c>
      <c r="J1561" s="3" t="s">
        <v>1420</v>
      </c>
      <c r="K1561" t="s">
        <v>1421</v>
      </c>
      <c r="L1561" s="4">
        <v>15</v>
      </c>
      <c r="M1561" s="4">
        <v>0</v>
      </c>
      <c r="N1561">
        <v>15</v>
      </c>
      <c r="O1561" t="s">
        <v>176</v>
      </c>
      <c r="P1561">
        <v>30</v>
      </c>
      <c r="Q1561">
        <f>QtyRemaining*EstMfgMin/60</f>
        <v>7.5</v>
      </c>
      <c r="U1561" t="e">
        <f t="shared" si="50"/>
        <v>#REF!</v>
      </c>
      <c r="V1561" s="5" t="e">
        <f t="shared" si="51"/>
        <v>#REF!</v>
      </c>
    </row>
    <row r="1562" spans="1:22" x14ac:dyDescent="0.25">
      <c r="A1562" s="2">
        <v>46168</v>
      </c>
      <c r="B1562" s="2">
        <v>46027</v>
      </c>
      <c r="C1562" t="s">
        <v>485</v>
      </c>
      <c r="D1562">
        <v>22</v>
      </c>
      <c r="E1562" t="s">
        <v>2151</v>
      </c>
      <c r="F1562" t="s">
        <v>211</v>
      </c>
      <c r="G1562" t="s">
        <v>864</v>
      </c>
      <c r="H1562" t="s">
        <v>2152</v>
      </c>
      <c r="I1562" t="s">
        <v>214</v>
      </c>
      <c r="J1562" s="3" t="s">
        <v>2155</v>
      </c>
      <c r="K1562" t="s">
        <v>2156</v>
      </c>
      <c r="L1562" s="4">
        <v>100</v>
      </c>
      <c r="M1562" s="4">
        <v>0</v>
      </c>
      <c r="N1562">
        <v>100</v>
      </c>
      <c r="O1562" t="s">
        <v>176</v>
      </c>
      <c r="P1562">
        <v>13</v>
      </c>
      <c r="Q1562">
        <f>QtyRemaining*EstMfgMin/60</f>
        <v>21.666666666666668</v>
      </c>
      <c r="U1562" t="e">
        <f t="shared" si="50"/>
        <v>#REF!</v>
      </c>
      <c r="V1562" s="5" t="e">
        <f t="shared" si="51"/>
        <v>#REF!</v>
      </c>
    </row>
    <row r="1563" spans="1:22" x14ac:dyDescent="0.25">
      <c r="A1563" s="2">
        <v>46168</v>
      </c>
      <c r="B1563" s="2">
        <v>46027</v>
      </c>
      <c r="C1563" t="s">
        <v>485</v>
      </c>
      <c r="D1563">
        <v>22</v>
      </c>
      <c r="E1563" t="s">
        <v>2151</v>
      </c>
      <c r="F1563" t="s">
        <v>211</v>
      </c>
      <c r="G1563" t="s">
        <v>864</v>
      </c>
      <c r="H1563" t="s">
        <v>2152</v>
      </c>
      <c r="I1563" t="s">
        <v>214</v>
      </c>
      <c r="J1563" s="3" t="s">
        <v>2157</v>
      </c>
      <c r="K1563" t="s">
        <v>2158</v>
      </c>
      <c r="L1563" s="4">
        <v>100</v>
      </c>
      <c r="M1563" s="4">
        <v>0</v>
      </c>
      <c r="N1563">
        <v>100</v>
      </c>
      <c r="O1563" t="s">
        <v>176</v>
      </c>
      <c r="P1563">
        <v>10</v>
      </c>
      <c r="Q1563">
        <f>QtyRemaining*EstMfgMin/60</f>
        <v>16.666666666666668</v>
      </c>
      <c r="U1563" t="e">
        <f t="shared" si="50"/>
        <v>#REF!</v>
      </c>
      <c r="V1563" s="5" t="e">
        <f t="shared" si="51"/>
        <v>#REF!</v>
      </c>
    </row>
    <row r="1564" spans="1:22" x14ac:dyDescent="0.25">
      <c r="A1564" s="2">
        <v>46168</v>
      </c>
      <c r="B1564" s="2">
        <v>46030</v>
      </c>
      <c r="C1564" t="s">
        <v>478</v>
      </c>
      <c r="D1564">
        <v>22</v>
      </c>
      <c r="E1564" t="s">
        <v>2947</v>
      </c>
      <c r="F1564" t="s">
        <v>261</v>
      </c>
      <c r="G1564" t="s">
        <v>2948</v>
      </c>
      <c r="H1564" t="s">
        <v>2949</v>
      </c>
      <c r="I1564" t="s">
        <v>155</v>
      </c>
      <c r="J1564" s="3" t="s">
        <v>3344</v>
      </c>
      <c r="K1564" t="s">
        <v>3345</v>
      </c>
      <c r="L1564" s="4">
        <v>40</v>
      </c>
      <c r="M1564" s="4">
        <v>0</v>
      </c>
      <c r="N1564">
        <v>40</v>
      </c>
      <c r="O1564" t="s">
        <v>118</v>
      </c>
      <c r="P1564">
        <v>24</v>
      </c>
      <c r="Q1564">
        <f>QtyRemaining*EstMfgMin/60</f>
        <v>16</v>
      </c>
      <c r="U1564" t="e">
        <f t="shared" si="50"/>
        <v>#REF!</v>
      </c>
      <c r="V1564" s="5" t="e">
        <f t="shared" si="51"/>
        <v>#REF!</v>
      </c>
    </row>
    <row r="1565" spans="1:22" x14ac:dyDescent="0.25">
      <c r="A1565" s="2">
        <v>46168</v>
      </c>
      <c r="B1565" s="2">
        <v>46030</v>
      </c>
      <c r="C1565" t="s">
        <v>478</v>
      </c>
      <c r="D1565">
        <v>22</v>
      </c>
      <c r="E1565" t="s">
        <v>2947</v>
      </c>
      <c r="F1565" t="s">
        <v>261</v>
      </c>
      <c r="G1565" t="s">
        <v>2948</v>
      </c>
      <c r="H1565" t="s">
        <v>2949</v>
      </c>
      <c r="I1565" t="s">
        <v>155</v>
      </c>
      <c r="J1565" s="3" t="s">
        <v>3346</v>
      </c>
      <c r="K1565" t="s">
        <v>3345</v>
      </c>
      <c r="L1565" s="4">
        <v>40</v>
      </c>
      <c r="M1565" s="4">
        <v>0</v>
      </c>
      <c r="N1565">
        <v>40</v>
      </c>
      <c r="O1565" t="s">
        <v>118</v>
      </c>
      <c r="P1565">
        <v>49</v>
      </c>
      <c r="Q1565">
        <f>QtyRemaining*EstMfgMin/60</f>
        <v>32.666666666666664</v>
      </c>
      <c r="U1565" t="e">
        <f t="shared" si="50"/>
        <v>#REF!</v>
      </c>
      <c r="V1565" s="5" t="e">
        <f t="shared" si="51"/>
        <v>#REF!</v>
      </c>
    </row>
    <row r="1566" spans="1:22" x14ac:dyDescent="0.25">
      <c r="A1566" s="2">
        <v>46169</v>
      </c>
      <c r="B1566" s="2">
        <v>45996</v>
      </c>
      <c r="C1566" t="s">
        <v>1168</v>
      </c>
      <c r="D1566">
        <v>22</v>
      </c>
      <c r="E1566" t="s">
        <v>3347</v>
      </c>
      <c r="F1566" t="s">
        <v>283</v>
      </c>
      <c r="G1566" t="s">
        <v>1170</v>
      </c>
      <c r="H1566" t="s">
        <v>3348</v>
      </c>
      <c r="I1566" t="s">
        <v>224</v>
      </c>
      <c r="J1566" s="3" t="s">
        <v>3349</v>
      </c>
      <c r="K1566" t="s">
        <v>3350</v>
      </c>
      <c r="L1566" s="4">
        <v>30</v>
      </c>
      <c r="M1566" s="4">
        <v>0</v>
      </c>
      <c r="N1566">
        <v>30</v>
      </c>
      <c r="O1566" t="s">
        <v>94</v>
      </c>
      <c r="P1566">
        <v>74</v>
      </c>
      <c r="Q1566">
        <f>QtyRemaining*EstMfgMin/60</f>
        <v>37</v>
      </c>
      <c r="U1566" t="e">
        <f t="shared" si="50"/>
        <v>#REF!</v>
      </c>
      <c r="V1566" s="5" t="e">
        <f t="shared" si="51"/>
        <v>#REF!</v>
      </c>
    </row>
    <row r="1567" spans="1:22" x14ac:dyDescent="0.25">
      <c r="A1567" s="2">
        <v>46169</v>
      </c>
      <c r="B1567" s="2">
        <v>46030</v>
      </c>
      <c r="C1567" t="s">
        <v>1168</v>
      </c>
      <c r="D1567">
        <v>22</v>
      </c>
      <c r="E1567" t="s">
        <v>3351</v>
      </c>
      <c r="F1567" t="s">
        <v>283</v>
      </c>
      <c r="G1567" t="s">
        <v>1170</v>
      </c>
      <c r="H1567" t="s">
        <v>3352</v>
      </c>
      <c r="I1567" t="s">
        <v>224</v>
      </c>
      <c r="J1567" s="3" t="s">
        <v>2250</v>
      </c>
      <c r="K1567" t="s">
        <v>3353</v>
      </c>
      <c r="L1567" s="4">
        <v>25</v>
      </c>
      <c r="M1567" s="4">
        <v>0</v>
      </c>
      <c r="N1567">
        <v>25</v>
      </c>
      <c r="O1567" t="s">
        <v>176</v>
      </c>
      <c r="P1567">
        <v>70</v>
      </c>
      <c r="Q1567">
        <f>QtyRemaining*EstMfgMin/60</f>
        <v>29.166666666666668</v>
      </c>
      <c r="U1567" t="e">
        <f t="shared" si="50"/>
        <v>#REF!</v>
      </c>
      <c r="V1567" s="5" t="e">
        <f t="shared" si="51"/>
        <v>#REF!</v>
      </c>
    </row>
    <row r="1568" spans="1:22" x14ac:dyDescent="0.25">
      <c r="A1568" s="2">
        <v>46169</v>
      </c>
      <c r="B1568" s="2">
        <v>46045</v>
      </c>
      <c r="C1568" t="s">
        <v>1168</v>
      </c>
      <c r="D1568">
        <v>22</v>
      </c>
      <c r="E1568" t="s">
        <v>3354</v>
      </c>
      <c r="F1568" t="s">
        <v>283</v>
      </c>
      <c r="G1568" t="s">
        <v>3355</v>
      </c>
      <c r="H1568" t="s">
        <v>3356</v>
      </c>
      <c r="I1568" t="s">
        <v>224</v>
      </c>
      <c r="J1568" s="3" t="s">
        <v>2250</v>
      </c>
      <c r="K1568" t="s">
        <v>2251</v>
      </c>
      <c r="L1568" s="4">
        <v>25</v>
      </c>
      <c r="M1568" s="4">
        <v>0</v>
      </c>
      <c r="N1568">
        <v>25</v>
      </c>
      <c r="O1568" t="s">
        <v>176</v>
      </c>
      <c r="P1568">
        <v>70</v>
      </c>
      <c r="Q1568">
        <f>QtyRemaining*EstMfgMin/60</f>
        <v>29.166666666666668</v>
      </c>
      <c r="U1568" t="e">
        <f t="shared" si="50"/>
        <v>#REF!</v>
      </c>
      <c r="V1568" s="5" t="e">
        <f t="shared" si="51"/>
        <v>#REF!</v>
      </c>
    </row>
    <row r="1569" spans="1:22" x14ac:dyDescent="0.25">
      <c r="A1569" s="2">
        <v>46171</v>
      </c>
      <c r="B1569" s="2">
        <v>45541</v>
      </c>
      <c r="C1569" t="s">
        <v>633</v>
      </c>
      <c r="D1569">
        <v>22</v>
      </c>
      <c r="E1569" t="s">
        <v>1582</v>
      </c>
      <c r="F1569" t="s">
        <v>261</v>
      </c>
      <c r="G1569" t="s">
        <v>1583</v>
      </c>
      <c r="H1569" t="s">
        <v>1584</v>
      </c>
      <c r="I1569" t="s">
        <v>83</v>
      </c>
      <c r="J1569" s="3" t="s">
        <v>1585</v>
      </c>
      <c r="K1569" t="s">
        <v>1586</v>
      </c>
      <c r="L1569" s="4">
        <v>2</v>
      </c>
      <c r="M1569" s="4">
        <v>0</v>
      </c>
      <c r="N1569">
        <v>2</v>
      </c>
      <c r="P1569">
        <v>0</v>
      </c>
      <c r="Q1569">
        <f>QtyRemaining*EstMfgMin/60</f>
        <v>0</v>
      </c>
      <c r="U1569" t="e">
        <f t="shared" si="50"/>
        <v>#REF!</v>
      </c>
      <c r="V1569" s="5" t="e">
        <f t="shared" si="51"/>
        <v>#REF!</v>
      </c>
    </row>
    <row r="1570" spans="1:22" x14ac:dyDescent="0.25">
      <c r="A1570" s="2">
        <v>46171</v>
      </c>
      <c r="B1570" s="2">
        <v>45965</v>
      </c>
      <c r="C1570" t="s">
        <v>570</v>
      </c>
      <c r="D1570">
        <v>22</v>
      </c>
      <c r="E1570" t="s">
        <v>2760</v>
      </c>
      <c r="F1570" t="s">
        <v>261</v>
      </c>
      <c r="G1570" t="s">
        <v>2761</v>
      </c>
      <c r="H1570" t="s">
        <v>2762</v>
      </c>
      <c r="I1570" t="s">
        <v>83</v>
      </c>
      <c r="J1570" s="3" t="s">
        <v>2763</v>
      </c>
      <c r="K1570" t="s">
        <v>2764</v>
      </c>
      <c r="L1570" s="4">
        <v>75</v>
      </c>
      <c r="M1570" s="4">
        <v>0</v>
      </c>
      <c r="N1570">
        <v>75</v>
      </c>
      <c r="O1570" t="s">
        <v>86</v>
      </c>
      <c r="P1570">
        <v>35</v>
      </c>
      <c r="Q1570">
        <f>QtyRemaining*EstMfgMin/60</f>
        <v>43.75</v>
      </c>
      <c r="U1570" t="e">
        <f t="shared" si="50"/>
        <v>#REF!</v>
      </c>
      <c r="V1570" s="5" t="e">
        <f t="shared" si="51"/>
        <v>#REF!</v>
      </c>
    </row>
    <row r="1571" spans="1:22" x14ac:dyDescent="0.25">
      <c r="A1571" s="2">
        <v>46174</v>
      </c>
      <c r="B1571" s="2">
        <v>45825</v>
      </c>
      <c r="C1571" t="s">
        <v>221</v>
      </c>
      <c r="D1571">
        <v>23</v>
      </c>
      <c r="E1571" t="s">
        <v>2825</v>
      </c>
      <c r="F1571" t="s">
        <v>211</v>
      </c>
      <c r="G1571" t="s">
        <v>1731</v>
      </c>
      <c r="H1571" t="s">
        <v>2826</v>
      </c>
      <c r="I1571" t="s">
        <v>256</v>
      </c>
      <c r="J1571" s="3" t="s">
        <v>2827</v>
      </c>
      <c r="K1571" t="s">
        <v>2828</v>
      </c>
      <c r="L1571" s="4">
        <v>46</v>
      </c>
      <c r="M1571" s="4">
        <v>0</v>
      </c>
      <c r="N1571">
        <v>46</v>
      </c>
      <c r="O1571" t="s">
        <v>146</v>
      </c>
      <c r="P1571">
        <v>11</v>
      </c>
      <c r="Q1571">
        <f>QtyRemaining*EstMfgMin/60</f>
        <v>8.4333333333333336</v>
      </c>
      <c r="U1571" t="e">
        <f t="shared" si="50"/>
        <v>#REF!</v>
      </c>
      <c r="V1571" s="5" t="e">
        <f t="shared" si="51"/>
        <v>#REF!</v>
      </c>
    </row>
    <row r="1572" spans="1:22" x14ac:dyDescent="0.25">
      <c r="A1572" s="2">
        <v>46174</v>
      </c>
      <c r="B1572" s="2">
        <v>45924</v>
      </c>
      <c r="C1572" t="s">
        <v>633</v>
      </c>
      <c r="D1572">
        <v>23</v>
      </c>
      <c r="E1572" t="s">
        <v>3357</v>
      </c>
      <c r="F1572" t="s">
        <v>261</v>
      </c>
      <c r="G1572" t="s">
        <v>262</v>
      </c>
      <c r="H1572" t="s">
        <v>3358</v>
      </c>
      <c r="I1572" t="s">
        <v>83</v>
      </c>
      <c r="J1572" s="3" t="s">
        <v>3359</v>
      </c>
      <c r="K1572" t="s">
        <v>131</v>
      </c>
      <c r="L1572" s="4">
        <v>40</v>
      </c>
      <c r="M1572" s="4">
        <v>0</v>
      </c>
      <c r="N1572">
        <v>40</v>
      </c>
      <c r="O1572" t="s">
        <v>94</v>
      </c>
      <c r="P1572">
        <v>132</v>
      </c>
      <c r="Q1572">
        <f>QtyRemaining*EstMfgMin/60</f>
        <v>88</v>
      </c>
      <c r="U1572" t="e">
        <f t="shared" si="50"/>
        <v>#REF!</v>
      </c>
      <c r="V1572" s="5" t="e">
        <f t="shared" si="51"/>
        <v>#REF!</v>
      </c>
    </row>
    <row r="1573" spans="1:22" x14ac:dyDescent="0.25">
      <c r="A1573" s="2">
        <v>46174</v>
      </c>
      <c r="B1573" s="2">
        <v>45972</v>
      </c>
      <c r="C1573" t="s">
        <v>485</v>
      </c>
      <c r="D1573">
        <v>23</v>
      </c>
      <c r="E1573" t="s">
        <v>1078</v>
      </c>
      <c r="F1573" t="s">
        <v>211</v>
      </c>
      <c r="G1573" t="s">
        <v>761</v>
      </c>
      <c r="H1573" t="s">
        <v>1079</v>
      </c>
      <c r="I1573" t="s">
        <v>214</v>
      </c>
      <c r="J1573" s="3" t="s">
        <v>1615</v>
      </c>
      <c r="K1573" t="s">
        <v>1616</v>
      </c>
      <c r="L1573" s="4">
        <v>110</v>
      </c>
      <c r="M1573" s="4">
        <v>0</v>
      </c>
      <c r="N1573">
        <v>110</v>
      </c>
      <c r="O1573" t="s">
        <v>1082</v>
      </c>
      <c r="P1573">
        <v>12</v>
      </c>
      <c r="Q1573">
        <f>QtyRemaining*EstMfgMin/60</f>
        <v>22</v>
      </c>
      <c r="U1573" t="e">
        <f t="shared" si="50"/>
        <v>#REF!</v>
      </c>
      <c r="V1573" s="5" t="e">
        <f t="shared" si="51"/>
        <v>#REF!</v>
      </c>
    </row>
    <row r="1574" spans="1:22" x14ac:dyDescent="0.25">
      <c r="A1574" s="2">
        <v>46174</v>
      </c>
      <c r="B1574" s="2">
        <v>45972</v>
      </c>
      <c r="C1574" t="s">
        <v>485</v>
      </c>
      <c r="D1574">
        <v>23</v>
      </c>
      <c r="E1574" t="s">
        <v>1078</v>
      </c>
      <c r="F1574" t="s">
        <v>211</v>
      </c>
      <c r="G1574" t="s">
        <v>761</v>
      </c>
      <c r="H1574" t="s">
        <v>1079</v>
      </c>
      <c r="I1574" t="s">
        <v>214</v>
      </c>
      <c r="J1574" s="3" t="s">
        <v>2253</v>
      </c>
      <c r="K1574" t="s">
        <v>2254</v>
      </c>
      <c r="L1574" s="4">
        <v>50</v>
      </c>
      <c r="M1574" s="4">
        <v>0</v>
      </c>
      <c r="N1574">
        <v>50</v>
      </c>
      <c r="O1574" t="s">
        <v>1082</v>
      </c>
      <c r="P1574">
        <v>8</v>
      </c>
      <c r="Q1574">
        <f>QtyRemaining*EstMfgMin/60</f>
        <v>6.666666666666667</v>
      </c>
      <c r="U1574" t="e">
        <f t="shared" si="50"/>
        <v>#REF!</v>
      </c>
      <c r="V1574" s="5" t="e">
        <f t="shared" si="51"/>
        <v>#REF!</v>
      </c>
    </row>
    <row r="1575" spans="1:22" x14ac:dyDescent="0.25">
      <c r="A1575" s="2">
        <v>46174</v>
      </c>
      <c r="B1575" s="2">
        <v>45972</v>
      </c>
      <c r="C1575" t="s">
        <v>485</v>
      </c>
      <c r="D1575">
        <v>23</v>
      </c>
      <c r="E1575" t="s">
        <v>1078</v>
      </c>
      <c r="F1575" t="s">
        <v>211</v>
      </c>
      <c r="G1575" t="s">
        <v>761</v>
      </c>
      <c r="H1575" t="s">
        <v>1079</v>
      </c>
      <c r="I1575" t="s">
        <v>214</v>
      </c>
      <c r="J1575" s="3" t="s">
        <v>2836</v>
      </c>
      <c r="K1575" t="s">
        <v>2837</v>
      </c>
      <c r="L1575" s="4">
        <v>40</v>
      </c>
      <c r="M1575" s="4">
        <v>0</v>
      </c>
      <c r="N1575">
        <v>40</v>
      </c>
      <c r="O1575" t="s">
        <v>86</v>
      </c>
      <c r="P1575">
        <v>8</v>
      </c>
      <c r="Q1575">
        <f>QtyRemaining*EstMfgMin/60</f>
        <v>5.333333333333333</v>
      </c>
      <c r="U1575" t="e">
        <f t="shared" si="50"/>
        <v>#REF!</v>
      </c>
      <c r="V1575" s="5" t="e">
        <f t="shared" si="51"/>
        <v>#REF!</v>
      </c>
    </row>
    <row r="1576" spans="1:22" x14ac:dyDescent="0.25">
      <c r="A1576" s="2">
        <v>46174</v>
      </c>
      <c r="B1576" s="2">
        <v>46027</v>
      </c>
      <c r="C1576" t="s">
        <v>685</v>
      </c>
      <c r="D1576">
        <v>23</v>
      </c>
      <c r="E1576" t="s">
        <v>2489</v>
      </c>
      <c r="F1576" t="s">
        <v>261</v>
      </c>
      <c r="G1576" t="s">
        <v>262</v>
      </c>
      <c r="H1576" t="s">
        <v>2490</v>
      </c>
      <c r="I1576" t="s">
        <v>45</v>
      </c>
      <c r="J1576" s="3" t="s">
        <v>3360</v>
      </c>
      <c r="K1576" t="s">
        <v>3361</v>
      </c>
      <c r="L1576" s="4">
        <v>300</v>
      </c>
      <c r="M1576" s="4">
        <v>0</v>
      </c>
      <c r="N1576">
        <v>300</v>
      </c>
      <c r="O1576" t="s">
        <v>86</v>
      </c>
      <c r="P1576">
        <v>0</v>
      </c>
      <c r="Q1576">
        <f>QtyRemaining*EstMfgMin/60</f>
        <v>0</v>
      </c>
      <c r="U1576" t="e">
        <f t="shared" si="50"/>
        <v>#REF!</v>
      </c>
      <c r="V1576" s="5" t="e">
        <f t="shared" si="51"/>
        <v>#REF!</v>
      </c>
    </row>
    <row r="1577" spans="1:22" x14ac:dyDescent="0.25">
      <c r="A1577" s="2">
        <v>46174</v>
      </c>
      <c r="B1577" s="2">
        <v>46027</v>
      </c>
      <c r="C1577" t="s">
        <v>685</v>
      </c>
      <c r="D1577">
        <v>23</v>
      </c>
      <c r="E1577" t="s">
        <v>2489</v>
      </c>
      <c r="F1577" t="s">
        <v>261</v>
      </c>
      <c r="G1577" t="s">
        <v>262</v>
      </c>
      <c r="H1577" t="s">
        <v>2490</v>
      </c>
      <c r="I1577" t="s">
        <v>45</v>
      </c>
      <c r="J1577" s="3" t="s">
        <v>3362</v>
      </c>
      <c r="K1577" t="s">
        <v>3363</v>
      </c>
      <c r="L1577" s="4">
        <v>300</v>
      </c>
      <c r="M1577" s="4">
        <v>0</v>
      </c>
      <c r="N1577">
        <v>300</v>
      </c>
      <c r="O1577" t="s">
        <v>86</v>
      </c>
      <c r="P1577">
        <v>0</v>
      </c>
      <c r="Q1577">
        <f>QtyRemaining*EstMfgMin/60</f>
        <v>0</v>
      </c>
      <c r="U1577" t="e">
        <f t="shared" si="50"/>
        <v>#REF!</v>
      </c>
      <c r="V1577" s="5" t="e">
        <f t="shared" si="51"/>
        <v>#REF!</v>
      </c>
    </row>
    <row r="1578" spans="1:22" x14ac:dyDescent="0.25">
      <c r="A1578" s="2">
        <v>46174</v>
      </c>
      <c r="B1578" s="2">
        <v>46027</v>
      </c>
      <c r="C1578" t="s">
        <v>685</v>
      </c>
      <c r="D1578">
        <v>23</v>
      </c>
      <c r="E1578" t="s">
        <v>2489</v>
      </c>
      <c r="F1578" t="s">
        <v>261</v>
      </c>
      <c r="G1578" t="s">
        <v>262</v>
      </c>
      <c r="H1578" t="s">
        <v>2490</v>
      </c>
      <c r="I1578" t="s">
        <v>45</v>
      </c>
      <c r="J1578" s="3" t="s">
        <v>3364</v>
      </c>
      <c r="K1578" t="s">
        <v>3365</v>
      </c>
      <c r="L1578" s="4">
        <v>1</v>
      </c>
      <c r="M1578" s="4">
        <v>0</v>
      </c>
      <c r="N1578">
        <v>1</v>
      </c>
      <c r="P1578">
        <v>0</v>
      </c>
      <c r="Q1578">
        <f>QtyRemaining*EstMfgMin/60</f>
        <v>0</v>
      </c>
      <c r="U1578" t="e">
        <f t="shared" si="50"/>
        <v>#REF!</v>
      </c>
      <c r="V1578" s="5" t="e">
        <f t="shared" si="51"/>
        <v>#REF!</v>
      </c>
    </row>
    <row r="1579" spans="1:22" x14ac:dyDescent="0.25">
      <c r="A1579" s="2">
        <v>46174</v>
      </c>
      <c r="B1579" s="2">
        <v>46027</v>
      </c>
      <c r="C1579" t="s">
        <v>685</v>
      </c>
      <c r="D1579">
        <v>23</v>
      </c>
      <c r="E1579" t="s">
        <v>2489</v>
      </c>
      <c r="F1579" t="s">
        <v>261</v>
      </c>
      <c r="G1579" t="s">
        <v>262</v>
      </c>
      <c r="H1579" t="s">
        <v>2490</v>
      </c>
      <c r="I1579" t="s">
        <v>45</v>
      </c>
      <c r="J1579" s="3" t="s">
        <v>3366</v>
      </c>
      <c r="K1579" t="s">
        <v>3367</v>
      </c>
      <c r="L1579" s="4">
        <v>1</v>
      </c>
      <c r="M1579" s="4">
        <v>0</v>
      </c>
      <c r="N1579">
        <v>1</v>
      </c>
      <c r="P1579">
        <v>0</v>
      </c>
      <c r="Q1579">
        <f>QtyRemaining*EstMfgMin/60</f>
        <v>0</v>
      </c>
      <c r="U1579" t="e">
        <f t="shared" si="50"/>
        <v>#REF!</v>
      </c>
      <c r="V1579" s="5" t="e">
        <f t="shared" si="51"/>
        <v>#REF!</v>
      </c>
    </row>
    <row r="1580" spans="1:22" x14ac:dyDescent="0.25">
      <c r="A1580" s="2">
        <v>46174</v>
      </c>
      <c r="B1580" s="2">
        <v>46027</v>
      </c>
      <c r="C1580" t="s">
        <v>685</v>
      </c>
      <c r="D1580">
        <v>23</v>
      </c>
      <c r="E1580" t="s">
        <v>2489</v>
      </c>
      <c r="F1580" t="s">
        <v>261</v>
      </c>
      <c r="G1580" t="s">
        <v>262</v>
      </c>
      <c r="H1580" t="s">
        <v>2490</v>
      </c>
      <c r="I1580" t="s">
        <v>45</v>
      </c>
      <c r="J1580" s="3" t="s">
        <v>3368</v>
      </c>
      <c r="K1580" t="s">
        <v>3369</v>
      </c>
      <c r="L1580" s="4">
        <v>1</v>
      </c>
      <c r="M1580" s="4">
        <v>0</v>
      </c>
      <c r="N1580">
        <v>1</v>
      </c>
      <c r="P1580">
        <v>0</v>
      </c>
      <c r="Q1580">
        <f>QtyRemaining*EstMfgMin/60</f>
        <v>0</v>
      </c>
      <c r="U1580" t="e">
        <f t="shared" si="50"/>
        <v>#REF!</v>
      </c>
      <c r="V1580" s="5" t="e">
        <f t="shared" si="51"/>
        <v>#REF!</v>
      </c>
    </row>
    <row r="1581" spans="1:22" x14ac:dyDescent="0.25">
      <c r="A1581" s="2">
        <v>46175</v>
      </c>
      <c r="B1581" s="2">
        <v>45972</v>
      </c>
      <c r="C1581" t="s">
        <v>485</v>
      </c>
      <c r="D1581">
        <v>23</v>
      </c>
      <c r="E1581" t="s">
        <v>1078</v>
      </c>
      <c r="F1581" t="s">
        <v>211</v>
      </c>
      <c r="G1581" t="s">
        <v>761</v>
      </c>
      <c r="H1581" t="s">
        <v>1079</v>
      </c>
      <c r="I1581" t="s">
        <v>214</v>
      </c>
      <c r="J1581" s="3" t="s">
        <v>1642</v>
      </c>
      <c r="K1581" t="s">
        <v>1643</v>
      </c>
      <c r="L1581" s="4">
        <v>50</v>
      </c>
      <c r="M1581" s="4">
        <v>0</v>
      </c>
      <c r="N1581">
        <v>50</v>
      </c>
      <c r="O1581" t="s">
        <v>1082</v>
      </c>
      <c r="P1581">
        <v>6</v>
      </c>
      <c r="Q1581">
        <f>QtyRemaining*EstMfgMin/60</f>
        <v>5</v>
      </c>
      <c r="U1581" t="e">
        <f t="shared" si="50"/>
        <v>#REF!</v>
      </c>
      <c r="V1581" s="5" t="e">
        <f t="shared" si="51"/>
        <v>#REF!</v>
      </c>
    </row>
    <row r="1582" spans="1:22" x14ac:dyDescent="0.25">
      <c r="A1582" s="2">
        <v>46175</v>
      </c>
      <c r="B1582" s="2">
        <v>46021</v>
      </c>
      <c r="C1582" t="s">
        <v>485</v>
      </c>
      <c r="D1582">
        <v>23</v>
      </c>
      <c r="E1582" t="s">
        <v>1644</v>
      </c>
      <c r="F1582" t="s">
        <v>211</v>
      </c>
      <c r="G1582" t="s">
        <v>1645</v>
      </c>
      <c r="H1582" t="s">
        <v>1646</v>
      </c>
      <c r="I1582" t="s">
        <v>214</v>
      </c>
      <c r="J1582" s="3" t="s">
        <v>1647</v>
      </c>
      <c r="K1582" t="s">
        <v>1648</v>
      </c>
      <c r="L1582" s="4">
        <v>100</v>
      </c>
      <c r="M1582" s="4">
        <v>0</v>
      </c>
      <c r="N1582">
        <v>100</v>
      </c>
      <c r="O1582" t="s">
        <v>86</v>
      </c>
      <c r="P1582">
        <v>11</v>
      </c>
      <c r="Q1582">
        <f>QtyRemaining*EstMfgMin/60</f>
        <v>18.333333333333332</v>
      </c>
      <c r="U1582" t="e">
        <f t="shared" si="50"/>
        <v>#REF!</v>
      </c>
      <c r="V1582" s="5" t="e">
        <f t="shared" si="51"/>
        <v>#REF!</v>
      </c>
    </row>
    <row r="1583" spans="1:22" x14ac:dyDescent="0.25">
      <c r="A1583" s="2">
        <v>46176</v>
      </c>
      <c r="B1583" s="2">
        <v>45588</v>
      </c>
      <c r="C1583" t="s">
        <v>478</v>
      </c>
      <c r="D1583">
        <v>23</v>
      </c>
      <c r="E1583" t="s">
        <v>2960</v>
      </c>
      <c r="F1583" t="s">
        <v>261</v>
      </c>
      <c r="G1583" t="s">
        <v>2023</v>
      </c>
      <c r="H1583" t="s">
        <v>2024</v>
      </c>
      <c r="I1583" t="s">
        <v>155</v>
      </c>
      <c r="J1583" s="3" t="s">
        <v>2961</v>
      </c>
      <c r="K1583" t="s">
        <v>2962</v>
      </c>
      <c r="L1583" s="4">
        <v>200</v>
      </c>
      <c r="M1583" s="4">
        <v>0</v>
      </c>
      <c r="N1583">
        <v>200</v>
      </c>
      <c r="O1583" t="s">
        <v>457</v>
      </c>
      <c r="P1583">
        <v>75</v>
      </c>
      <c r="Q1583">
        <f>QtyRemaining*EstMfgMin/60</f>
        <v>250</v>
      </c>
      <c r="R1583" t="s">
        <v>1062</v>
      </c>
      <c r="U1583" t="e">
        <f t="shared" si="50"/>
        <v>#REF!</v>
      </c>
      <c r="V1583" s="5" t="e">
        <f t="shared" si="51"/>
        <v>#REF!</v>
      </c>
    </row>
    <row r="1584" spans="1:22" x14ac:dyDescent="0.25">
      <c r="A1584" s="2">
        <v>46177</v>
      </c>
      <c r="B1584" s="2">
        <v>45993</v>
      </c>
      <c r="C1584" t="s">
        <v>1168</v>
      </c>
      <c r="D1584">
        <v>23</v>
      </c>
      <c r="E1584" t="s">
        <v>3370</v>
      </c>
      <c r="F1584" t="s">
        <v>283</v>
      </c>
      <c r="G1584" t="s">
        <v>1170</v>
      </c>
      <c r="H1584" t="s">
        <v>3371</v>
      </c>
      <c r="I1584" t="s">
        <v>224</v>
      </c>
      <c r="J1584" s="3" t="s">
        <v>3372</v>
      </c>
      <c r="K1584" t="s">
        <v>3373</v>
      </c>
      <c r="L1584" s="4">
        <v>23</v>
      </c>
      <c r="M1584" s="4">
        <v>0</v>
      </c>
      <c r="N1584">
        <v>23</v>
      </c>
      <c r="P1584">
        <v>60</v>
      </c>
      <c r="Q1584">
        <f>QtyRemaining*EstMfgMin/60</f>
        <v>23</v>
      </c>
      <c r="U1584" t="e">
        <f t="shared" si="50"/>
        <v>#REF!</v>
      </c>
      <c r="V1584" s="5" t="e">
        <f t="shared" si="51"/>
        <v>#REF!</v>
      </c>
    </row>
    <row r="1585" spans="1:22" x14ac:dyDescent="0.25">
      <c r="A1585" s="2">
        <v>46178</v>
      </c>
      <c r="B1585" s="2">
        <v>45972</v>
      </c>
      <c r="C1585" t="s">
        <v>485</v>
      </c>
      <c r="D1585">
        <v>23</v>
      </c>
      <c r="E1585" t="s">
        <v>1078</v>
      </c>
      <c r="F1585" t="s">
        <v>211</v>
      </c>
      <c r="G1585" t="s">
        <v>761</v>
      </c>
      <c r="H1585" t="s">
        <v>1079</v>
      </c>
      <c r="I1585" t="s">
        <v>214</v>
      </c>
      <c r="J1585" s="3" t="s">
        <v>2970</v>
      </c>
      <c r="K1585" t="s">
        <v>2971</v>
      </c>
      <c r="L1585" s="4">
        <v>100</v>
      </c>
      <c r="M1585" s="4">
        <v>0</v>
      </c>
      <c r="N1585">
        <v>100</v>
      </c>
      <c r="O1585" t="s">
        <v>765</v>
      </c>
      <c r="P1585">
        <v>6</v>
      </c>
      <c r="Q1585">
        <f>QtyRemaining*EstMfgMin/60</f>
        <v>10</v>
      </c>
      <c r="U1585" t="e">
        <f t="shared" si="50"/>
        <v>#REF!</v>
      </c>
      <c r="V1585" s="5" t="e">
        <f t="shared" si="51"/>
        <v>#REF!</v>
      </c>
    </row>
    <row r="1586" spans="1:22" x14ac:dyDescent="0.25">
      <c r="A1586" s="2">
        <v>46178</v>
      </c>
      <c r="B1586" s="2">
        <v>45972</v>
      </c>
      <c r="C1586" t="s">
        <v>485</v>
      </c>
      <c r="D1586">
        <v>23</v>
      </c>
      <c r="E1586" t="s">
        <v>1078</v>
      </c>
      <c r="F1586" t="s">
        <v>211</v>
      </c>
      <c r="G1586" t="s">
        <v>761</v>
      </c>
      <c r="H1586" t="s">
        <v>1079</v>
      </c>
      <c r="I1586" t="s">
        <v>214</v>
      </c>
      <c r="J1586" s="3" t="s">
        <v>2431</v>
      </c>
      <c r="K1586" t="s">
        <v>2432</v>
      </c>
      <c r="L1586" s="4">
        <v>100</v>
      </c>
      <c r="M1586" s="4">
        <v>0</v>
      </c>
      <c r="N1586">
        <v>100</v>
      </c>
      <c r="O1586" t="s">
        <v>457</v>
      </c>
      <c r="P1586">
        <v>12</v>
      </c>
      <c r="Q1586">
        <f>QtyRemaining*EstMfgMin/60</f>
        <v>20</v>
      </c>
      <c r="U1586" t="e">
        <f t="shared" si="50"/>
        <v>#REF!</v>
      </c>
      <c r="V1586" s="5" t="e">
        <f t="shared" si="51"/>
        <v>#REF!</v>
      </c>
    </row>
    <row r="1587" spans="1:22" x14ac:dyDescent="0.25">
      <c r="A1587" s="2">
        <v>46178</v>
      </c>
      <c r="B1587" s="2">
        <v>45972</v>
      </c>
      <c r="C1587" t="s">
        <v>485</v>
      </c>
      <c r="D1587">
        <v>23</v>
      </c>
      <c r="E1587" t="s">
        <v>1078</v>
      </c>
      <c r="F1587" t="s">
        <v>211</v>
      </c>
      <c r="G1587" t="s">
        <v>761</v>
      </c>
      <c r="H1587" t="s">
        <v>1079</v>
      </c>
      <c r="I1587" t="s">
        <v>214</v>
      </c>
      <c r="J1587" s="3" t="s">
        <v>2433</v>
      </c>
      <c r="K1587" t="s">
        <v>2432</v>
      </c>
      <c r="L1587" s="4">
        <v>100</v>
      </c>
      <c r="M1587" s="4">
        <v>0</v>
      </c>
      <c r="N1587">
        <v>100</v>
      </c>
      <c r="O1587" t="s">
        <v>457</v>
      </c>
      <c r="P1587">
        <v>12</v>
      </c>
      <c r="Q1587">
        <f>QtyRemaining*EstMfgMin/60</f>
        <v>20</v>
      </c>
      <c r="U1587" t="e">
        <f t="shared" si="50"/>
        <v>#REF!</v>
      </c>
      <c r="V1587" s="5" t="e">
        <f t="shared" si="51"/>
        <v>#REF!</v>
      </c>
    </row>
    <row r="1588" spans="1:22" x14ac:dyDescent="0.25">
      <c r="A1588" s="2">
        <v>46178</v>
      </c>
      <c r="B1588" s="2">
        <v>45972</v>
      </c>
      <c r="C1588" t="s">
        <v>485</v>
      </c>
      <c r="D1588">
        <v>23</v>
      </c>
      <c r="E1588" t="s">
        <v>1078</v>
      </c>
      <c r="F1588" t="s">
        <v>211</v>
      </c>
      <c r="G1588" t="s">
        <v>761</v>
      </c>
      <c r="H1588" t="s">
        <v>1079</v>
      </c>
      <c r="I1588" t="s">
        <v>214</v>
      </c>
      <c r="J1588" s="3" t="s">
        <v>2434</v>
      </c>
      <c r="K1588" t="s">
        <v>2435</v>
      </c>
      <c r="L1588" s="4">
        <v>40</v>
      </c>
      <c r="M1588" s="4">
        <v>0</v>
      </c>
      <c r="N1588">
        <v>40</v>
      </c>
      <c r="O1588" t="s">
        <v>1082</v>
      </c>
      <c r="P1588">
        <v>24</v>
      </c>
      <c r="Q1588">
        <f>QtyRemaining*EstMfgMin/60</f>
        <v>16</v>
      </c>
      <c r="U1588" t="e">
        <f t="shared" si="50"/>
        <v>#REF!</v>
      </c>
      <c r="V1588" s="5" t="e">
        <f t="shared" si="51"/>
        <v>#REF!</v>
      </c>
    </row>
    <row r="1589" spans="1:22" x14ac:dyDescent="0.25">
      <c r="A1589" s="2">
        <v>46178</v>
      </c>
      <c r="B1589" s="2">
        <v>45972</v>
      </c>
      <c r="C1589" t="s">
        <v>485</v>
      </c>
      <c r="D1589">
        <v>23</v>
      </c>
      <c r="E1589" t="s">
        <v>1078</v>
      </c>
      <c r="F1589" t="s">
        <v>211</v>
      </c>
      <c r="G1589" t="s">
        <v>761</v>
      </c>
      <c r="H1589" t="s">
        <v>1079</v>
      </c>
      <c r="I1589" t="s">
        <v>214</v>
      </c>
      <c r="J1589" s="3" t="s">
        <v>2436</v>
      </c>
      <c r="K1589" t="s">
        <v>2437</v>
      </c>
      <c r="L1589" s="4">
        <v>20</v>
      </c>
      <c r="M1589" s="4">
        <v>0</v>
      </c>
      <c r="N1589">
        <v>20</v>
      </c>
      <c r="O1589" t="s">
        <v>176</v>
      </c>
      <c r="P1589">
        <v>20</v>
      </c>
      <c r="Q1589">
        <f>QtyRemaining*EstMfgMin/60</f>
        <v>6.666666666666667</v>
      </c>
      <c r="U1589" t="e">
        <f t="shared" si="50"/>
        <v>#REF!</v>
      </c>
      <c r="V1589" s="5" t="e">
        <f t="shared" si="51"/>
        <v>#REF!</v>
      </c>
    </row>
    <row r="1590" spans="1:22" x14ac:dyDescent="0.25">
      <c r="A1590" s="2">
        <v>46178</v>
      </c>
      <c r="B1590" s="2">
        <v>45972</v>
      </c>
      <c r="C1590" t="s">
        <v>485</v>
      </c>
      <c r="D1590">
        <v>23</v>
      </c>
      <c r="E1590" t="s">
        <v>1078</v>
      </c>
      <c r="F1590" t="s">
        <v>211</v>
      </c>
      <c r="G1590" t="s">
        <v>761</v>
      </c>
      <c r="H1590" t="s">
        <v>1079</v>
      </c>
      <c r="I1590" t="s">
        <v>214</v>
      </c>
      <c r="J1590" s="3" t="s">
        <v>1786</v>
      </c>
      <c r="K1590" t="s">
        <v>1787</v>
      </c>
      <c r="L1590" s="4">
        <v>10</v>
      </c>
      <c r="M1590" s="4">
        <v>0</v>
      </c>
      <c r="N1590">
        <v>10</v>
      </c>
      <c r="O1590" t="s">
        <v>765</v>
      </c>
      <c r="P1590">
        <v>13</v>
      </c>
      <c r="Q1590">
        <f>QtyRemaining*EstMfgMin/60</f>
        <v>2.1666666666666665</v>
      </c>
      <c r="U1590" t="e">
        <f t="shared" si="50"/>
        <v>#REF!</v>
      </c>
      <c r="V1590" s="5" t="e">
        <f t="shared" si="51"/>
        <v>#REF!</v>
      </c>
    </row>
    <row r="1591" spans="1:22" x14ac:dyDescent="0.25">
      <c r="A1591" s="2">
        <v>46178</v>
      </c>
      <c r="B1591" s="2">
        <v>45972</v>
      </c>
      <c r="C1591" t="s">
        <v>485</v>
      </c>
      <c r="D1591">
        <v>23</v>
      </c>
      <c r="E1591" t="s">
        <v>1078</v>
      </c>
      <c r="F1591" t="s">
        <v>211</v>
      </c>
      <c r="G1591" t="s">
        <v>761</v>
      </c>
      <c r="H1591" t="s">
        <v>1079</v>
      </c>
      <c r="I1591" t="s">
        <v>214</v>
      </c>
      <c r="J1591" s="3" t="s">
        <v>1788</v>
      </c>
      <c r="K1591" t="s">
        <v>1789</v>
      </c>
      <c r="L1591" s="4">
        <v>25</v>
      </c>
      <c r="M1591" s="4">
        <v>0</v>
      </c>
      <c r="N1591">
        <v>25</v>
      </c>
      <c r="O1591" t="s">
        <v>765</v>
      </c>
      <c r="P1591">
        <v>16</v>
      </c>
      <c r="Q1591">
        <f>QtyRemaining*EstMfgMin/60</f>
        <v>6.666666666666667</v>
      </c>
      <c r="U1591" t="e">
        <f t="shared" si="50"/>
        <v>#REF!</v>
      </c>
      <c r="V1591" s="5" t="e">
        <f t="shared" si="51"/>
        <v>#REF!</v>
      </c>
    </row>
    <row r="1592" spans="1:22" x14ac:dyDescent="0.25">
      <c r="A1592" s="2">
        <v>46178</v>
      </c>
      <c r="B1592" s="2">
        <v>45993</v>
      </c>
      <c r="C1592" t="s">
        <v>1168</v>
      </c>
      <c r="D1592">
        <v>23</v>
      </c>
      <c r="E1592" t="s">
        <v>3374</v>
      </c>
      <c r="F1592" t="s">
        <v>283</v>
      </c>
      <c r="G1592" t="s">
        <v>1170</v>
      </c>
      <c r="H1592" t="s">
        <v>3375</v>
      </c>
      <c r="I1592" t="s">
        <v>224</v>
      </c>
      <c r="J1592" s="3" t="s">
        <v>3052</v>
      </c>
      <c r="K1592" t="s">
        <v>3053</v>
      </c>
      <c r="L1592" s="4">
        <v>10</v>
      </c>
      <c r="M1592" s="4">
        <v>0</v>
      </c>
      <c r="N1592">
        <v>10</v>
      </c>
      <c r="P1592">
        <v>60</v>
      </c>
      <c r="Q1592">
        <f>QtyRemaining*EstMfgMin/60</f>
        <v>10</v>
      </c>
      <c r="U1592" t="e">
        <f t="shared" si="50"/>
        <v>#REF!</v>
      </c>
      <c r="V1592" s="5" t="e">
        <f t="shared" si="51"/>
        <v>#REF!</v>
      </c>
    </row>
    <row r="1593" spans="1:22" x14ac:dyDescent="0.25">
      <c r="A1593" s="2">
        <v>46181</v>
      </c>
      <c r="B1593" s="2">
        <v>45700</v>
      </c>
      <c r="C1593" t="s">
        <v>523</v>
      </c>
      <c r="D1593">
        <v>24</v>
      </c>
      <c r="E1593" t="s">
        <v>524</v>
      </c>
      <c r="F1593" t="s">
        <v>261</v>
      </c>
      <c r="G1593" t="s">
        <v>525</v>
      </c>
      <c r="H1593" t="s">
        <v>526</v>
      </c>
      <c r="I1593" t="s">
        <v>83</v>
      </c>
      <c r="J1593" s="3" t="s">
        <v>3103</v>
      </c>
      <c r="K1593" t="s">
        <v>1141</v>
      </c>
      <c r="L1593" s="4">
        <v>10</v>
      </c>
      <c r="M1593" s="4">
        <v>0</v>
      </c>
      <c r="N1593">
        <v>10</v>
      </c>
      <c r="O1593" t="s">
        <v>118</v>
      </c>
      <c r="P1593">
        <v>105</v>
      </c>
      <c r="Q1593">
        <f>QtyRemaining*EstMfgMin/60</f>
        <v>17.5</v>
      </c>
      <c r="U1593" t="e">
        <f t="shared" si="50"/>
        <v>#REF!</v>
      </c>
      <c r="V1593" s="5" t="e">
        <f t="shared" si="51"/>
        <v>#REF!</v>
      </c>
    </row>
    <row r="1594" spans="1:22" x14ac:dyDescent="0.25">
      <c r="A1594" s="2">
        <v>46181</v>
      </c>
      <c r="B1594" s="2">
        <v>45700</v>
      </c>
      <c r="C1594" t="s">
        <v>523</v>
      </c>
      <c r="D1594">
        <v>24</v>
      </c>
      <c r="E1594" t="s">
        <v>524</v>
      </c>
      <c r="F1594" t="s">
        <v>261</v>
      </c>
      <c r="G1594" t="s">
        <v>525</v>
      </c>
      <c r="H1594" t="s">
        <v>526</v>
      </c>
      <c r="I1594" t="s">
        <v>83</v>
      </c>
      <c r="J1594" s="3" t="s">
        <v>1142</v>
      </c>
      <c r="K1594" t="s">
        <v>1141</v>
      </c>
      <c r="L1594" s="4">
        <v>10</v>
      </c>
      <c r="M1594" s="4">
        <v>0</v>
      </c>
      <c r="N1594">
        <v>10</v>
      </c>
      <c r="O1594" t="s">
        <v>118</v>
      </c>
      <c r="P1594">
        <v>105</v>
      </c>
      <c r="Q1594">
        <f>QtyRemaining*EstMfgMin/60</f>
        <v>17.5</v>
      </c>
      <c r="U1594" t="e">
        <f t="shared" si="50"/>
        <v>#REF!</v>
      </c>
      <c r="V1594" s="5" t="e">
        <f t="shared" si="51"/>
        <v>#REF!</v>
      </c>
    </row>
    <row r="1595" spans="1:22" x14ac:dyDescent="0.25">
      <c r="A1595" s="2">
        <v>46181</v>
      </c>
      <c r="B1595" s="2">
        <v>45700</v>
      </c>
      <c r="C1595" t="s">
        <v>523</v>
      </c>
      <c r="D1595">
        <v>24</v>
      </c>
      <c r="E1595" t="s">
        <v>524</v>
      </c>
      <c r="F1595" t="s">
        <v>261</v>
      </c>
      <c r="G1595" t="s">
        <v>525</v>
      </c>
      <c r="H1595" t="s">
        <v>526</v>
      </c>
      <c r="I1595" t="s">
        <v>83</v>
      </c>
      <c r="J1595" s="3" t="s">
        <v>1144</v>
      </c>
      <c r="K1595" t="s">
        <v>1141</v>
      </c>
      <c r="L1595" s="4">
        <v>10</v>
      </c>
      <c r="M1595" s="4">
        <v>0</v>
      </c>
      <c r="N1595">
        <v>10</v>
      </c>
      <c r="O1595" t="s">
        <v>118</v>
      </c>
      <c r="P1595">
        <v>105</v>
      </c>
      <c r="Q1595">
        <f>QtyRemaining*EstMfgMin/60</f>
        <v>17.5</v>
      </c>
      <c r="U1595" t="e">
        <f t="shared" si="50"/>
        <v>#REF!</v>
      </c>
      <c r="V1595" s="5" t="e">
        <f t="shared" si="51"/>
        <v>#REF!</v>
      </c>
    </row>
    <row r="1596" spans="1:22" x14ac:dyDescent="0.25">
      <c r="A1596" s="2">
        <v>46181</v>
      </c>
      <c r="B1596" s="2">
        <v>45700</v>
      </c>
      <c r="C1596" t="s">
        <v>523</v>
      </c>
      <c r="D1596">
        <v>24</v>
      </c>
      <c r="E1596" t="s">
        <v>524</v>
      </c>
      <c r="F1596" t="s">
        <v>261</v>
      </c>
      <c r="G1596" t="s">
        <v>525</v>
      </c>
      <c r="H1596" t="s">
        <v>526</v>
      </c>
      <c r="I1596" t="s">
        <v>83</v>
      </c>
      <c r="J1596" s="3" t="s">
        <v>1145</v>
      </c>
      <c r="K1596" t="s">
        <v>1141</v>
      </c>
      <c r="L1596" s="4">
        <v>6</v>
      </c>
      <c r="M1596" s="4">
        <v>0</v>
      </c>
      <c r="N1596">
        <v>6</v>
      </c>
      <c r="O1596" t="s">
        <v>118</v>
      </c>
      <c r="P1596">
        <v>105</v>
      </c>
      <c r="Q1596">
        <f>QtyRemaining*EstMfgMin/60</f>
        <v>10.5</v>
      </c>
      <c r="U1596" t="e">
        <f t="shared" si="50"/>
        <v>#REF!</v>
      </c>
      <c r="V1596" s="5" t="e">
        <f t="shared" si="51"/>
        <v>#REF!</v>
      </c>
    </row>
    <row r="1597" spans="1:22" x14ac:dyDescent="0.25">
      <c r="A1597" s="2">
        <v>46181</v>
      </c>
      <c r="B1597" s="2">
        <v>45880</v>
      </c>
      <c r="C1597" t="s">
        <v>478</v>
      </c>
      <c r="D1597">
        <v>24</v>
      </c>
      <c r="E1597" t="s">
        <v>3376</v>
      </c>
      <c r="F1597" t="s">
        <v>261</v>
      </c>
      <c r="G1597" t="s">
        <v>510</v>
      </c>
      <c r="H1597" t="s">
        <v>3377</v>
      </c>
      <c r="I1597" t="s">
        <v>83</v>
      </c>
      <c r="J1597" s="3" t="s">
        <v>3378</v>
      </c>
      <c r="K1597" t="s">
        <v>3379</v>
      </c>
      <c r="L1597" s="4">
        <v>5</v>
      </c>
      <c r="M1597" s="4">
        <v>0</v>
      </c>
      <c r="N1597">
        <v>5</v>
      </c>
      <c r="O1597" t="s">
        <v>1082</v>
      </c>
      <c r="P1597">
        <v>20</v>
      </c>
      <c r="Q1597">
        <f>QtyRemaining*EstMfgMin/60</f>
        <v>1.6666666666666667</v>
      </c>
      <c r="U1597" t="e">
        <f t="shared" si="50"/>
        <v>#REF!</v>
      </c>
      <c r="V1597" s="5" t="e">
        <f t="shared" si="51"/>
        <v>#REF!</v>
      </c>
    </row>
    <row r="1598" spans="1:22" x14ac:dyDescent="0.25">
      <c r="A1598" s="2">
        <v>46181</v>
      </c>
      <c r="B1598" s="2">
        <v>45972</v>
      </c>
      <c r="C1598" t="s">
        <v>485</v>
      </c>
      <c r="D1598">
        <v>24</v>
      </c>
      <c r="E1598" t="s">
        <v>1078</v>
      </c>
      <c r="F1598" t="s">
        <v>211</v>
      </c>
      <c r="G1598" t="s">
        <v>761</v>
      </c>
      <c r="H1598" t="s">
        <v>1079</v>
      </c>
      <c r="I1598" t="s">
        <v>214</v>
      </c>
      <c r="J1598" s="3" t="s">
        <v>2438</v>
      </c>
      <c r="K1598" t="s">
        <v>2439</v>
      </c>
      <c r="L1598" s="4">
        <v>30</v>
      </c>
      <c r="M1598" s="4">
        <v>0</v>
      </c>
      <c r="N1598">
        <v>30</v>
      </c>
      <c r="O1598" t="s">
        <v>1082</v>
      </c>
      <c r="P1598">
        <v>20</v>
      </c>
      <c r="Q1598">
        <f>QtyRemaining*EstMfgMin/60</f>
        <v>10</v>
      </c>
      <c r="U1598" t="e">
        <f t="shared" si="50"/>
        <v>#REF!</v>
      </c>
      <c r="V1598" s="5" t="e">
        <f t="shared" si="51"/>
        <v>#REF!</v>
      </c>
    </row>
    <row r="1599" spans="1:22" x14ac:dyDescent="0.25">
      <c r="A1599" s="2">
        <v>46181</v>
      </c>
      <c r="B1599" s="2">
        <v>45979</v>
      </c>
      <c r="C1599" t="s">
        <v>570</v>
      </c>
      <c r="D1599">
        <v>24</v>
      </c>
      <c r="E1599" t="s">
        <v>2678</v>
      </c>
      <c r="F1599" t="s">
        <v>261</v>
      </c>
      <c r="G1599" t="s">
        <v>529</v>
      </c>
      <c r="H1599" t="s">
        <v>2679</v>
      </c>
      <c r="I1599" t="s">
        <v>83</v>
      </c>
      <c r="J1599" s="3" t="s">
        <v>3380</v>
      </c>
      <c r="K1599" t="s">
        <v>3381</v>
      </c>
      <c r="L1599" s="4">
        <v>30</v>
      </c>
      <c r="M1599" s="4">
        <v>0</v>
      </c>
      <c r="N1599">
        <v>30</v>
      </c>
      <c r="O1599" t="s">
        <v>3382</v>
      </c>
      <c r="P1599">
        <v>140</v>
      </c>
      <c r="Q1599">
        <f>QtyRemaining*EstMfgMin/60</f>
        <v>70</v>
      </c>
      <c r="U1599" t="e">
        <f t="shared" si="50"/>
        <v>#REF!</v>
      </c>
      <c r="V1599" s="5" t="e">
        <f t="shared" si="51"/>
        <v>#REF!</v>
      </c>
    </row>
    <row r="1600" spans="1:22" x14ac:dyDescent="0.25">
      <c r="A1600" s="2">
        <v>46181</v>
      </c>
      <c r="B1600" s="2">
        <v>46049</v>
      </c>
      <c r="C1600" t="s">
        <v>633</v>
      </c>
      <c r="D1600">
        <v>24</v>
      </c>
      <c r="E1600" t="s">
        <v>3383</v>
      </c>
      <c r="F1600" t="s">
        <v>261</v>
      </c>
      <c r="G1600" t="s">
        <v>262</v>
      </c>
      <c r="H1600" t="s">
        <v>3384</v>
      </c>
      <c r="I1600" t="s">
        <v>45</v>
      </c>
      <c r="J1600" s="3" t="s">
        <v>3385</v>
      </c>
      <c r="K1600" t="s">
        <v>3386</v>
      </c>
      <c r="L1600" s="4">
        <v>139</v>
      </c>
      <c r="M1600" s="4">
        <v>0</v>
      </c>
      <c r="N1600">
        <v>139</v>
      </c>
      <c r="O1600" t="s">
        <v>146</v>
      </c>
      <c r="P1600">
        <v>0</v>
      </c>
      <c r="Q1600">
        <f>QtyRemaining*EstMfgMin/60</f>
        <v>0</v>
      </c>
      <c r="U1600" t="e">
        <f t="shared" si="50"/>
        <v>#REF!</v>
      </c>
      <c r="V1600" s="5" t="e">
        <f t="shared" si="51"/>
        <v>#REF!</v>
      </c>
    </row>
    <row r="1601" spans="1:22" x14ac:dyDescent="0.25">
      <c r="A1601" s="2">
        <v>46182</v>
      </c>
      <c r="B1601" s="2">
        <v>45980</v>
      </c>
      <c r="C1601" t="s">
        <v>1191</v>
      </c>
      <c r="D1601">
        <v>24</v>
      </c>
      <c r="E1601" t="s">
        <v>3387</v>
      </c>
      <c r="F1601" t="s">
        <v>211</v>
      </c>
      <c r="G1601" t="s">
        <v>1679</v>
      </c>
      <c r="H1601" t="s">
        <v>3388</v>
      </c>
      <c r="I1601" t="s">
        <v>214</v>
      </c>
      <c r="J1601" s="3" t="s">
        <v>1681</v>
      </c>
      <c r="K1601" t="s">
        <v>1682</v>
      </c>
      <c r="L1601" s="4">
        <v>100</v>
      </c>
      <c r="M1601" s="4">
        <v>0</v>
      </c>
      <c r="N1601">
        <v>100</v>
      </c>
      <c r="O1601" t="s">
        <v>146</v>
      </c>
      <c r="P1601">
        <v>5</v>
      </c>
      <c r="Q1601">
        <f>QtyRemaining*EstMfgMin/60</f>
        <v>8.3333333333333339</v>
      </c>
      <c r="U1601" t="e">
        <f t="shared" si="50"/>
        <v>#REF!</v>
      </c>
      <c r="V1601" s="5" t="e">
        <f t="shared" si="51"/>
        <v>#REF!</v>
      </c>
    </row>
    <row r="1602" spans="1:22" x14ac:dyDescent="0.25">
      <c r="A1602" s="2">
        <v>46183</v>
      </c>
      <c r="B1602" s="2">
        <v>45632</v>
      </c>
      <c r="C1602" t="s">
        <v>478</v>
      </c>
      <c r="D1602">
        <v>24</v>
      </c>
      <c r="E1602" t="s">
        <v>1137</v>
      </c>
      <c r="F1602" t="s">
        <v>261</v>
      </c>
      <c r="G1602" t="s">
        <v>510</v>
      </c>
      <c r="H1602" t="s">
        <v>1138</v>
      </c>
      <c r="I1602" t="s">
        <v>122</v>
      </c>
      <c r="J1602" s="3" t="s">
        <v>512</v>
      </c>
      <c r="K1602" t="s">
        <v>513</v>
      </c>
      <c r="L1602" s="4">
        <v>5</v>
      </c>
      <c r="M1602" s="4">
        <v>0</v>
      </c>
      <c r="N1602">
        <v>5</v>
      </c>
      <c r="O1602" t="s">
        <v>1139</v>
      </c>
      <c r="P1602">
        <v>1394</v>
      </c>
      <c r="Q1602">
        <f>QtyRemaining*EstMfgMin/60</f>
        <v>116.16666666666667</v>
      </c>
      <c r="U1602" t="e">
        <f t="shared" si="50"/>
        <v>#REF!</v>
      </c>
      <c r="V1602" s="5" t="e">
        <f t="shared" si="51"/>
        <v>#REF!</v>
      </c>
    </row>
    <row r="1603" spans="1:22" x14ac:dyDescent="0.25">
      <c r="A1603" s="2">
        <v>46183</v>
      </c>
      <c r="B1603" s="2">
        <v>45741</v>
      </c>
      <c r="C1603" t="s">
        <v>550</v>
      </c>
      <c r="D1603">
        <v>24</v>
      </c>
      <c r="E1603" t="s">
        <v>551</v>
      </c>
      <c r="F1603" t="s">
        <v>261</v>
      </c>
      <c r="G1603" t="s">
        <v>552</v>
      </c>
      <c r="H1603" t="s">
        <v>553</v>
      </c>
      <c r="I1603" t="s">
        <v>45</v>
      </c>
      <c r="J1603" s="3" t="s">
        <v>554</v>
      </c>
      <c r="K1603" t="s">
        <v>555</v>
      </c>
      <c r="L1603" s="4">
        <v>3</v>
      </c>
      <c r="M1603" s="4">
        <v>0</v>
      </c>
      <c r="N1603">
        <v>3</v>
      </c>
      <c r="P1603">
        <v>0</v>
      </c>
      <c r="Q1603">
        <f>QtyRemaining*EstMfgMin/60</f>
        <v>0</v>
      </c>
      <c r="U1603" t="e">
        <f t="shared" ref="U1603:U1666" si="52">VLOOKUP(A1603,Calendar,13,FALSE)</f>
        <v>#REF!</v>
      </c>
      <c r="V1603" s="5" t="e">
        <f t="shared" ref="V1603:V1666" si="53">VLOOKUP(A1603,Calendar,14,FALSE)</f>
        <v>#REF!</v>
      </c>
    </row>
    <row r="1604" spans="1:22" x14ac:dyDescent="0.25">
      <c r="A1604" s="2">
        <v>46183</v>
      </c>
      <c r="B1604" s="2">
        <v>45784</v>
      </c>
      <c r="C1604" t="s">
        <v>485</v>
      </c>
      <c r="D1604">
        <v>24</v>
      </c>
      <c r="E1604" t="s">
        <v>1674</v>
      </c>
      <c r="F1604" t="s">
        <v>211</v>
      </c>
      <c r="G1604" t="s">
        <v>535</v>
      </c>
      <c r="H1604" t="s">
        <v>1675</v>
      </c>
      <c r="I1604" t="s">
        <v>214</v>
      </c>
      <c r="J1604" s="3" t="s">
        <v>1676</v>
      </c>
      <c r="K1604" t="s">
        <v>1677</v>
      </c>
      <c r="L1604" s="4">
        <v>58</v>
      </c>
      <c r="M1604" s="4">
        <v>0</v>
      </c>
      <c r="N1604">
        <v>58</v>
      </c>
      <c r="O1604" t="s">
        <v>86</v>
      </c>
      <c r="P1604">
        <v>6</v>
      </c>
      <c r="Q1604">
        <f>QtyRemaining*EstMfgMin/60</f>
        <v>5.8</v>
      </c>
      <c r="U1604" t="e">
        <f t="shared" si="52"/>
        <v>#REF!</v>
      </c>
      <c r="V1604" s="5" t="e">
        <f t="shared" si="53"/>
        <v>#REF!</v>
      </c>
    </row>
    <row r="1605" spans="1:22" x14ac:dyDescent="0.25">
      <c r="A1605" s="2">
        <v>46183</v>
      </c>
      <c r="B1605" s="2">
        <v>45972</v>
      </c>
      <c r="C1605" t="s">
        <v>485</v>
      </c>
      <c r="D1605">
        <v>24</v>
      </c>
      <c r="E1605" t="s">
        <v>1078</v>
      </c>
      <c r="F1605" t="s">
        <v>211</v>
      </c>
      <c r="G1605" t="s">
        <v>761</v>
      </c>
      <c r="H1605" t="s">
        <v>1079</v>
      </c>
      <c r="I1605" t="s">
        <v>214</v>
      </c>
      <c r="J1605" s="3" t="s">
        <v>2834</v>
      </c>
      <c r="K1605" t="s">
        <v>2835</v>
      </c>
      <c r="L1605" s="4">
        <v>100</v>
      </c>
      <c r="M1605" s="4">
        <v>0</v>
      </c>
      <c r="N1605">
        <v>100</v>
      </c>
      <c r="O1605" t="s">
        <v>1082</v>
      </c>
      <c r="P1605">
        <v>6</v>
      </c>
      <c r="Q1605">
        <f>QtyRemaining*EstMfgMin/60</f>
        <v>10</v>
      </c>
      <c r="U1605" t="e">
        <f t="shared" si="52"/>
        <v>#REF!</v>
      </c>
      <c r="V1605" s="5" t="e">
        <f t="shared" si="53"/>
        <v>#REF!</v>
      </c>
    </row>
    <row r="1606" spans="1:22" x14ac:dyDescent="0.25">
      <c r="A1606" s="2">
        <v>46184</v>
      </c>
      <c r="B1606" s="2">
        <v>45674</v>
      </c>
      <c r="C1606" t="s">
        <v>570</v>
      </c>
      <c r="D1606">
        <v>24</v>
      </c>
      <c r="E1606" t="s">
        <v>571</v>
      </c>
      <c r="F1606" t="s">
        <v>261</v>
      </c>
      <c r="G1606" t="s">
        <v>262</v>
      </c>
      <c r="H1606" t="s">
        <v>572</v>
      </c>
      <c r="I1606" t="s">
        <v>83</v>
      </c>
      <c r="J1606" s="3" t="s">
        <v>2963</v>
      </c>
      <c r="K1606" t="s">
        <v>2964</v>
      </c>
      <c r="L1606" s="4">
        <v>8</v>
      </c>
      <c r="M1606" s="4">
        <v>0</v>
      </c>
      <c r="N1606">
        <v>8</v>
      </c>
      <c r="O1606" t="s">
        <v>118</v>
      </c>
      <c r="P1606">
        <v>0</v>
      </c>
      <c r="Q1606">
        <f>QtyRemaining*EstMfgMin/60</f>
        <v>0</v>
      </c>
      <c r="U1606" t="e">
        <f t="shared" si="52"/>
        <v>#REF!</v>
      </c>
      <c r="V1606" s="5" t="e">
        <f t="shared" si="53"/>
        <v>#REF!</v>
      </c>
    </row>
    <row r="1607" spans="1:22" x14ac:dyDescent="0.25">
      <c r="A1607" s="2">
        <v>46184</v>
      </c>
      <c r="B1607" s="2">
        <v>45674</v>
      </c>
      <c r="C1607" t="s">
        <v>570</v>
      </c>
      <c r="D1607">
        <v>24</v>
      </c>
      <c r="E1607" t="s">
        <v>571</v>
      </c>
      <c r="F1607" t="s">
        <v>261</v>
      </c>
      <c r="G1607" t="s">
        <v>262</v>
      </c>
      <c r="H1607" t="s">
        <v>572</v>
      </c>
      <c r="I1607" t="s">
        <v>83</v>
      </c>
      <c r="J1607" s="3" t="s">
        <v>2965</v>
      </c>
      <c r="K1607" t="s">
        <v>2289</v>
      </c>
      <c r="L1607" s="4">
        <v>8</v>
      </c>
      <c r="M1607" s="4">
        <v>0</v>
      </c>
      <c r="N1607">
        <v>8</v>
      </c>
      <c r="O1607" t="s">
        <v>118</v>
      </c>
      <c r="P1607">
        <v>0</v>
      </c>
      <c r="Q1607">
        <f>QtyRemaining*EstMfgMin/60</f>
        <v>0</v>
      </c>
      <c r="U1607" t="e">
        <f t="shared" si="52"/>
        <v>#REF!</v>
      </c>
      <c r="V1607" s="5" t="e">
        <f t="shared" si="53"/>
        <v>#REF!</v>
      </c>
    </row>
    <row r="1608" spans="1:22" x14ac:dyDescent="0.25">
      <c r="A1608" s="2">
        <v>46184</v>
      </c>
      <c r="B1608" s="2">
        <v>45674</v>
      </c>
      <c r="C1608" t="s">
        <v>570</v>
      </c>
      <c r="D1608">
        <v>24</v>
      </c>
      <c r="E1608" t="s">
        <v>571</v>
      </c>
      <c r="F1608" t="s">
        <v>261</v>
      </c>
      <c r="G1608" t="s">
        <v>262</v>
      </c>
      <c r="H1608" t="s">
        <v>572</v>
      </c>
      <c r="I1608" t="s">
        <v>83</v>
      </c>
      <c r="J1608" s="3" t="s">
        <v>2288</v>
      </c>
      <c r="K1608" t="s">
        <v>2289</v>
      </c>
      <c r="L1608" s="4">
        <v>8</v>
      </c>
      <c r="M1608" s="4">
        <v>0</v>
      </c>
      <c r="N1608">
        <v>8</v>
      </c>
      <c r="O1608" t="s">
        <v>118</v>
      </c>
      <c r="P1608">
        <v>0</v>
      </c>
      <c r="Q1608">
        <f>QtyRemaining*EstMfgMin/60</f>
        <v>0</v>
      </c>
      <c r="U1608" t="e">
        <f t="shared" si="52"/>
        <v>#REF!</v>
      </c>
      <c r="V1608" s="5" t="e">
        <f t="shared" si="53"/>
        <v>#REF!</v>
      </c>
    </row>
    <row r="1609" spans="1:22" x14ac:dyDescent="0.25">
      <c r="A1609" s="2">
        <v>46184</v>
      </c>
      <c r="B1609" s="2">
        <v>45755</v>
      </c>
      <c r="C1609" t="s">
        <v>221</v>
      </c>
      <c r="D1609">
        <v>24</v>
      </c>
      <c r="E1609" t="s">
        <v>3389</v>
      </c>
      <c r="F1609" t="s">
        <v>211</v>
      </c>
      <c r="G1609" t="s">
        <v>519</v>
      </c>
      <c r="H1609" t="s">
        <v>3390</v>
      </c>
      <c r="I1609" t="s">
        <v>83</v>
      </c>
      <c r="J1609" s="3" t="s">
        <v>3391</v>
      </c>
      <c r="K1609" t="s">
        <v>3392</v>
      </c>
      <c r="L1609" s="4">
        <v>8</v>
      </c>
      <c r="M1609" s="4">
        <v>1</v>
      </c>
      <c r="N1609">
        <v>7</v>
      </c>
      <c r="O1609" t="s">
        <v>118</v>
      </c>
      <c r="P1609">
        <v>0</v>
      </c>
      <c r="Q1609">
        <f>QtyRemaining*EstMfgMin/60</f>
        <v>0</v>
      </c>
      <c r="U1609" t="e">
        <f t="shared" si="52"/>
        <v>#REF!</v>
      </c>
      <c r="V1609" s="5" t="e">
        <f t="shared" si="53"/>
        <v>#REF!</v>
      </c>
    </row>
    <row r="1610" spans="1:22" x14ac:dyDescent="0.25">
      <c r="A1610" s="2">
        <v>46184</v>
      </c>
      <c r="B1610" s="2">
        <v>45755</v>
      </c>
      <c r="C1610" t="s">
        <v>221</v>
      </c>
      <c r="D1610">
        <v>24</v>
      </c>
      <c r="E1610" t="s">
        <v>3389</v>
      </c>
      <c r="F1610" t="s">
        <v>211</v>
      </c>
      <c r="G1610" t="s">
        <v>519</v>
      </c>
      <c r="H1610" t="s">
        <v>3390</v>
      </c>
      <c r="I1610" t="s">
        <v>83</v>
      </c>
      <c r="J1610" s="3" t="s">
        <v>3393</v>
      </c>
      <c r="K1610" t="s">
        <v>3394</v>
      </c>
      <c r="L1610" s="4">
        <v>8</v>
      </c>
      <c r="M1610" s="4">
        <v>0</v>
      </c>
      <c r="N1610">
        <v>8</v>
      </c>
      <c r="O1610" t="s">
        <v>118</v>
      </c>
      <c r="P1610">
        <v>0</v>
      </c>
      <c r="Q1610">
        <f>QtyRemaining*EstMfgMin/60</f>
        <v>0</v>
      </c>
      <c r="U1610" t="e">
        <f t="shared" si="52"/>
        <v>#REF!</v>
      </c>
      <c r="V1610" s="5" t="e">
        <f t="shared" si="53"/>
        <v>#REF!</v>
      </c>
    </row>
    <row r="1611" spans="1:22" x14ac:dyDescent="0.25">
      <c r="A1611" s="2">
        <v>46184</v>
      </c>
      <c r="B1611" s="2">
        <v>45755</v>
      </c>
      <c r="C1611" t="s">
        <v>221</v>
      </c>
      <c r="D1611">
        <v>24</v>
      </c>
      <c r="E1611" t="s">
        <v>3389</v>
      </c>
      <c r="F1611" t="s">
        <v>211</v>
      </c>
      <c r="G1611" t="s">
        <v>519</v>
      </c>
      <c r="H1611" t="s">
        <v>3390</v>
      </c>
      <c r="I1611" t="s">
        <v>83</v>
      </c>
      <c r="J1611" s="3" t="s">
        <v>3395</v>
      </c>
      <c r="K1611" t="s">
        <v>3394</v>
      </c>
      <c r="L1611" s="4">
        <v>8</v>
      </c>
      <c r="M1611" s="4">
        <v>0</v>
      </c>
      <c r="N1611">
        <v>8</v>
      </c>
      <c r="O1611" t="s">
        <v>118</v>
      </c>
      <c r="P1611">
        <v>0</v>
      </c>
      <c r="Q1611">
        <f>QtyRemaining*EstMfgMin/60</f>
        <v>0</v>
      </c>
      <c r="U1611" t="e">
        <f t="shared" si="52"/>
        <v>#REF!</v>
      </c>
      <c r="V1611" s="5" t="e">
        <f t="shared" si="53"/>
        <v>#REF!</v>
      </c>
    </row>
    <row r="1612" spans="1:22" x14ac:dyDescent="0.25">
      <c r="A1612" s="2">
        <v>46184</v>
      </c>
      <c r="B1612" s="2">
        <v>46017</v>
      </c>
      <c r="C1612" t="s">
        <v>485</v>
      </c>
      <c r="D1612">
        <v>24</v>
      </c>
      <c r="E1612" t="s">
        <v>2510</v>
      </c>
      <c r="F1612" t="s">
        <v>211</v>
      </c>
      <c r="G1612" t="s">
        <v>864</v>
      </c>
      <c r="H1612" t="s">
        <v>2511</v>
      </c>
      <c r="I1612" t="s">
        <v>214</v>
      </c>
      <c r="J1612" s="3" t="s">
        <v>2514</v>
      </c>
      <c r="K1612" t="s">
        <v>2515</v>
      </c>
      <c r="L1612" s="4">
        <v>50</v>
      </c>
      <c r="M1612" s="4">
        <v>0</v>
      </c>
      <c r="N1612">
        <v>50</v>
      </c>
      <c r="O1612" t="s">
        <v>176</v>
      </c>
      <c r="P1612">
        <v>13</v>
      </c>
      <c r="Q1612">
        <f>QtyRemaining*EstMfgMin/60</f>
        <v>10.833333333333334</v>
      </c>
      <c r="U1612" t="e">
        <f t="shared" si="52"/>
        <v>#REF!</v>
      </c>
      <c r="V1612" s="5" t="e">
        <f t="shared" si="53"/>
        <v>#REF!</v>
      </c>
    </row>
    <row r="1613" spans="1:22" x14ac:dyDescent="0.25">
      <c r="A1613" s="2">
        <v>46184</v>
      </c>
      <c r="B1613" s="2">
        <v>46017</v>
      </c>
      <c r="C1613" t="s">
        <v>485</v>
      </c>
      <c r="D1613">
        <v>24</v>
      </c>
      <c r="E1613" t="s">
        <v>2510</v>
      </c>
      <c r="F1613" t="s">
        <v>211</v>
      </c>
      <c r="G1613" t="s">
        <v>864</v>
      </c>
      <c r="H1613" t="s">
        <v>2511</v>
      </c>
      <c r="I1613" t="s">
        <v>214</v>
      </c>
      <c r="J1613" s="3" t="s">
        <v>2516</v>
      </c>
      <c r="K1613" t="s">
        <v>2517</v>
      </c>
      <c r="L1613" s="4">
        <v>50</v>
      </c>
      <c r="M1613" s="4">
        <v>0</v>
      </c>
      <c r="N1613">
        <v>50</v>
      </c>
      <c r="O1613" t="s">
        <v>514</v>
      </c>
      <c r="P1613">
        <v>10</v>
      </c>
      <c r="Q1613">
        <f>QtyRemaining*EstMfgMin/60</f>
        <v>8.3333333333333339</v>
      </c>
      <c r="U1613" t="e">
        <f t="shared" si="52"/>
        <v>#REF!</v>
      </c>
      <c r="V1613" s="5" t="e">
        <f t="shared" si="53"/>
        <v>#REF!</v>
      </c>
    </row>
    <row r="1614" spans="1:22" x14ac:dyDescent="0.25">
      <c r="A1614" s="2">
        <v>46185</v>
      </c>
      <c r="B1614" s="2">
        <v>45938</v>
      </c>
      <c r="C1614" t="s">
        <v>633</v>
      </c>
      <c r="D1614">
        <v>24</v>
      </c>
      <c r="E1614" t="s">
        <v>3396</v>
      </c>
      <c r="F1614" t="s">
        <v>211</v>
      </c>
      <c r="G1614" t="s">
        <v>262</v>
      </c>
      <c r="H1614" t="s">
        <v>3397</v>
      </c>
      <c r="I1614" t="s">
        <v>155</v>
      </c>
      <c r="J1614" s="3" t="s">
        <v>3398</v>
      </c>
      <c r="K1614" t="s">
        <v>3399</v>
      </c>
      <c r="L1614" s="4">
        <v>25</v>
      </c>
      <c r="M1614" s="4">
        <v>0</v>
      </c>
      <c r="N1614">
        <v>25</v>
      </c>
      <c r="O1614" t="s">
        <v>176</v>
      </c>
      <c r="P1614">
        <v>94</v>
      </c>
      <c r="Q1614">
        <f>QtyRemaining*EstMfgMin/60</f>
        <v>39.166666666666664</v>
      </c>
      <c r="R1614" t="s">
        <v>3400</v>
      </c>
      <c r="U1614" t="e">
        <f t="shared" si="52"/>
        <v>#REF!</v>
      </c>
      <c r="V1614" s="5" t="e">
        <f t="shared" si="53"/>
        <v>#REF!</v>
      </c>
    </row>
    <row r="1615" spans="1:22" x14ac:dyDescent="0.25">
      <c r="A1615" s="2">
        <v>46185</v>
      </c>
      <c r="B1615" s="2">
        <v>46034</v>
      </c>
      <c r="C1615" t="s">
        <v>221</v>
      </c>
      <c r="D1615">
        <v>24</v>
      </c>
      <c r="E1615" t="s">
        <v>1730</v>
      </c>
      <c r="F1615" t="s">
        <v>211</v>
      </c>
      <c r="G1615" t="s">
        <v>1731</v>
      </c>
      <c r="H1615" t="s">
        <v>1732</v>
      </c>
      <c r="I1615" t="s">
        <v>256</v>
      </c>
      <c r="J1615" s="3" t="s">
        <v>3401</v>
      </c>
      <c r="K1615" t="s">
        <v>3402</v>
      </c>
      <c r="L1615" s="4">
        <v>150</v>
      </c>
      <c r="M1615" s="4">
        <v>0</v>
      </c>
      <c r="N1615">
        <v>150</v>
      </c>
      <c r="O1615" t="s">
        <v>457</v>
      </c>
      <c r="P1615">
        <v>6</v>
      </c>
      <c r="Q1615">
        <f>QtyRemaining*EstMfgMin/60</f>
        <v>15</v>
      </c>
      <c r="U1615" t="e">
        <f t="shared" si="52"/>
        <v>#REF!</v>
      </c>
      <c r="V1615" s="5" t="e">
        <f t="shared" si="53"/>
        <v>#REF!</v>
      </c>
    </row>
    <row r="1616" spans="1:22" x14ac:dyDescent="0.25">
      <c r="A1616" s="2">
        <v>46188</v>
      </c>
      <c r="B1616" s="2">
        <v>45924</v>
      </c>
      <c r="C1616" t="s">
        <v>633</v>
      </c>
      <c r="D1616">
        <v>25</v>
      </c>
      <c r="E1616" t="s">
        <v>3403</v>
      </c>
      <c r="F1616" t="s">
        <v>211</v>
      </c>
      <c r="G1616" t="s">
        <v>262</v>
      </c>
      <c r="H1616" t="s">
        <v>3404</v>
      </c>
      <c r="I1616" t="s">
        <v>83</v>
      </c>
      <c r="J1616" s="3" t="s">
        <v>3118</v>
      </c>
      <c r="K1616" t="s">
        <v>3119</v>
      </c>
      <c r="L1616" s="4">
        <v>13</v>
      </c>
      <c r="M1616" s="4">
        <v>0</v>
      </c>
      <c r="N1616">
        <v>13</v>
      </c>
      <c r="O1616" t="s">
        <v>176</v>
      </c>
      <c r="P1616">
        <v>74</v>
      </c>
      <c r="Q1616">
        <f>QtyRemaining*EstMfgMin/60</f>
        <v>16.033333333333335</v>
      </c>
      <c r="U1616" t="e">
        <f t="shared" si="52"/>
        <v>#REF!</v>
      </c>
      <c r="V1616" s="5" t="e">
        <f t="shared" si="53"/>
        <v>#REF!</v>
      </c>
    </row>
    <row r="1617" spans="1:22" x14ac:dyDescent="0.25">
      <c r="A1617" s="2">
        <v>46188</v>
      </c>
      <c r="B1617" s="2">
        <v>45958</v>
      </c>
      <c r="C1617" t="s">
        <v>478</v>
      </c>
      <c r="D1617">
        <v>25</v>
      </c>
      <c r="E1617" t="s">
        <v>1027</v>
      </c>
      <c r="F1617" t="s">
        <v>261</v>
      </c>
      <c r="G1617" t="s">
        <v>670</v>
      </c>
      <c r="H1617" t="s">
        <v>1028</v>
      </c>
      <c r="I1617" t="s">
        <v>83</v>
      </c>
      <c r="J1617" s="3" t="s">
        <v>1033</v>
      </c>
      <c r="K1617" t="s">
        <v>1034</v>
      </c>
      <c r="L1617" s="4">
        <v>75</v>
      </c>
      <c r="M1617" s="4">
        <v>0</v>
      </c>
      <c r="N1617">
        <v>75</v>
      </c>
      <c r="O1617" t="s">
        <v>176</v>
      </c>
      <c r="P1617">
        <v>324</v>
      </c>
      <c r="Q1617">
        <f>QtyRemaining*EstMfgMin/60</f>
        <v>405</v>
      </c>
      <c r="U1617" t="e">
        <f t="shared" si="52"/>
        <v>#REF!</v>
      </c>
      <c r="V1617" s="5" t="e">
        <f t="shared" si="53"/>
        <v>#REF!</v>
      </c>
    </row>
    <row r="1618" spans="1:22" x14ac:dyDescent="0.25">
      <c r="A1618" s="2">
        <v>46188</v>
      </c>
      <c r="B1618" s="2">
        <v>46013</v>
      </c>
      <c r="C1618" t="s">
        <v>232</v>
      </c>
      <c r="D1618">
        <v>25</v>
      </c>
      <c r="E1618" t="s">
        <v>2945</v>
      </c>
      <c r="F1618" t="s">
        <v>211</v>
      </c>
      <c r="G1618" t="s">
        <v>270</v>
      </c>
      <c r="H1618" t="s">
        <v>2946</v>
      </c>
      <c r="I1618" t="s">
        <v>214</v>
      </c>
      <c r="J1618" s="3" t="s">
        <v>2071</v>
      </c>
      <c r="K1618" t="s">
        <v>2072</v>
      </c>
      <c r="L1618" s="4">
        <v>300</v>
      </c>
      <c r="M1618" s="4">
        <v>0</v>
      </c>
      <c r="N1618">
        <v>300</v>
      </c>
      <c r="O1618" t="s">
        <v>118</v>
      </c>
      <c r="P1618">
        <v>8</v>
      </c>
      <c r="Q1618">
        <f>QtyRemaining*EstMfgMin/60</f>
        <v>40</v>
      </c>
      <c r="U1618" t="e">
        <f t="shared" si="52"/>
        <v>#REF!</v>
      </c>
      <c r="V1618" s="5" t="e">
        <f t="shared" si="53"/>
        <v>#REF!</v>
      </c>
    </row>
    <row r="1619" spans="1:22" x14ac:dyDescent="0.25">
      <c r="A1619" s="2">
        <v>46189</v>
      </c>
      <c r="B1619" s="2">
        <v>45840</v>
      </c>
      <c r="C1619" t="s">
        <v>523</v>
      </c>
      <c r="D1619">
        <v>25</v>
      </c>
      <c r="E1619" t="s">
        <v>1241</v>
      </c>
      <c r="F1619" t="s">
        <v>261</v>
      </c>
      <c r="G1619" t="s">
        <v>1242</v>
      </c>
      <c r="H1619" t="s">
        <v>1243</v>
      </c>
      <c r="I1619" t="s">
        <v>83</v>
      </c>
      <c r="J1619" s="3" t="s">
        <v>1244</v>
      </c>
      <c r="K1619" t="s">
        <v>1245</v>
      </c>
      <c r="L1619" s="4">
        <v>10</v>
      </c>
      <c r="M1619" s="4">
        <v>0</v>
      </c>
      <c r="N1619">
        <v>10</v>
      </c>
      <c r="O1619" t="s">
        <v>118</v>
      </c>
      <c r="P1619">
        <v>1050</v>
      </c>
      <c r="Q1619">
        <f>QtyRemaining*EstMfgMin/60</f>
        <v>175</v>
      </c>
      <c r="U1619" t="e">
        <f t="shared" si="52"/>
        <v>#REF!</v>
      </c>
      <c r="V1619" s="5" t="e">
        <f t="shared" si="53"/>
        <v>#REF!</v>
      </c>
    </row>
    <row r="1620" spans="1:22" x14ac:dyDescent="0.25">
      <c r="A1620" s="2">
        <v>46190</v>
      </c>
      <c r="B1620" s="2">
        <v>45933</v>
      </c>
      <c r="C1620" t="s">
        <v>523</v>
      </c>
      <c r="D1620">
        <v>25</v>
      </c>
      <c r="E1620" t="s">
        <v>1998</v>
      </c>
      <c r="F1620" t="s">
        <v>211</v>
      </c>
      <c r="G1620" t="s">
        <v>1999</v>
      </c>
      <c r="H1620" t="s">
        <v>2000</v>
      </c>
      <c r="I1620" t="s">
        <v>83</v>
      </c>
      <c r="J1620" s="3" t="s">
        <v>2001</v>
      </c>
      <c r="K1620" t="s">
        <v>2002</v>
      </c>
      <c r="L1620" s="4">
        <v>4</v>
      </c>
      <c r="M1620" s="4">
        <v>0</v>
      </c>
      <c r="N1620">
        <v>4</v>
      </c>
      <c r="O1620" t="s">
        <v>94</v>
      </c>
      <c r="P1620">
        <v>600</v>
      </c>
      <c r="Q1620">
        <f>QtyRemaining*EstMfgMin/60</f>
        <v>40</v>
      </c>
      <c r="U1620" t="e">
        <f t="shared" si="52"/>
        <v>#REF!</v>
      </c>
      <c r="V1620" s="5" t="e">
        <f t="shared" si="53"/>
        <v>#REF!</v>
      </c>
    </row>
    <row r="1621" spans="1:22" x14ac:dyDescent="0.25">
      <c r="A1621" s="2">
        <v>46190</v>
      </c>
      <c r="B1621" s="2">
        <v>45933</v>
      </c>
      <c r="C1621" t="s">
        <v>523</v>
      </c>
      <c r="D1621">
        <v>25</v>
      </c>
      <c r="E1621" t="s">
        <v>1998</v>
      </c>
      <c r="F1621" t="s">
        <v>211</v>
      </c>
      <c r="G1621" t="s">
        <v>1999</v>
      </c>
      <c r="H1621" t="s">
        <v>2000</v>
      </c>
      <c r="I1621" t="s">
        <v>83</v>
      </c>
      <c r="J1621" s="3" t="s">
        <v>2003</v>
      </c>
      <c r="K1621" t="s">
        <v>2004</v>
      </c>
      <c r="L1621" s="4">
        <v>4</v>
      </c>
      <c r="M1621" s="4">
        <v>0</v>
      </c>
      <c r="N1621">
        <v>4</v>
      </c>
      <c r="O1621" t="s">
        <v>457</v>
      </c>
      <c r="P1621">
        <v>240</v>
      </c>
      <c r="Q1621">
        <f>QtyRemaining*EstMfgMin/60</f>
        <v>16</v>
      </c>
      <c r="U1621" t="e">
        <f t="shared" si="52"/>
        <v>#REF!</v>
      </c>
      <c r="V1621" s="5" t="e">
        <f t="shared" si="53"/>
        <v>#REF!</v>
      </c>
    </row>
    <row r="1622" spans="1:22" x14ac:dyDescent="0.25">
      <c r="A1622" s="2">
        <v>46190</v>
      </c>
      <c r="B1622" s="2">
        <v>45933</v>
      </c>
      <c r="C1622" t="s">
        <v>523</v>
      </c>
      <c r="D1622">
        <v>25</v>
      </c>
      <c r="E1622" t="s">
        <v>1998</v>
      </c>
      <c r="F1622" t="s">
        <v>211</v>
      </c>
      <c r="G1622" t="s">
        <v>1999</v>
      </c>
      <c r="H1622" t="s">
        <v>2000</v>
      </c>
      <c r="I1622" t="s">
        <v>83</v>
      </c>
      <c r="J1622" s="3" t="s">
        <v>2005</v>
      </c>
      <c r="K1622" t="s">
        <v>2006</v>
      </c>
      <c r="L1622" s="4">
        <v>4</v>
      </c>
      <c r="M1622" s="4">
        <v>0</v>
      </c>
      <c r="N1622">
        <v>4</v>
      </c>
      <c r="O1622" t="s">
        <v>457</v>
      </c>
      <c r="P1622">
        <v>240</v>
      </c>
      <c r="Q1622">
        <f>QtyRemaining*EstMfgMin/60</f>
        <v>16</v>
      </c>
      <c r="U1622" t="e">
        <f t="shared" si="52"/>
        <v>#REF!</v>
      </c>
      <c r="V1622" s="5" t="e">
        <f t="shared" si="53"/>
        <v>#REF!</v>
      </c>
    </row>
    <row r="1623" spans="1:22" x14ac:dyDescent="0.25">
      <c r="A1623" s="2">
        <v>46195</v>
      </c>
      <c r="B1623" s="2">
        <v>46049</v>
      </c>
      <c r="C1623" t="s">
        <v>633</v>
      </c>
      <c r="D1623">
        <v>26</v>
      </c>
      <c r="E1623" t="s">
        <v>3405</v>
      </c>
      <c r="F1623" t="s">
        <v>261</v>
      </c>
      <c r="G1623" t="s">
        <v>262</v>
      </c>
      <c r="H1623" t="s">
        <v>3406</v>
      </c>
      <c r="I1623" t="s">
        <v>155</v>
      </c>
      <c r="J1623" s="3" t="s">
        <v>3407</v>
      </c>
      <c r="K1623" t="s">
        <v>3408</v>
      </c>
      <c r="L1623" s="4">
        <v>17</v>
      </c>
      <c r="M1623" s="4">
        <v>0</v>
      </c>
      <c r="N1623">
        <v>17</v>
      </c>
      <c r="O1623" t="s">
        <v>151</v>
      </c>
      <c r="P1623">
        <v>15</v>
      </c>
      <c r="Q1623">
        <f>QtyRemaining*EstMfgMin/60</f>
        <v>4.25</v>
      </c>
      <c r="U1623" t="e">
        <f t="shared" si="52"/>
        <v>#REF!</v>
      </c>
      <c r="V1623" s="5" t="e">
        <f t="shared" si="53"/>
        <v>#REF!</v>
      </c>
    </row>
    <row r="1624" spans="1:22" x14ac:dyDescent="0.25">
      <c r="A1624" s="2">
        <v>46196</v>
      </c>
      <c r="B1624" s="2">
        <v>45926</v>
      </c>
      <c r="C1624" t="s">
        <v>523</v>
      </c>
      <c r="D1624">
        <v>26</v>
      </c>
      <c r="E1624" t="s">
        <v>3409</v>
      </c>
      <c r="F1624" t="s">
        <v>261</v>
      </c>
      <c r="G1624" t="s">
        <v>262</v>
      </c>
      <c r="H1624" t="s">
        <v>3410</v>
      </c>
      <c r="I1624" t="s">
        <v>83</v>
      </c>
      <c r="J1624" s="3" t="s">
        <v>3411</v>
      </c>
      <c r="K1624" t="s">
        <v>3412</v>
      </c>
      <c r="L1624" s="4">
        <v>10</v>
      </c>
      <c r="M1624" s="4">
        <v>0</v>
      </c>
      <c r="N1624">
        <v>10</v>
      </c>
      <c r="O1624" t="s">
        <v>457</v>
      </c>
      <c r="P1624">
        <v>330</v>
      </c>
      <c r="Q1624">
        <f>QtyRemaining*EstMfgMin/60</f>
        <v>55</v>
      </c>
      <c r="U1624" t="e">
        <f t="shared" si="52"/>
        <v>#REF!</v>
      </c>
      <c r="V1624" s="5" t="e">
        <f t="shared" si="53"/>
        <v>#REF!</v>
      </c>
    </row>
    <row r="1625" spans="1:22" x14ac:dyDescent="0.25">
      <c r="A1625" s="2">
        <v>46196</v>
      </c>
      <c r="B1625" s="2">
        <v>45926</v>
      </c>
      <c r="C1625" t="s">
        <v>523</v>
      </c>
      <c r="D1625">
        <v>26</v>
      </c>
      <c r="E1625" t="s">
        <v>3409</v>
      </c>
      <c r="F1625" t="s">
        <v>261</v>
      </c>
      <c r="G1625" t="s">
        <v>262</v>
      </c>
      <c r="H1625" t="s">
        <v>3410</v>
      </c>
      <c r="I1625" t="s">
        <v>83</v>
      </c>
      <c r="J1625" s="3" t="s">
        <v>3411</v>
      </c>
      <c r="K1625" t="s">
        <v>3412</v>
      </c>
      <c r="L1625" s="4">
        <v>10</v>
      </c>
      <c r="M1625" s="4">
        <v>0</v>
      </c>
      <c r="N1625">
        <v>10</v>
      </c>
      <c r="O1625" t="s">
        <v>457</v>
      </c>
      <c r="P1625">
        <v>330</v>
      </c>
      <c r="Q1625">
        <f>QtyRemaining*EstMfgMin/60</f>
        <v>55</v>
      </c>
      <c r="U1625" t="e">
        <f t="shared" si="52"/>
        <v>#REF!</v>
      </c>
      <c r="V1625" s="5" t="e">
        <f t="shared" si="53"/>
        <v>#REF!</v>
      </c>
    </row>
    <row r="1626" spans="1:22" x14ac:dyDescent="0.25">
      <c r="A1626" s="2">
        <v>46196</v>
      </c>
      <c r="B1626" s="2">
        <v>46009</v>
      </c>
      <c r="C1626" t="s">
        <v>465</v>
      </c>
      <c r="D1626">
        <v>26</v>
      </c>
      <c r="E1626" t="s">
        <v>1724</v>
      </c>
      <c r="F1626" t="s">
        <v>211</v>
      </c>
      <c r="G1626" t="s">
        <v>467</v>
      </c>
      <c r="H1626" t="s">
        <v>1725</v>
      </c>
      <c r="I1626" t="s">
        <v>214</v>
      </c>
      <c r="J1626" s="3" t="s">
        <v>3106</v>
      </c>
      <c r="K1626" t="s">
        <v>3107</v>
      </c>
      <c r="L1626" s="4">
        <v>1</v>
      </c>
      <c r="M1626" s="4">
        <v>0</v>
      </c>
      <c r="N1626">
        <v>1</v>
      </c>
      <c r="O1626" t="s">
        <v>176</v>
      </c>
      <c r="P1626">
        <v>18</v>
      </c>
      <c r="Q1626">
        <f>QtyRemaining*EstMfgMin/60</f>
        <v>0.3</v>
      </c>
      <c r="U1626" t="e">
        <f t="shared" si="52"/>
        <v>#REF!</v>
      </c>
      <c r="V1626" s="5" t="e">
        <f t="shared" si="53"/>
        <v>#REF!</v>
      </c>
    </row>
    <row r="1627" spans="1:22" x14ac:dyDescent="0.25">
      <c r="A1627" s="2">
        <v>46196</v>
      </c>
      <c r="B1627" s="2">
        <v>46030</v>
      </c>
      <c r="C1627" t="s">
        <v>478</v>
      </c>
      <c r="D1627">
        <v>26</v>
      </c>
      <c r="E1627" t="s">
        <v>2947</v>
      </c>
      <c r="F1627" t="s">
        <v>261</v>
      </c>
      <c r="G1627" t="s">
        <v>2948</v>
      </c>
      <c r="H1627" t="s">
        <v>2949</v>
      </c>
      <c r="I1627" t="s">
        <v>45</v>
      </c>
      <c r="J1627" s="3" t="s">
        <v>3413</v>
      </c>
      <c r="K1627" t="s">
        <v>3414</v>
      </c>
      <c r="L1627" s="4">
        <v>70</v>
      </c>
      <c r="M1627" s="4">
        <v>0</v>
      </c>
      <c r="N1627">
        <v>70</v>
      </c>
      <c r="O1627" t="s">
        <v>151</v>
      </c>
      <c r="P1627">
        <v>5</v>
      </c>
      <c r="Q1627">
        <f>QtyRemaining*EstMfgMin/60</f>
        <v>5.833333333333333</v>
      </c>
      <c r="U1627" t="e">
        <f t="shared" si="52"/>
        <v>#REF!</v>
      </c>
      <c r="V1627" s="5" t="e">
        <f t="shared" si="53"/>
        <v>#REF!</v>
      </c>
    </row>
    <row r="1628" spans="1:22" x14ac:dyDescent="0.25">
      <c r="A1628" s="2">
        <v>46197</v>
      </c>
      <c r="B1628" s="2">
        <v>45142</v>
      </c>
      <c r="C1628" t="s">
        <v>485</v>
      </c>
      <c r="D1628">
        <v>26</v>
      </c>
      <c r="E1628" t="s">
        <v>486</v>
      </c>
      <c r="F1628" t="s">
        <v>211</v>
      </c>
      <c r="G1628" t="s">
        <v>487</v>
      </c>
      <c r="H1628" t="s">
        <v>488</v>
      </c>
      <c r="I1628" t="s">
        <v>83</v>
      </c>
      <c r="J1628" s="3" t="s">
        <v>489</v>
      </c>
      <c r="K1628" t="s">
        <v>490</v>
      </c>
      <c r="L1628" s="4">
        <v>40</v>
      </c>
      <c r="M1628" s="4">
        <v>0</v>
      </c>
      <c r="N1628">
        <v>40</v>
      </c>
      <c r="O1628" t="s">
        <v>94</v>
      </c>
      <c r="P1628">
        <v>56</v>
      </c>
      <c r="Q1628">
        <f>QtyRemaining*EstMfgMin/60</f>
        <v>37.333333333333336</v>
      </c>
      <c r="U1628" t="e">
        <f t="shared" si="52"/>
        <v>#REF!</v>
      </c>
      <c r="V1628" s="5" t="e">
        <f t="shared" si="53"/>
        <v>#REF!</v>
      </c>
    </row>
    <row r="1629" spans="1:22" x14ac:dyDescent="0.25">
      <c r="A1629" s="2">
        <v>46197</v>
      </c>
      <c r="B1629" s="2">
        <v>45957</v>
      </c>
      <c r="C1629" t="s">
        <v>650</v>
      </c>
      <c r="D1629">
        <v>26</v>
      </c>
      <c r="E1629" t="s">
        <v>3415</v>
      </c>
      <c r="F1629" t="s">
        <v>283</v>
      </c>
      <c r="G1629" t="s">
        <v>652</v>
      </c>
      <c r="H1629" t="s">
        <v>3416</v>
      </c>
      <c r="I1629" t="s">
        <v>1087</v>
      </c>
      <c r="J1629" s="3" t="s">
        <v>3333</v>
      </c>
      <c r="K1629" t="s">
        <v>3334</v>
      </c>
      <c r="L1629" s="4">
        <v>7</v>
      </c>
      <c r="M1629" s="4">
        <v>0</v>
      </c>
      <c r="N1629">
        <v>7</v>
      </c>
      <c r="O1629" t="s">
        <v>1090</v>
      </c>
      <c r="P1629">
        <v>45</v>
      </c>
      <c r="Q1629">
        <f>QtyRemaining*EstMfgMin/60</f>
        <v>5.25</v>
      </c>
      <c r="R1629" t="s">
        <v>1062</v>
      </c>
      <c r="U1629" t="e">
        <f t="shared" si="52"/>
        <v>#REF!</v>
      </c>
      <c r="V1629" s="5" t="e">
        <f t="shared" si="53"/>
        <v>#REF!</v>
      </c>
    </row>
    <row r="1630" spans="1:22" x14ac:dyDescent="0.25">
      <c r="A1630" s="2">
        <v>46197</v>
      </c>
      <c r="B1630" s="2">
        <v>45995</v>
      </c>
      <c r="C1630" t="s">
        <v>485</v>
      </c>
      <c r="D1630">
        <v>26</v>
      </c>
      <c r="E1630" t="s">
        <v>2742</v>
      </c>
      <c r="F1630" t="s">
        <v>211</v>
      </c>
      <c r="G1630" t="s">
        <v>864</v>
      </c>
      <c r="H1630" t="s">
        <v>2743</v>
      </c>
      <c r="I1630" t="s">
        <v>214</v>
      </c>
      <c r="J1630" s="3" t="s">
        <v>2744</v>
      </c>
      <c r="K1630" t="s">
        <v>2745</v>
      </c>
      <c r="L1630" s="4">
        <v>125</v>
      </c>
      <c r="M1630" s="4">
        <v>0</v>
      </c>
      <c r="N1630">
        <v>125</v>
      </c>
      <c r="O1630" t="s">
        <v>211</v>
      </c>
      <c r="P1630">
        <v>5</v>
      </c>
      <c r="Q1630">
        <f>QtyRemaining*EstMfgMin/60</f>
        <v>10.416666666666666</v>
      </c>
      <c r="U1630" t="e">
        <f t="shared" si="52"/>
        <v>#REF!</v>
      </c>
      <c r="V1630" s="5" t="e">
        <f t="shared" si="53"/>
        <v>#REF!</v>
      </c>
    </row>
    <row r="1631" spans="1:22" x14ac:dyDescent="0.25">
      <c r="A1631" s="2">
        <v>46197</v>
      </c>
      <c r="B1631" s="2">
        <v>45995</v>
      </c>
      <c r="C1631" t="s">
        <v>485</v>
      </c>
      <c r="D1631">
        <v>26</v>
      </c>
      <c r="E1631" t="s">
        <v>2742</v>
      </c>
      <c r="F1631" t="s">
        <v>211</v>
      </c>
      <c r="G1631" t="s">
        <v>864</v>
      </c>
      <c r="H1631" t="s">
        <v>2743</v>
      </c>
      <c r="I1631" t="s">
        <v>214</v>
      </c>
      <c r="J1631" s="3" t="s">
        <v>2746</v>
      </c>
      <c r="K1631" t="s">
        <v>2747</v>
      </c>
      <c r="L1631" s="4">
        <v>100</v>
      </c>
      <c r="M1631" s="4">
        <v>0</v>
      </c>
      <c r="N1631">
        <v>100</v>
      </c>
      <c r="O1631" t="s">
        <v>211</v>
      </c>
      <c r="P1631">
        <v>12</v>
      </c>
      <c r="Q1631">
        <f>QtyRemaining*EstMfgMin/60</f>
        <v>20</v>
      </c>
      <c r="U1631" t="e">
        <f t="shared" si="52"/>
        <v>#REF!</v>
      </c>
      <c r="V1631" s="5" t="e">
        <f t="shared" si="53"/>
        <v>#REF!</v>
      </c>
    </row>
    <row r="1632" spans="1:22" x14ac:dyDescent="0.25">
      <c r="A1632" s="2">
        <v>46197</v>
      </c>
      <c r="B1632" s="2">
        <v>45995</v>
      </c>
      <c r="C1632" t="s">
        <v>485</v>
      </c>
      <c r="D1632">
        <v>26</v>
      </c>
      <c r="E1632" t="s">
        <v>2748</v>
      </c>
      <c r="F1632" t="s">
        <v>211</v>
      </c>
      <c r="G1632" t="s">
        <v>864</v>
      </c>
      <c r="H1632" t="s">
        <v>2749</v>
      </c>
      <c r="I1632" t="s">
        <v>214</v>
      </c>
      <c r="J1632" s="3" t="s">
        <v>2750</v>
      </c>
      <c r="K1632" t="s">
        <v>2751</v>
      </c>
      <c r="L1632" s="4">
        <v>50</v>
      </c>
      <c r="M1632" s="4">
        <v>0</v>
      </c>
      <c r="N1632">
        <v>50</v>
      </c>
      <c r="O1632" t="s">
        <v>86</v>
      </c>
      <c r="P1632">
        <v>28</v>
      </c>
      <c r="Q1632">
        <f>QtyRemaining*EstMfgMin/60</f>
        <v>23.333333333333332</v>
      </c>
      <c r="U1632" t="e">
        <f t="shared" si="52"/>
        <v>#REF!</v>
      </c>
      <c r="V1632" s="5" t="e">
        <f t="shared" si="53"/>
        <v>#REF!</v>
      </c>
    </row>
    <row r="1633" spans="1:22" x14ac:dyDescent="0.25">
      <c r="A1633" s="2">
        <v>46197</v>
      </c>
      <c r="B1633" s="2">
        <v>45995</v>
      </c>
      <c r="C1633" t="s">
        <v>485</v>
      </c>
      <c r="D1633">
        <v>26</v>
      </c>
      <c r="E1633" t="s">
        <v>2748</v>
      </c>
      <c r="F1633" t="s">
        <v>211</v>
      </c>
      <c r="G1633" t="s">
        <v>864</v>
      </c>
      <c r="H1633" t="s">
        <v>2749</v>
      </c>
      <c r="I1633" t="s">
        <v>214</v>
      </c>
      <c r="J1633" s="3" t="s">
        <v>2662</v>
      </c>
      <c r="K1633" t="s">
        <v>1776</v>
      </c>
      <c r="L1633" s="4">
        <v>150</v>
      </c>
      <c r="M1633" s="4">
        <v>0</v>
      </c>
      <c r="N1633">
        <v>150</v>
      </c>
      <c r="O1633" t="s">
        <v>176</v>
      </c>
      <c r="P1633">
        <v>9</v>
      </c>
      <c r="Q1633">
        <f>QtyRemaining*EstMfgMin/60</f>
        <v>22.5</v>
      </c>
      <c r="U1633" t="e">
        <f t="shared" si="52"/>
        <v>#REF!</v>
      </c>
      <c r="V1633" s="5" t="e">
        <f t="shared" si="53"/>
        <v>#REF!</v>
      </c>
    </row>
    <row r="1634" spans="1:22" x14ac:dyDescent="0.25">
      <c r="A1634" s="2">
        <v>46197</v>
      </c>
      <c r="B1634" s="2">
        <v>46003</v>
      </c>
      <c r="C1634" t="s">
        <v>478</v>
      </c>
      <c r="D1634">
        <v>26</v>
      </c>
      <c r="E1634" t="s">
        <v>2421</v>
      </c>
      <c r="F1634" t="s">
        <v>261</v>
      </c>
      <c r="G1634" t="s">
        <v>670</v>
      </c>
      <c r="H1634" t="s">
        <v>2422</v>
      </c>
      <c r="I1634" t="s">
        <v>83</v>
      </c>
      <c r="J1634" s="3" t="s">
        <v>3417</v>
      </c>
      <c r="K1634" t="s">
        <v>3418</v>
      </c>
      <c r="L1634" s="4">
        <v>150</v>
      </c>
      <c r="M1634" s="4">
        <v>0</v>
      </c>
      <c r="N1634">
        <v>150</v>
      </c>
      <c r="O1634" t="s">
        <v>118</v>
      </c>
      <c r="P1634">
        <v>72</v>
      </c>
      <c r="Q1634">
        <f>QtyRemaining*EstMfgMin/60</f>
        <v>180</v>
      </c>
      <c r="U1634" t="e">
        <f t="shared" si="52"/>
        <v>#REF!</v>
      </c>
      <c r="V1634" s="5" t="e">
        <f t="shared" si="53"/>
        <v>#REF!</v>
      </c>
    </row>
    <row r="1635" spans="1:22" x14ac:dyDescent="0.25">
      <c r="A1635" s="2">
        <v>46197</v>
      </c>
      <c r="B1635" s="2">
        <v>46003</v>
      </c>
      <c r="C1635" t="s">
        <v>478</v>
      </c>
      <c r="D1635">
        <v>26</v>
      </c>
      <c r="E1635" t="s">
        <v>2421</v>
      </c>
      <c r="F1635" t="s">
        <v>261</v>
      </c>
      <c r="G1635" t="s">
        <v>670</v>
      </c>
      <c r="H1635" t="s">
        <v>2422</v>
      </c>
      <c r="I1635" t="s">
        <v>83</v>
      </c>
      <c r="J1635" s="3" t="s">
        <v>3419</v>
      </c>
      <c r="K1635" t="s">
        <v>2937</v>
      </c>
      <c r="L1635" s="4">
        <v>75</v>
      </c>
      <c r="M1635" s="4">
        <v>0</v>
      </c>
      <c r="N1635">
        <v>75</v>
      </c>
      <c r="O1635" t="s">
        <v>118</v>
      </c>
      <c r="P1635">
        <v>35</v>
      </c>
      <c r="Q1635">
        <f>QtyRemaining*EstMfgMin/60</f>
        <v>43.75</v>
      </c>
      <c r="U1635" t="e">
        <f t="shared" si="52"/>
        <v>#REF!</v>
      </c>
      <c r="V1635" s="5" t="e">
        <f t="shared" si="53"/>
        <v>#REF!</v>
      </c>
    </row>
    <row r="1636" spans="1:22" x14ac:dyDescent="0.25">
      <c r="A1636" s="2">
        <v>46197</v>
      </c>
      <c r="B1636" s="2">
        <v>46027</v>
      </c>
      <c r="C1636" t="s">
        <v>287</v>
      </c>
      <c r="D1636">
        <v>26</v>
      </c>
      <c r="E1636" t="s">
        <v>2672</v>
      </c>
      <c r="F1636" t="s">
        <v>211</v>
      </c>
      <c r="G1636" t="s">
        <v>289</v>
      </c>
      <c r="H1636" t="s">
        <v>2673</v>
      </c>
      <c r="I1636" t="s">
        <v>214</v>
      </c>
      <c r="J1636" s="3" t="s">
        <v>2674</v>
      </c>
      <c r="K1636" t="s">
        <v>2675</v>
      </c>
      <c r="L1636" s="4">
        <v>300</v>
      </c>
      <c r="M1636" s="4">
        <v>0</v>
      </c>
      <c r="N1636">
        <v>300</v>
      </c>
      <c r="O1636" t="s">
        <v>86</v>
      </c>
      <c r="P1636">
        <v>10</v>
      </c>
      <c r="Q1636">
        <f>QtyRemaining*EstMfgMin/60</f>
        <v>50</v>
      </c>
      <c r="U1636" t="e">
        <f t="shared" si="52"/>
        <v>#REF!</v>
      </c>
      <c r="V1636" s="5" t="e">
        <f t="shared" si="53"/>
        <v>#REF!</v>
      </c>
    </row>
    <row r="1637" spans="1:22" x14ac:dyDescent="0.25">
      <c r="A1637" s="2">
        <v>46197</v>
      </c>
      <c r="B1637" s="2">
        <v>46045</v>
      </c>
      <c r="C1637" t="s">
        <v>465</v>
      </c>
      <c r="D1637">
        <v>26</v>
      </c>
      <c r="E1637" t="s">
        <v>2161</v>
      </c>
      <c r="F1637" t="s">
        <v>211</v>
      </c>
      <c r="G1637" t="s">
        <v>467</v>
      </c>
      <c r="H1637" t="s">
        <v>2162</v>
      </c>
      <c r="I1637" t="s">
        <v>214</v>
      </c>
      <c r="J1637" s="3" t="s">
        <v>1996</v>
      </c>
      <c r="K1637" t="s">
        <v>1997</v>
      </c>
      <c r="L1637" s="4">
        <v>1</v>
      </c>
      <c r="M1637" s="4">
        <v>0</v>
      </c>
      <c r="N1637">
        <v>1</v>
      </c>
      <c r="O1637" t="s">
        <v>266</v>
      </c>
      <c r="P1637">
        <v>150</v>
      </c>
      <c r="Q1637">
        <f>QtyRemaining*EstMfgMin/60</f>
        <v>2.5</v>
      </c>
      <c r="U1637" t="e">
        <f t="shared" si="52"/>
        <v>#REF!</v>
      </c>
      <c r="V1637" s="5" t="e">
        <f t="shared" si="53"/>
        <v>#REF!</v>
      </c>
    </row>
    <row r="1638" spans="1:22" x14ac:dyDescent="0.25">
      <c r="A1638" s="2">
        <v>46202</v>
      </c>
      <c r="B1638" s="2">
        <v>45959</v>
      </c>
      <c r="C1638" t="s">
        <v>1821</v>
      </c>
      <c r="D1638">
        <v>27</v>
      </c>
      <c r="E1638" t="s">
        <v>3420</v>
      </c>
      <c r="F1638" t="s">
        <v>261</v>
      </c>
      <c r="G1638" t="s">
        <v>1684</v>
      </c>
      <c r="H1638" t="s">
        <v>3421</v>
      </c>
      <c r="I1638" t="s">
        <v>83</v>
      </c>
      <c r="J1638" s="3" t="s">
        <v>3422</v>
      </c>
      <c r="K1638" t="s">
        <v>3423</v>
      </c>
      <c r="L1638" s="4">
        <v>20</v>
      </c>
      <c r="M1638" s="4">
        <v>0</v>
      </c>
      <c r="N1638">
        <v>20</v>
      </c>
      <c r="O1638" t="s">
        <v>176</v>
      </c>
      <c r="P1638">
        <v>120</v>
      </c>
      <c r="Q1638">
        <f>QtyRemaining*EstMfgMin/60</f>
        <v>40</v>
      </c>
      <c r="U1638" t="e">
        <f t="shared" si="52"/>
        <v>#REF!</v>
      </c>
      <c r="V1638" s="5" t="e">
        <f t="shared" si="53"/>
        <v>#REF!</v>
      </c>
    </row>
    <row r="1639" spans="1:22" x14ac:dyDescent="0.25">
      <c r="A1639" s="2">
        <v>46202</v>
      </c>
      <c r="B1639" s="2">
        <v>46000</v>
      </c>
      <c r="C1639" t="s">
        <v>1191</v>
      </c>
      <c r="D1639">
        <v>27</v>
      </c>
      <c r="E1639" t="s">
        <v>3424</v>
      </c>
      <c r="F1639" t="s">
        <v>211</v>
      </c>
      <c r="G1639" t="s">
        <v>1679</v>
      </c>
      <c r="H1639" t="s">
        <v>3425</v>
      </c>
      <c r="I1639" t="s">
        <v>214</v>
      </c>
      <c r="J1639" s="3" t="s">
        <v>1681</v>
      </c>
      <c r="K1639" t="s">
        <v>1682</v>
      </c>
      <c r="L1639" s="4">
        <v>100</v>
      </c>
      <c r="M1639" s="4">
        <v>0</v>
      </c>
      <c r="N1639">
        <v>100</v>
      </c>
      <c r="O1639" t="s">
        <v>146</v>
      </c>
      <c r="P1639">
        <v>5</v>
      </c>
      <c r="Q1639">
        <f>QtyRemaining*EstMfgMin/60</f>
        <v>8.3333333333333339</v>
      </c>
      <c r="U1639" t="e">
        <f t="shared" si="52"/>
        <v>#REF!</v>
      </c>
      <c r="V1639" s="5" t="e">
        <f t="shared" si="53"/>
        <v>#REF!</v>
      </c>
    </row>
    <row r="1640" spans="1:22" x14ac:dyDescent="0.25">
      <c r="A1640" s="2">
        <v>46202</v>
      </c>
      <c r="B1640" s="2">
        <v>46013</v>
      </c>
      <c r="C1640" t="s">
        <v>478</v>
      </c>
      <c r="D1640">
        <v>27</v>
      </c>
      <c r="E1640" t="s">
        <v>1573</v>
      </c>
      <c r="F1640" t="s">
        <v>261</v>
      </c>
      <c r="G1640" t="s">
        <v>1021</v>
      </c>
      <c r="H1640" t="s">
        <v>1574</v>
      </c>
      <c r="I1640" t="s">
        <v>83</v>
      </c>
      <c r="J1640" s="3" t="s">
        <v>3426</v>
      </c>
      <c r="K1640" t="s">
        <v>3427</v>
      </c>
      <c r="L1640" s="4">
        <v>22</v>
      </c>
      <c r="M1640" s="4">
        <v>0</v>
      </c>
      <c r="N1640">
        <v>22</v>
      </c>
      <c r="O1640" t="s">
        <v>176</v>
      </c>
      <c r="P1640">
        <v>20</v>
      </c>
      <c r="Q1640">
        <f>QtyRemaining*EstMfgMin/60</f>
        <v>7.333333333333333</v>
      </c>
      <c r="U1640" t="e">
        <f t="shared" si="52"/>
        <v>#REF!</v>
      </c>
      <c r="V1640" s="5" t="e">
        <f t="shared" si="53"/>
        <v>#REF!</v>
      </c>
    </row>
    <row r="1641" spans="1:22" x14ac:dyDescent="0.25">
      <c r="A1641" s="2">
        <v>46202</v>
      </c>
      <c r="B1641" s="2">
        <v>46013</v>
      </c>
      <c r="C1641" t="s">
        <v>478</v>
      </c>
      <c r="D1641">
        <v>27</v>
      </c>
      <c r="E1641" t="s">
        <v>1573</v>
      </c>
      <c r="F1641" t="s">
        <v>261</v>
      </c>
      <c r="G1641" t="s">
        <v>1021</v>
      </c>
      <c r="H1641" t="s">
        <v>1574</v>
      </c>
      <c r="I1641" t="s">
        <v>874</v>
      </c>
      <c r="J1641" s="3" t="s">
        <v>875</v>
      </c>
      <c r="K1641" t="s">
        <v>3428</v>
      </c>
      <c r="L1641" s="4">
        <v>1</v>
      </c>
      <c r="M1641" s="4">
        <v>0</v>
      </c>
      <c r="N1641">
        <v>1</v>
      </c>
      <c r="P1641">
        <v>0</v>
      </c>
      <c r="Q1641">
        <f>QtyRemaining*EstMfgMin/60</f>
        <v>0</v>
      </c>
      <c r="U1641" t="e">
        <f t="shared" si="52"/>
        <v>#REF!</v>
      </c>
      <c r="V1641" s="5" t="e">
        <f t="shared" si="53"/>
        <v>#REF!</v>
      </c>
    </row>
    <row r="1642" spans="1:22" x14ac:dyDescent="0.25">
      <c r="A1642" s="2">
        <v>46202</v>
      </c>
      <c r="B1642" s="2">
        <v>46049</v>
      </c>
      <c r="C1642" t="s">
        <v>633</v>
      </c>
      <c r="D1642">
        <v>27</v>
      </c>
      <c r="E1642" t="s">
        <v>3429</v>
      </c>
      <c r="F1642" t="s">
        <v>261</v>
      </c>
      <c r="G1642" t="s">
        <v>262</v>
      </c>
      <c r="H1642" t="s">
        <v>3430</v>
      </c>
      <c r="I1642" t="s">
        <v>155</v>
      </c>
      <c r="J1642" s="3" t="s">
        <v>787</v>
      </c>
      <c r="K1642" t="s">
        <v>788</v>
      </c>
      <c r="L1642" s="4">
        <v>34</v>
      </c>
      <c r="M1642" s="4">
        <v>0</v>
      </c>
      <c r="N1642">
        <v>34</v>
      </c>
      <c r="O1642" t="s">
        <v>457</v>
      </c>
      <c r="P1642">
        <v>100</v>
      </c>
      <c r="Q1642">
        <f>QtyRemaining*EstMfgMin/60</f>
        <v>56.666666666666664</v>
      </c>
      <c r="U1642" t="e">
        <f t="shared" si="52"/>
        <v>#REF!</v>
      </c>
      <c r="V1642" s="5" t="e">
        <f t="shared" si="53"/>
        <v>#REF!</v>
      </c>
    </row>
    <row r="1643" spans="1:22" x14ac:dyDescent="0.25">
      <c r="A1643" s="2">
        <v>46203</v>
      </c>
      <c r="B1643" s="2">
        <v>45953</v>
      </c>
      <c r="C1643" t="s">
        <v>633</v>
      </c>
      <c r="D1643">
        <v>27</v>
      </c>
      <c r="E1643" t="s">
        <v>3431</v>
      </c>
      <c r="F1643" t="s">
        <v>261</v>
      </c>
      <c r="G1643" t="s">
        <v>262</v>
      </c>
      <c r="H1643" t="s">
        <v>3432</v>
      </c>
      <c r="I1643" t="s">
        <v>45</v>
      </c>
      <c r="J1643" s="3" t="s">
        <v>3433</v>
      </c>
      <c r="K1643" t="s">
        <v>3434</v>
      </c>
      <c r="L1643" s="4">
        <v>218</v>
      </c>
      <c r="M1643" s="4">
        <v>0</v>
      </c>
      <c r="N1643">
        <v>218</v>
      </c>
      <c r="O1643" t="s">
        <v>266</v>
      </c>
      <c r="P1643">
        <v>46</v>
      </c>
      <c r="Q1643">
        <f>QtyRemaining*EstMfgMin/60</f>
        <v>167.13333333333333</v>
      </c>
      <c r="U1643" t="e">
        <f t="shared" si="52"/>
        <v>#REF!</v>
      </c>
      <c r="V1643" s="5" t="e">
        <f t="shared" si="53"/>
        <v>#REF!</v>
      </c>
    </row>
    <row r="1644" spans="1:22" x14ac:dyDescent="0.25">
      <c r="A1644" s="2">
        <v>46204</v>
      </c>
      <c r="B1644" s="2">
        <v>45981</v>
      </c>
      <c r="C1644" t="s">
        <v>478</v>
      </c>
      <c r="D1644">
        <v>27</v>
      </c>
      <c r="E1644" t="s">
        <v>1909</v>
      </c>
      <c r="F1644" t="s">
        <v>261</v>
      </c>
      <c r="G1644" t="s">
        <v>670</v>
      </c>
      <c r="H1644" t="s">
        <v>1910</v>
      </c>
      <c r="I1644" t="s">
        <v>83</v>
      </c>
      <c r="J1644" s="3" t="s">
        <v>3435</v>
      </c>
      <c r="K1644" t="s">
        <v>3100</v>
      </c>
      <c r="L1644" s="4">
        <v>210</v>
      </c>
      <c r="M1644" s="4">
        <v>0</v>
      </c>
      <c r="N1644">
        <v>210</v>
      </c>
      <c r="O1644" t="s">
        <v>176</v>
      </c>
      <c r="P1644">
        <v>120</v>
      </c>
      <c r="Q1644">
        <f>QtyRemaining*EstMfgMin/60</f>
        <v>420</v>
      </c>
      <c r="U1644" t="e">
        <f t="shared" si="52"/>
        <v>#REF!</v>
      </c>
      <c r="V1644" s="5" t="e">
        <f t="shared" si="53"/>
        <v>#REF!</v>
      </c>
    </row>
    <row r="1645" spans="1:22" x14ac:dyDescent="0.25">
      <c r="A1645" s="2">
        <v>46204</v>
      </c>
      <c r="B1645" s="2">
        <v>46049</v>
      </c>
      <c r="C1645" t="s">
        <v>633</v>
      </c>
      <c r="D1645">
        <v>27</v>
      </c>
      <c r="E1645" t="s">
        <v>3436</v>
      </c>
      <c r="F1645" t="s">
        <v>261</v>
      </c>
      <c r="G1645" t="s">
        <v>262</v>
      </c>
      <c r="H1645" t="s">
        <v>3437</v>
      </c>
      <c r="I1645" t="s">
        <v>155</v>
      </c>
      <c r="J1645" s="3" t="s">
        <v>3407</v>
      </c>
      <c r="K1645" t="s">
        <v>3408</v>
      </c>
      <c r="L1645" s="4">
        <v>56</v>
      </c>
      <c r="M1645" s="4">
        <v>0</v>
      </c>
      <c r="N1645">
        <v>56</v>
      </c>
      <c r="O1645" t="s">
        <v>151</v>
      </c>
      <c r="P1645">
        <v>15</v>
      </c>
      <c r="Q1645">
        <f>QtyRemaining*EstMfgMin/60</f>
        <v>14</v>
      </c>
      <c r="U1645" t="e">
        <f t="shared" si="52"/>
        <v>#REF!</v>
      </c>
      <c r="V1645" s="5" t="e">
        <f t="shared" si="53"/>
        <v>#REF!</v>
      </c>
    </row>
    <row r="1646" spans="1:22" x14ac:dyDescent="0.25">
      <c r="A1646" s="2">
        <v>46205</v>
      </c>
      <c r="B1646" s="2">
        <v>46014</v>
      </c>
      <c r="C1646" t="s">
        <v>1168</v>
      </c>
      <c r="D1646">
        <v>27</v>
      </c>
      <c r="E1646" t="s">
        <v>3438</v>
      </c>
      <c r="F1646" t="s">
        <v>283</v>
      </c>
      <c r="G1646" t="s">
        <v>1170</v>
      </c>
      <c r="H1646" t="s">
        <v>3439</v>
      </c>
      <c r="I1646" t="s">
        <v>224</v>
      </c>
      <c r="J1646" s="3" t="s">
        <v>3052</v>
      </c>
      <c r="K1646" t="s">
        <v>3053</v>
      </c>
      <c r="L1646" s="4">
        <v>15</v>
      </c>
      <c r="M1646" s="4">
        <v>0</v>
      </c>
      <c r="N1646">
        <v>15</v>
      </c>
      <c r="P1646">
        <v>60</v>
      </c>
      <c r="Q1646">
        <f>QtyRemaining*EstMfgMin/60</f>
        <v>15</v>
      </c>
      <c r="U1646" t="e">
        <f t="shared" si="52"/>
        <v>#REF!</v>
      </c>
      <c r="V1646" s="5" t="e">
        <f t="shared" si="53"/>
        <v>#REF!</v>
      </c>
    </row>
    <row r="1647" spans="1:22" x14ac:dyDescent="0.25">
      <c r="A1647" s="2">
        <v>46206</v>
      </c>
      <c r="B1647" s="2">
        <v>46021</v>
      </c>
      <c r="C1647" t="s">
        <v>485</v>
      </c>
      <c r="D1647">
        <v>27</v>
      </c>
      <c r="E1647" t="s">
        <v>3440</v>
      </c>
      <c r="F1647" t="s">
        <v>211</v>
      </c>
      <c r="G1647" t="s">
        <v>1645</v>
      </c>
      <c r="H1647" t="s">
        <v>3441</v>
      </c>
      <c r="I1647" t="s">
        <v>214</v>
      </c>
      <c r="J1647" s="3" t="s">
        <v>2009</v>
      </c>
      <c r="K1647" t="s">
        <v>2010</v>
      </c>
      <c r="L1647" s="4">
        <v>200</v>
      </c>
      <c r="M1647" s="4">
        <v>0</v>
      </c>
      <c r="N1647">
        <v>200</v>
      </c>
      <c r="O1647" t="s">
        <v>86</v>
      </c>
      <c r="P1647">
        <v>8</v>
      </c>
      <c r="Q1647">
        <f>QtyRemaining*EstMfgMin/60</f>
        <v>26.666666666666668</v>
      </c>
      <c r="U1647" t="e">
        <f t="shared" si="52"/>
        <v>#REF!</v>
      </c>
      <c r="V1647" s="5" t="e">
        <f t="shared" si="53"/>
        <v>#REF!</v>
      </c>
    </row>
    <row r="1648" spans="1:22" x14ac:dyDescent="0.25">
      <c r="A1648" s="2">
        <v>46209</v>
      </c>
      <c r="B1648" s="2">
        <v>46045</v>
      </c>
      <c r="C1648" t="s">
        <v>485</v>
      </c>
      <c r="D1648">
        <v>28</v>
      </c>
      <c r="E1648" t="s">
        <v>2882</v>
      </c>
      <c r="F1648" t="s">
        <v>211</v>
      </c>
      <c r="G1648" t="s">
        <v>864</v>
      </c>
      <c r="H1648" t="s">
        <v>2883</v>
      </c>
      <c r="I1648" t="s">
        <v>214</v>
      </c>
      <c r="J1648" s="3" t="s">
        <v>1773</v>
      </c>
      <c r="K1648" t="s">
        <v>1774</v>
      </c>
      <c r="L1648" s="4">
        <v>100</v>
      </c>
      <c r="M1648" s="4">
        <v>0</v>
      </c>
      <c r="N1648">
        <v>100</v>
      </c>
      <c r="O1648" t="s">
        <v>176</v>
      </c>
      <c r="P1648">
        <v>7</v>
      </c>
      <c r="Q1648">
        <f>QtyRemaining*EstMfgMin/60</f>
        <v>11.666666666666666</v>
      </c>
      <c r="U1648" t="e">
        <f t="shared" si="52"/>
        <v>#REF!</v>
      </c>
      <c r="V1648" s="5" t="e">
        <f t="shared" si="53"/>
        <v>#REF!</v>
      </c>
    </row>
    <row r="1649" spans="1:22" x14ac:dyDescent="0.25">
      <c r="A1649" s="2">
        <v>46211</v>
      </c>
      <c r="B1649" s="2">
        <v>45700</v>
      </c>
      <c r="C1649" t="s">
        <v>523</v>
      </c>
      <c r="D1649">
        <v>28</v>
      </c>
      <c r="E1649" t="s">
        <v>524</v>
      </c>
      <c r="F1649" t="s">
        <v>261</v>
      </c>
      <c r="G1649" t="s">
        <v>525</v>
      </c>
      <c r="H1649" t="s">
        <v>526</v>
      </c>
      <c r="I1649" t="s">
        <v>83</v>
      </c>
      <c r="J1649" s="3" t="s">
        <v>3103</v>
      </c>
      <c r="K1649" t="s">
        <v>1141</v>
      </c>
      <c r="L1649" s="4">
        <v>10</v>
      </c>
      <c r="M1649" s="4">
        <v>0</v>
      </c>
      <c r="N1649">
        <v>10</v>
      </c>
      <c r="O1649" t="s">
        <v>118</v>
      </c>
      <c r="P1649">
        <v>105</v>
      </c>
      <c r="Q1649">
        <f>QtyRemaining*EstMfgMin/60</f>
        <v>17.5</v>
      </c>
      <c r="U1649" t="e">
        <f t="shared" si="52"/>
        <v>#REF!</v>
      </c>
      <c r="V1649" s="5" t="e">
        <f t="shared" si="53"/>
        <v>#REF!</v>
      </c>
    </row>
    <row r="1650" spans="1:22" x14ac:dyDescent="0.25">
      <c r="A1650" s="2">
        <v>46211</v>
      </c>
      <c r="B1650" s="2">
        <v>45700</v>
      </c>
      <c r="C1650" t="s">
        <v>523</v>
      </c>
      <c r="D1650">
        <v>28</v>
      </c>
      <c r="E1650" t="s">
        <v>524</v>
      </c>
      <c r="F1650" t="s">
        <v>261</v>
      </c>
      <c r="G1650" t="s">
        <v>525</v>
      </c>
      <c r="H1650" t="s">
        <v>526</v>
      </c>
      <c r="I1650" t="s">
        <v>83</v>
      </c>
      <c r="J1650" s="3" t="s">
        <v>1142</v>
      </c>
      <c r="K1650" t="s">
        <v>1141</v>
      </c>
      <c r="L1650" s="4">
        <v>7</v>
      </c>
      <c r="M1650" s="4">
        <v>0</v>
      </c>
      <c r="N1650">
        <v>7</v>
      </c>
      <c r="O1650" t="s">
        <v>118</v>
      </c>
      <c r="P1650">
        <v>105</v>
      </c>
      <c r="Q1650">
        <f>QtyRemaining*EstMfgMin/60</f>
        <v>12.25</v>
      </c>
      <c r="U1650" t="e">
        <f t="shared" si="52"/>
        <v>#REF!</v>
      </c>
      <c r="V1650" s="5" t="e">
        <f t="shared" si="53"/>
        <v>#REF!</v>
      </c>
    </row>
    <row r="1651" spans="1:22" x14ac:dyDescent="0.25">
      <c r="A1651" s="2">
        <v>46211</v>
      </c>
      <c r="B1651" s="2">
        <v>45700</v>
      </c>
      <c r="C1651" t="s">
        <v>523</v>
      </c>
      <c r="D1651">
        <v>28</v>
      </c>
      <c r="E1651" t="s">
        <v>524</v>
      </c>
      <c r="F1651" t="s">
        <v>261</v>
      </c>
      <c r="G1651" t="s">
        <v>525</v>
      </c>
      <c r="H1651" t="s">
        <v>526</v>
      </c>
      <c r="I1651" t="s">
        <v>83</v>
      </c>
      <c r="J1651" s="3" t="s">
        <v>1144</v>
      </c>
      <c r="K1651" t="s">
        <v>1141</v>
      </c>
      <c r="L1651" s="4">
        <v>10</v>
      </c>
      <c r="M1651" s="4">
        <v>0</v>
      </c>
      <c r="N1651">
        <v>10</v>
      </c>
      <c r="O1651" t="s">
        <v>118</v>
      </c>
      <c r="P1651">
        <v>105</v>
      </c>
      <c r="Q1651">
        <f>QtyRemaining*EstMfgMin/60</f>
        <v>17.5</v>
      </c>
      <c r="U1651" t="e">
        <f t="shared" si="52"/>
        <v>#REF!</v>
      </c>
      <c r="V1651" s="5" t="e">
        <f t="shared" si="53"/>
        <v>#REF!</v>
      </c>
    </row>
    <row r="1652" spans="1:22" x14ac:dyDescent="0.25">
      <c r="A1652" s="2">
        <v>46211</v>
      </c>
      <c r="B1652" s="2">
        <v>46013</v>
      </c>
      <c r="C1652" t="s">
        <v>478</v>
      </c>
      <c r="D1652">
        <v>28</v>
      </c>
      <c r="E1652" t="s">
        <v>1573</v>
      </c>
      <c r="F1652" t="s">
        <v>261</v>
      </c>
      <c r="G1652" t="s">
        <v>1021</v>
      </c>
      <c r="H1652" t="s">
        <v>1574</v>
      </c>
      <c r="I1652" t="s">
        <v>83</v>
      </c>
      <c r="J1652" s="3" t="s">
        <v>3442</v>
      </c>
      <c r="K1652" t="s">
        <v>3443</v>
      </c>
      <c r="L1652" s="4">
        <v>11</v>
      </c>
      <c r="M1652" s="4">
        <v>0</v>
      </c>
      <c r="N1652">
        <v>11</v>
      </c>
      <c r="O1652" t="s">
        <v>266</v>
      </c>
      <c r="P1652">
        <v>48</v>
      </c>
      <c r="Q1652">
        <f>QtyRemaining*EstMfgMin/60</f>
        <v>8.8000000000000007</v>
      </c>
      <c r="U1652" t="e">
        <f t="shared" si="52"/>
        <v>#REF!</v>
      </c>
      <c r="V1652" s="5" t="e">
        <f t="shared" si="53"/>
        <v>#REF!</v>
      </c>
    </row>
    <row r="1653" spans="1:22" x14ac:dyDescent="0.25">
      <c r="A1653" s="2">
        <v>46211</v>
      </c>
      <c r="B1653" s="2">
        <v>46013</v>
      </c>
      <c r="C1653" t="s">
        <v>478</v>
      </c>
      <c r="D1653">
        <v>28</v>
      </c>
      <c r="E1653" t="s">
        <v>1573</v>
      </c>
      <c r="F1653" t="s">
        <v>261</v>
      </c>
      <c r="G1653" t="s">
        <v>1021</v>
      </c>
      <c r="H1653" t="s">
        <v>1574</v>
      </c>
      <c r="I1653" t="s">
        <v>874</v>
      </c>
      <c r="J1653" s="3" t="s">
        <v>875</v>
      </c>
      <c r="K1653" t="s">
        <v>3444</v>
      </c>
      <c r="L1653" s="4">
        <v>1</v>
      </c>
      <c r="M1653" s="4">
        <v>0</v>
      </c>
      <c r="N1653">
        <v>1</v>
      </c>
      <c r="P1653">
        <v>0</v>
      </c>
      <c r="Q1653">
        <f>QtyRemaining*EstMfgMin/60</f>
        <v>0</v>
      </c>
      <c r="U1653" t="e">
        <f t="shared" si="52"/>
        <v>#REF!</v>
      </c>
      <c r="V1653" s="5" t="e">
        <f t="shared" si="53"/>
        <v>#REF!</v>
      </c>
    </row>
    <row r="1654" spans="1:22" x14ac:dyDescent="0.25">
      <c r="A1654" s="2">
        <v>46213</v>
      </c>
      <c r="B1654" s="2">
        <v>45632</v>
      </c>
      <c r="C1654" t="s">
        <v>478</v>
      </c>
      <c r="D1654">
        <v>28</v>
      </c>
      <c r="E1654" t="s">
        <v>1137</v>
      </c>
      <c r="F1654" t="s">
        <v>261</v>
      </c>
      <c r="G1654" t="s">
        <v>510</v>
      </c>
      <c r="H1654" t="s">
        <v>1138</v>
      </c>
      <c r="I1654" t="s">
        <v>122</v>
      </c>
      <c r="J1654" s="3" t="s">
        <v>512</v>
      </c>
      <c r="K1654" t="s">
        <v>513</v>
      </c>
      <c r="L1654" s="4">
        <v>5</v>
      </c>
      <c r="M1654" s="4">
        <v>0</v>
      </c>
      <c r="N1654">
        <v>5</v>
      </c>
      <c r="O1654" t="s">
        <v>1139</v>
      </c>
      <c r="P1654">
        <v>1394</v>
      </c>
      <c r="Q1654">
        <f>QtyRemaining*EstMfgMin/60</f>
        <v>116.16666666666667</v>
      </c>
      <c r="U1654" t="e">
        <f t="shared" si="52"/>
        <v>#REF!</v>
      </c>
      <c r="V1654" s="5" t="e">
        <f t="shared" si="53"/>
        <v>#REF!</v>
      </c>
    </row>
    <row r="1655" spans="1:22" x14ac:dyDescent="0.25">
      <c r="A1655" s="2">
        <v>46213</v>
      </c>
      <c r="B1655" s="2">
        <v>45959</v>
      </c>
      <c r="C1655" t="s">
        <v>1821</v>
      </c>
      <c r="D1655">
        <v>28</v>
      </c>
      <c r="E1655" t="s">
        <v>2546</v>
      </c>
      <c r="F1655" t="s">
        <v>261</v>
      </c>
      <c r="G1655" t="s">
        <v>2547</v>
      </c>
      <c r="H1655" t="s">
        <v>2548</v>
      </c>
      <c r="I1655" t="s">
        <v>83</v>
      </c>
      <c r="J1655" s="3" t="s">
        <v>2549</v>
      </c>
      <c r="K1655" t="s">
        <v>2550</v>
      </c>
      <c r="L1655" s="4">
        <v>37</v>
      </c>
      <c r="M1655" s="4">
        <v>0</v>
      </c>
      <c r="N1655">
        <v>37</v>
      </c>
      <c r="O1655" t="s">
        <v>283</v>
      </c>
      <c r="P1655">
        <v>40</v>
      </c>
      <c r="Q1655">
        <f>QtyRemaining*EstMfgMin/60</f>
        <v>24.666666666666668</v>
      </c>
      <c r="U1655" t="e">
        <f t="shared" si="52"/>
        <v>#REF!</v>
      </c>
      <c r="V1655" s="5" t="e">
        <f t="shared" si="53"/>
        <v>#REF!</v>
      </c>
    </row>
    <row r="1656" spans="1:22" x14ac:dyDescent="0.25">
      <c r="A1656" s="2">
        <v>46213</v>
      </c>
      <c r="B1656" s="2">
        <v>46028</v>
      </c>
      <c r="C1656" t="s">
        <v>1821</v>
      </c>
      <c r="D1656">
        <v>28</v>
      </c>
      <c r="E1656" t="s">
        <v>3148</v>
      </c>
      <c r="F1656" t="s">
        <v>261</v>
      </c>
      <c r="G1656" t="s">
        <v>1684</v>
      </c>
      <c r="H1656" t="s">
        <v>3149</v>
      </c>
      <c r="I1656" t="s">
        <v>83</v>
      </c>
      <c r="J1656" s="3" t="s">
        <v>3150</v>
      </c>
      <c r="K1656" t="s">
        <v>3151</v>
      </c>
      <c r="L1656" s="4">
        <v>100</v>
      </c>
      <c r="M1656" s="4">
        <v>0</v>
      </c>
      <c r="N1656">
        <v>100</v>
      </c>
      <c r="O1656" t="s">
        <v>1268</v>
      </c>
      <c r="P1656">
        <v>20</v>
      </c>
      <c r="Q1656">
        <f>QtyRemaining*EstMfgMin/60</f>
        <v>33.333333333333336</v>
      </c>
      <c r="U1656" t="e">
        <f t="shared" si="52"/>
        <v>#REF!</v>
      </c>
      <c r="V1656" s="5" t="e">
        <f t="shared" si="53"/>
        <v>#REF!</v>
      </c>
    </row>
    <row r="1657" spans="1:22" x14ac:dyDescent="0.25">
      <c r="A1657" s="2">
        <v>46216</v>
      </c>
      <c r="B1657" s="2">
        <v>46051</v>
      </c>
      <c r="C1657" t="s">
        <v>232</v>
      </c>
      <c r="D1657">
        <v>29</v>
      </c>
      <c r="E1657" t="s">
        <v>2938</v>
      </c>
      <c r="F1657" t="s">
        <v>211</v>
      </c>
      <c r="G1657" t="s">
        <v>270</v>
      </c>
      <c r="H1657" t="s">
        <v>2939</v>
      </c>
      <c r="I1657" t="s">
        <v>214</v>
      </c>
      <c r="J1657" s="3" t="s">
        <v>2940</v>
      </c>
      <c r="K1657" t="s">
        <v>2941</v>
      </c>
      <c r="L1657" s="4">
        <v>50</v>
      </c>
      <c r="M1657" s="4">
        <v>0</v>
      </c>
      <c r="N1657">
        <v>50</v>
      </c>
      <c r="O1657" t="s">
        <v>118</v>
      </c>
      <c r="P1657">
        <v>8</v>
      </c>
      <c r="Q1657">
        <f>QtyRemaining*EstMfgMin/60</f>
        <v>6.666666666666667</v>
      </c>
      <c r="U1657" t="e">
        <f t="shared" si="52"/>
        <v>#REF!</v>
      </c>
      <c r="V1657" s="5" t="e">
        <f t="shared" si="53"/>
        <v>#REF!</v>
      </c>
    </row>
    <row r="1658" spans="1:22" x14ac:dyDescent="0.25">
      <c r="A1658" s="2">
        <v>46218</v>
      </c>
      <c r="B1658" s="2">
        <v>45610</v>
      </c>
      <c r="C1658" t="s">
        <v>478</v>
      </c>
      <c r="D1658">
        <v>29</v>
      </c>
      <c r="E1658" t="s">
        <v>2892</v>
      </c>
      <c r="F1658" t="s">
        <v>261</v>
      </c>
      <c r="G1658" t="s">
        <v>1228</v>
      </c>
      <c r="H1658" t="s">
        <v>2893</v>
      </c>
      <c r="I1658" t="s">
        <v>155</v>
      </c>
      <c r="J1658" s="3" t="s">
        <v>2894</v>
      </c>
      <c r="K1658" t="s">
        <v>2895</v>
      </c>
      <c r="L1658" s="4">
        <v>20</v>
      </c>
      <c r="M1658" s="4">
        <v>0</v>
      </c>
      <c r="N1658">
        <v>20</v>
      </c>
      <c r="O1658" t="s">
        <v>86</v>
      </c>
      <c r="P1658">
        <v>80</v>
      </c>
      <c r="Q1658">
        <f>QtyRemaining*EstMfgMin/60</f>
        <v>26.666666666666668</v>
      </c>
      <c r="U1658" t="e">
        <f t="shared" si="52"/>
        <v>#REF!</v>
      </c>
      <c r="V1658" s="5" t="e">
        <f t="shared" si="53"/>
        <v>#REF!</v>
      </c>
    </row>
    <row r="1659" spans="1:22" x14ac:dyDescent="0.25">
      <c r="A1659" s="2">
        <v>46219</v>
      </c>
      <c r="B1659" s="2">
        <v>45783</v>
      </c>
      <c r="C1659" t="s">
        <v>478</v>
      </c>
      <c r="D1659">
        <v>29</v>
      </c>
      <c r="E1659" t="s">
        <v>1227</v>
      </c>
      <c r="F1659" t="s">
        <v>261</v>
      </c>
      <c r="G1659" t="s">
        <v>1228</v>
      </c>
      <c r="H1659" t="s">
        <v>1229</v>
      </c>
      <c r="I1659" t="s">
        <v>83</v>
      </c>
      <c r="J1659" s="3" t="s">
        <v>1230</v>
      </c>
      <c r="K1659" t="s">
        <v>1231</v>
      </c>
      <c r="L1659" s="4">
        <v>17</v>
      </c>
      <c r="M1659" s="4">
        <v>0</v>
      </c>
      <c r="N1659">
        <v>17</v>
      </c>
      <c r="O1659" t="s">
        <v>457</v>
      </c>
      <c r="P1659">
        <v>15</v>
      </c>
      <c r="Q1659">
        <f>QtyRemaining*EstMfgMin/60</f>
        <v>4.25</v>
      </c>
      <c r="S1659" t="s">
        <v>1026</v>
      </c>
      <c r="U1659" t="e">
        <f t="shared" si="52"/>
        <v>#REF!</v>
      </c>
      <c r="V1659" s="5" t="e">
        <f t="shared" si="53"/>
        <v>#REF!</v>
      </c>
    </row>
    <row r="1660" spans="1:22" x14ac:dyDescent="0.25">
      <c r="A1660" s="2">
        <v>46219</v>
      </c>
      <c r="B1660" s="2">
        <v>45840</v>
      </c>
      <c r="C1660" t="s">
        <v>523</v>
      </c>
      <c r="D1660">
        <v>29</v>
      </c>
      <c r="E1660" t="s">
        <v>1241</v>
      </c>
      <c r="F1660" t="s">
        <v>261</v>
      </c>
      <c r="G1660" t="s">
        <v>1242</v>
      </c>
      <c r="H1660" t="s">
        <v>1243</v>
      </c>
      <c r="I1660" t="s">
        <v>83</v>
      </c>
      <c r="J1660" s="3" t="s">
        <v>1244</v>
      </c>
      <c r="K1660" t="s">
        <v>1245</v>
      </c>
      <c r="L1660" s="4">
        <v>10</v>
      </c>
      <c r="M1660" s="4">
        <v>0</v>
      </c>
      <c r="N1660">
        <v>10</v>
      </c>
      <c r="O1660" t="s">
        <v>118</v>
      </c>
      <c r="P1660">
        <v>1050</v>
      </c>
      <c r="Q1660">
        <f>QtyRemaining*EstMfgMin/60</f>
        <v>175</v>
      </c>
      <c r="U1660" t="e">
        <f t="shared" si="52"/>
        <v>#REF!</v>
      </c>
      <c r="V1660" s="5" t="e">
        <f t="shared" si="53"/>
        <v>#REF!</v>
      </c>
    </row>
    <row r="1661" spans="1:22" x14ac:dyDescent="0.25">
      <c r="A1661" s="2">
        <v>46220</v>
      </c>
      <c r="B1661" s="2">
        <v>45954</v>
      </c>
      <c r="C1661" t="s">
        <v>478</v>
      </c>
      <c r="D1661">
        <v>29</v>
      </c>
      <c r="E1661" t="s">
        <v>2245</v>
      </c>
      <c r="F1661" t="s">
        <v>261</v>
      </c>
      <c r="G1661" t="s">
        <v>670</v>
      </c>
      <c r="H1661" t="s">
        <v>2246</v>
      </c>
      <c r="I1661" t="s">
        <v>83</v>
      </c>
      <c r="J1661" s="3" t="s">
        <v>1107</v>
      </c>
      <c r="K1661" t="s">
        <v>1108</v>
      </c>
      <c r="L1661" s="4">
        <v>3700</v>
      </c>
      <c r="M1661" s="4">
        <v>0</v>
      </c>
      <c r="N1661">
        <v>3700</v>
      </c>
      <c r="O1661" t="s">
        <v>118</v>
      </c>
      <c r="P1661">
        <v>20</v>
      </c>
      <c r="Q1661">
        <f>QtyRemaining*EstMfgMin/60</f>
        <v>1233.3333333333333</v>
      </c>
      <c r="U1661" t="e">
        <f t="shared" si="52"/>
        <v>#REF!</v>
      </c>
      <c r="V1661" s="5" t="e">
        <f t="shared" si="53"/>
        <v>#REF!</v>
      </c>
    </row>
    <row r="1662" spans="1:22" x14ac:dyDescent="0.25">
      <c r="A1662" s="2">
        <v>46220</v>
      </c>
      <c r="B1662" s="2">
        <v>45954</v>
      </c>
      <c r="C1662" t="s">
        <v>478</v>
      </c>
      <c r="D1662">
        <v>29</v>
      </c>
      <c r="E1662" t="s">
        <v>2245</v>
      </c>
      <c r="F1662" t="s">
        <v>261</v>
      </c>
      <c r="G1662" t="s">
        <v>670</v>
      </c>
      <c r="H1662" t="s">
        <v>2246</v>
      </c>
      <c r="I1662" t="s">
        <v>83</v>
      </c>
      <c r="J1662" s="3" t="s">
        <v>2663</v>
      </c>
      <c r="K1662" t="s">
        <v>1335</v>
      </c>
      <c r="L1662" s="4">
        <v>3700</v>
      </c>
      <c r="M1662" s="4">
        <v>0</v>
      </c>
      <c r="N1662">
        <v>3700</v>
      </c>
      <c r="O1662" t="s">
        <v>118</v>
      </c>
      <c r="P1662">
        <v>118</v>
      </c>
      <c r="Q1662">
        <f>QtyRemaining*EstMfgMin/60</f>
        <v>7276.666666666667</v>
      </c>
      <c r="U1662" t="e">
        <f t="shared" si="52"/>
        <v>#REF!</v>
      </c>
      <c r="V1662" s="5" t="e">
        <f t="shared" si="53"/>
        <v>#REF!</v>
      </c>
    </row>
    <row r="1663" spans="1:22" x14ac:dyDescent="0.25">
      <c r="A1663" s="2">
        <v>46220</v>
      </c>
      <c r="B1663" s="2">
        <v>45954</v>
      </c>
      <c r="C1663" t="s">
        <v>478</v>
      </c>
      <c r="D1663">
        <v>29</v>
      </c>
      <c r="E1663" t="s">
        <v>2245</v>
      </c>
      <c r="F1663" t="s">
        <v>261</v>
      </c>
      <c r="G1663" t="s">
        <v>670</v>
      </c>
      <c r="H1663" t="s">
        <v>2246</v>
      </c>
      <c r="I1663" t="s">
        <v>83</v>
      </c>
      <c r="J1663" s="3" t="s">
        <v>2664</v>
      </c>
      <c r="K1663" t="s">
        <v>3445</v>
      </c>
      <c r="L1663" s="4">
        <v>3700</v>
      </c>
      <c r="M1663" s="4">
        <v>0</v>
      </c>
      <c r="N1663">
        <v>3700</v>
      </c>
      <c r="P1663">
        <v>0</v>
      </c>
      <c r="Q1663">
        <f>QtyRemaining*EstMfgMin/60</f>
        <v>0</v>
      </c>
      <c r="U1663" t="e">
        <f t="shared" si="52"/>
        <v>#REF!</v>
      </c>
      <c r="V1663" s="5" t="e">
        <f t="shared" si="53"/>
        <v>#REF!</v>
      </c>
    </row>
    <row r="1664" spans="1:22" x14ac:dyDescent="0.25">
      <c r="A1664" s="2">
        <v>46223</v>
      </c>
      <c r="B1664" s="2">
        <v>45933</v>
      </c>
      <c r="C1664" t="s">
        <v>523</v>
      </c>
      <c r="D1664">
        <v>30</v>
      </c>
      <c r="E1664" t="s">
        <v>1998</v>
      </c>
      <c r="F1664" t="s">
        <v>211</v>
      </c>
      <c r="G1664" t="s">
        <v>1999</v>
      </c>
      <c r="H1664" t="s">
        <v>2000</v>
      </c>
      <c r="I1664" t="s">
        <v>83</v>
      </c>
      <c r="J1664" s="3" t="s">
        <v>2001</v>
      </c>
      <c r="K1664" t="s">
        <v>2002</v>
      </c>
      <c r="L1664" s="4">
        <v>4</v>
      </c>
      <c r="M1664" s="4">
        <v>0</v>
      </c>
      <c r="N1664">
        <v>4</v>
      </c>
      <c r="O1664" t="s">
        <v>94</v>
      </c>
      <c r="P1664">
        <v>600</v>
      </c>
      <c r="Q1664">
        <f>QtyRemaining*EstMfgMin/60</f>
        <v>40</v>
      </c>
      <c r="U1664" t="e">
        <f t="shared" si="52"/>
        <v>#REF!</v>
      </c>
      <c r="V1664" s="5" t="e">
        <f t="shared" si="53"/>
        <v>#REF!</v>
      </c>
    </row>
    <row r="1665" spans="1:22" x14ac:dyDescent="0.25">
      <c r="A1665" s="2">
        <v>46223</v>
      </c>
      <c r="B1665" s="2">
        <v>45933</v>
      </c>
      <c r="C1665" t="s">
        <v>523</v>
      </c>
      <c r="D1665">
        <v>30</v>
      </c>
      <c r="E1665" t="s">
        <v>1998</v>
      </c>
      <c r="F1665" t="s">
        <v>211</v>
      </c>
      <c r="G1665" t="s">
        <v>1999</v>
      </c>
      <c r="H1665" t="s">
        <v>2000</v>
      </c>
      <c r="I1665" t="s">
        <v>83</v>
      </c>
      <c r="J1665" s="3" t="s">
        <v>2003</v>
      </c>
      <c r="K1665" t="s">
        <v>2004</v>
      </c>
      <c r="L1665" s="4">
        <v>4</v>
      </c>
      <c r="M1665" s="4">
        <v>0</v>
      </c>
      <c r="N1665">
        <v>4</v>
      </c>
      <c r="O1665" t="s">
        <v>457</v>
      </c>
      <c r="P1665">
        <v>240</v>
      </c>
      <c r="Q1665">
        <f>QtyRemaining*EstMfgMin/60</f>
        <v>16</v>
      </c>
      <c r="U1665" t="e">
        <f t="shared" si="52"/>
        <v>#REF!</v>
      </c>
      <c r="V1665" s="5" t="e">
        <f t="shared" si="53"/>
        <v>#REF!</v>
      </c>
    </row>
    <row r="1666" spans="1:22" x14ac:dyDescent="0.25">
      <c r="A1666" s="2">
        <v>46223</v>
      </c>
      <c r="B1666" s="2">
        <v>45933</v>
      </c>
      <c r="C1666" t="s">
        <v>523</v>
      </c>
      <c r="D1666">
        <v>30</v>
      </c>
      <c r="E1666" t="s">
        <v>1998</v>
      </c>
      <c r="F1666" t="s">
        <v>211</v>
      </c>
      <c r="G1666" t="s">
        <v>1999</v>
      </c>
      <c r="H1666" t="s">
        <v>2000</v>
      </c>
      <c r="I1666" t="s">
        <v>83</v>
      </c>
      <c r="J1666" s="3" t="s">
        <v>2005</v>
      </c>
      <c r="K1666" t="s">
        <v>2006</v>
      </c>
      <c r="L1666" s="4">
        <v>4</v>
      </c>
      <c r="M1666" s="4">
        <v>0</v>
      </c>
      <c r="N1666">
        <v>4</v>
      </c>
      <c r="O1666" t="s">
        <v>457</v>
      </c>
      <c r="P1666">
        <v>240</v>
      </c>
      <c r="Q1666">
        <f>QtyRemaining*EstMfgMin/60</f>
        <v>16</v>
      </c>
      <c r="U1666" t="e">
        <f t="shared" si="52"/>
        <v>#REF!</v>
      </c>
      <c r="V1666" s="5" t="e">
        <f t="shared" si="53"/>
        <v>#REF!</v>
      </c>
    </row>
    <row r="1667" spans="1:22" x14ac:dyDescent="0.25">
      <c r="A1667" s="2">
        <v>46225</v>
      </c>
      <c r="B1667" s="2">
        <v>46013</v>
      </c>
      <c r="C1667" t="s">
        <v>478</v>
      </c>
      <c r="D1667">
        <v>30</v>
      </c>
      <c r="E1667" t="s">
        <v>1573</v>
      </c>
      <c r="F1667" t="s">
        <v>261</v>
      </c>
      <c r="G1667" t="s">
        <v>1021</v>
      </c>
      <c r="H1667" t="s">
        <v>1574</v>
      </c>
      <c r="I1667" t="s">
        <v>83</v>
      </c>
      <c r="J1667" s="3" t="s">
        <v>3446</v>
      </c>
      <c r="K1667" t="s">
        <v>3447</v>
      </c>
      <c r="L1667" s="4">
        <v>26</v>
      </c>
      <c r="M1667" s="4">
        <v>0</v>
      </c>
      <c r="N1667">
        <v>26</v>
      </c>
      <c r="O1667" t="s">
        <v>118</v>
      </c>
      <c r="P1667">
        <v>22</v>
      </c>
      <c r="Q1667">
        <f>QtyRemaining*EstMfgMin/60</f>
        <v>9.5333333333333332</v>
      </c>
      <c r="U1667" t="e">
        <f t="shared" ref="U1667:U1730" si="54">VLOOKUP(A1667,Calendar,13,FALSE)</f>
        <v>#REF!</v>
      </c>
      <c r="V1667" s="5" t="e">
        <f t="shared" ref="V1667:V1730" si="55">VLOOKUP(A1667,Calendar,14,FALSE)</f>
        <v>#REF!</v>
      </c>
    </row>
    <row r="1668" spans="1:22" x14ac:dyDescent="0.25">
      <c r="A1668" s="2">
        <v>46225</v>
      </c>
      <c r="B1668" s="2">
        <v>46013</v>
      </c>
      <c r="C1668" t="s">
        <v>478</v>
      </c>
      <c r="D1668">
        <v>30</v>
      </c>
      <c r="E1668" t="s">
        <v>1573</v>
      </c>
      <c r="F1668" t="s">
        <v>261</v>
      </c>
      <c r="G1668" t="s">
        <v>1021</v>
      </c>
      <c r="H1668" t="s">
        <v>1574</v>
      </c>
      <c r="I1668" t="s">
        <v>874</v>
      </c>
      <c r="J1668" s="3" t="s">
        <v>875</v>
      </c>
      <c r="K1668" t="s">
        <v>3448</v>
      </c>
      <c r="L1668" s="4">
        <v>1</v>
      </c>
      <c r="M1668" s="4">
        <v>0</v>
      </c>
      <c r="N1668">
        <v>1</v>
      </c>
      <c r="P1668">
        <v>0</v>
      </c>
      <c r="Q1668">
        <f>QtyRemaining*EstMfgMin/60</f>
        <v>0</v>
      </c>
      <c r="U1668" t="e">
        <f t="shared" si="54"/>
        <v>#REF!</v>
      </c>
      <c r="V1668" s="5" t="e">
        <f t="shared" si="55"/>
        <v>#REF!</v>
      </c>
    </row>
    <row r="1669" spans="1:22" x14ac:dyDescent="0.25">
      <c r="A1669" s="2">
        <v>46226</v>
      </c>
      <c r="B1669" s="2">
        <v>45926</v>
      </c>
      <c r="C1669" t="s">
        <v>523</v>
      </c>
      <c r="D1669">
        <v>30</v>
      </c>
      <c r="E1669" t="s">
        <v>3409</v>
      </c>
      <c r="F1669" t="s">
        <v>261</v>
      </c>
      <c r="G1669" t="s">
        <v>262</v>
      </c>
      <c r="H1669" t="s">
        <v>3410</v>
      </c>
      <c r="I1669" t="s">
        <v>83</v>
      </c>
      <c r="J1669" s="3" t="s">
        <v>3411</v>
      </c>
      <c r="K1669" t="s">
        <v>3412</v>
      </c>
      <c r="L1669" s="4">
        <v>10</v>
      </c>
      <c r="M1669" s="4">
        <v>0</v>
      </c>
      <c r="N1669">
        <v>10</v>
      </c>
      <c r="O1669" t="s">
        <v>457</v>
      </c>
      <c r="P1669">
        <v>330</v>
      </c>
      <c r="Q1669">
        <f>QtyRemaining*EstMfgMin/60</f>
        <v>55</v>
      </c>
      <c r="U1669" t="e">
        <f t="shared" si="54"/>
        <v>#REF!</v>
      </c>
      <c r="V1669" s="5" t="e">
        <f t="shared" si="55"/>
        <v>#REF!</v>
      </c>
    </row>
    <row r="1670" spans="1:22" x14ac:dyDescent="0.25">
      <c r="A1670" s="2">
        <v>46226</v>
      </c>
      <c r="B1670" s="2">
        <v>45926</v>
      </c>
      <c r="C1670" t="s">
        <v>523</v>
      </c>
      <c r="D1670">
        <v>30</v>
      </c>
      <c r="E1670" t="s">
        <v>3409</v>
      </c>
      <c r="F1670" t="s">
        <v>261</v>
      </c>
      <c r="G1670" t="s">
        <v>262</v>
      </c>
      <c r="H1670" t="s">
        <v>3410</v>
      </c>
      <c r="I1670" t="s">
        <v>83</v>
      </c>
      <c r="J1670" s="3" t="s">
        <v>3411</v>
      </c>
      <c r="K1670" t="s">
        <v>3412</v>
      </c>
      <c r="L1670" s="4">
        <v>10</v>
      </c>
      <c r="M1670" s="4">
        <v>0</v>
      </c>
      <c r="N1670">
        <v>10</v>
      </c>
      <c r="O1670" t="s">
        <v>457</v>
      </c>
      <c r="P1670">
        <v>330</v>
      </c>
      <c r="Q1670">
        <f>QtyRemaining*EstMfgMin/60</f>
        <v>55</v>
      </c>
      <c r="U1670" t="e">
        <f t="shared" si="54"/>
        <v>#REF!</v>
      </c>
      <c r="V1670" s="5" t="e">
        <f t="shared" si="55"/>
        <v>#REF!</v>
      </c>
    </row>
    <row r="1671" spans="1:22" x14ac:dyDescent="0.25">
      <c r="A1671" s="2">
        <v>46227</v>
      </c>
      <c r="B1671" s="2">
        <v>45142</v>
      </c>
      <c r="C1671" t="s">
        <v>485</v>
      </c>
      <c r="D1671">
        <v>30</v>
      </c>
      <c r="E1671" t="s">
        <v>486</v>
      </c>
      <c r="F1671" t="s">
        <v>211</v>
      </c>
      <c r="G1671" t="s">
        <v>487</v>
      </c>
      <c r="H1671" t="s">
        <v>488</v>
      </c>
      <c r="I1671" t="s">
        <v>83</v>
      </c>
      <c r="J1671" s="3" t="s">
        <v>489</v>
      </c>
      <c r="K1671" t="s">
        <v>490</v>
      </c>
      <c r="L1671" s="4">
        <v>40</v>
      </c>
      <c r="M1671" s="4">
        <v>0</v>
      </c>
      <c r="N1671">
        <v>40</v>
      </c>
      <c r="O1671" t="s">
        <v>94</v>
      </c>
      <c r="P1671">
        <v>56</v>
      </c>
      <c r="Q1671">
        <f>QtyRemaining*EstMfgMin/60</f>
        <v>37.333333333333336</v>
      </c>
      <c r="U1671" t="e">
        <f t="shared" si="54"/>
        <v>#REF!</v>
      </c>
      <c r="V1671" s="5" t="e">
        <f t="shared" si="55"/>
        <v>#REF!</v>
      </c>
    </row>
    <row r="1672" spans="1:22" x14ac:dyDescent="0.25">
      <c r="A1672" s="2">
        <v>46227</v>
      </c>
      <c r="B1672" s="2">
        <v>45741</v>
      </c>
      <c r="C1672" t="s">
        <v>550</v>
      </c>
      <c r="D1672">
        <v>30</v>
      </c>
      <c r="E1672" t="s">
        <v>551</v>
      </c>
      <c r="F1672" t="s">
        <v>261</v>
      </c>
      <c r="G1672" t="s">
        <v>552</v>
      </c>
      <c r="H1672" t="s">
        <v>553</v>
      </c>
      <c r="I1672" t="s">
        <v>45</v>
      </c>
      <c r="J1672" s="3" t="s">
        <v>554</v>
      </c>
      <c r="K1672" t="s">
        <v>555</v>
      </c>
      <c r="L1672" s="4">
        <v>3</v>
      </c>
      <c r="M1672" s="4">
        <v>0</v>
      </c>
      <c r="N1672">
        <v>3</v>
      </c>
      <c r="P1672">
        <v>0</v>
      </c>
      <c r="Q1672">
        <f>QtyRemaining*EstMfgMin/60</f>
        <v>0</v>
      </c>
      <c r="U1672" t="e">
        <f t="shared" si="54"/>
        <v>#REF!</v>
      </c>
      <c r="V1672" s="5" t="e">
        <f t="shared" si="55"/>
        <v>#REF!</v>
      </c>
    </row>
    <row r="1673" spans="1:22" x14ac:dyDescent="0.25">
      <c r="A1673" s="2">
        <v>46227</v>
      </c>
      <c r="B1673" s="2">
        <v>45971</v>
      </c>
      <c r="C1673" t="s">
        <v>478</v>
      </c>
      <c r="D1673">
        <v>30</v>
      </c>
      <c r="E1673" t="s">
        <v>3449</v>
      </c>
      <c r="F1673" t="s">
        <v>261</v>
      </c>
      <c r="G1673" t="s">
        <v>670</v>
      </c>
      <c r="H1673" t="s">
        <v>3450</v>
      </c>
      <c r="I1673" t="s">
        <v>83</v>
      </c>
      <c r="J1673" s="3" t="s">
        <v>2663</v>
      </c>
      <c r="K1673" t="s">
        <v>1335</v>
      </c>
      <c r="L1673" s="4">
        <v>1700</v>
      </c>
      <c r="M1673" s="4">
        <v>0</v>
      </c>
      <c r="N1673">
        <v>1700</v>
      </c>
      <c r="O1673" t="s">
        <v>118</v>
      </c>
      <c r="P1673">
        <v>118</v>
      </c>
      <c r="Q1673">
        <f>QtyRemaining*EstMfgMin/60</f>
        <v>3343.3333333333335</v>
      </c>
      <c r="U1673" t="e">
        <f t="shared" si="54"/>
        <v>#REF!</v>
      </c>
      <c r="V1673" s="5" t="e">
        <f t="shared" si="55"/>
        <v>#REF!</v>
      </c>
    </row>
    <row r="1674" spans="1:22" x14ac:dyDescent="0.25">
      <c r="A1674" s="2">
        <v>46227</v>
      </c>
      <c r="B1674" s="2">
        <v>45971</v>
      </c>
      <c r="C1674" t="s">
        <v>478</v>
      </c>
      <c r="D1674">
        <v>30</v>
      </c>
      <c r="E1674" t="s">
        <v>3449</v>
      </c>
      <c r="F1674" t="s">
        <v>261</v>
      </c>
      <c r="G1674" t="s">
        <v>670</v>
      </c>
      <c r="H1674" t="s">
        <v>3450</v>
      </c>
      <c r="I1674" t="s">
        <v>83</v>
      </c>
      <c r="J1674" s="3" t="s">
        <v>2664</v>
      </c>
      <c r="K1674" t="s">
        <v>3451</v>
      </c>
      <c r="L1674" s="4">
        <v>1700</v>
      </c>
      <c r="M1674" s="4">
        <v>0</v>
      </c>
      <c r="N1674">
        <v>1700</v>
      </c>
      <c r="P1674">
        <v>0</v>
      </c>
      <c r="Q1674">
        <f>QtyRemaining*EstMfgMin/60</f>
        <v>0</v>
      </c>
      <c r="U1674" t="e">
        <f t="shared" si="54"/>
        <v>#REF!</v>
      </c>
      <c r="V1674" s="5" t="e">
        <f t="shared" si="55"/>
        <v>#REF!</v>
      </c>
    </row>
    <row r="1675" spans="1:22" x14ac:dyDescent="0.25">
      <c r="A1675" s="2">
        <v>46231</v>
      </c>
      <c r="B1675" s="2">
        <v>45958</v>
      </c>
      <c r="C1675" t="s">
        <v>478</v>
      </c>
      <c r="D1675">
        <v>31</v>
      </c>
      <c r="E1675" t="s">
        <v>1027</v>
      </c>
      <c r="F1675" t="s">
        <v>261</v>
      </c>
      <c r="G1675" t="s">
        <v>670</v>
      </c>
      <c r="H1675" t="s">
        <v>1028</v>
      </c>
      <c r="I1675" t="s">
        <v>83</v>
      </c>
      <c r="J1675" s="3" t="s">
        <v>1029</v>
      </c>
      <c r="K1675" t="s">
        <v>1030</v>
      </c>
      <c r="L1675" s="4">
        <v>260</v>
      </c>
      <c r="M1675" s="4">
        <v>0</v>
      </c>
      <c r="N1675">
        <v>260</v>
      </c>
      <c r="O1675" t="s">
        <v>86</v>
      </c>
      <c r="P1675">
        <v>289</v>
      </c>
      <c r="Q1675">
        <f>QtyRemaining*EstMfgMin/60</f>
        <v>1252.3333333333333</v>
      </c>
      <c r="U1675" t="e">
        <f t="shared" si="54"/>
        <v>#REF!</v>
      </c>
      <c r="V1675" s="5" t="e">
        <f t="shared" si="55"/>
        <v>#REF!</v>
      </c>
    </row>
    <row r="1676" spans="1:22" x14ac:dyDescent="0.25">
      <c r="A1676" s="2">
        <v>46233</v>
      </c>
      <c r="B1676" s="2">
        <v>45462</v>
      </c>
      <c r="C1676" t="s">
        <v>550</v>
      </c>
      <c r="D1676">
        <v>31</v>
      </c>
      <c r="E1676" t="s">
        <v>3047</v>
      </c>
      <c r="F1676" t="s">
        <v>261</v>
      </c>
      <c r="G1676" t="s">
        <v>552</v>
      </c>
      <c r="H1676" t="s">
        <v>3048</v>
      </c>
      <c r="I1676" t="s">
        <v>122</v>
      </c>
      <c r="J1676" s="3" t="s">
        <v>3049</v>
      </c>
      <c r="K1676" t="s">
        <v>2414</v>
      </c>
      <c r="L1676" s="4">
        <v>15000</v>
      </c>
      <c r="M1676" s="4">
        <v>0</v>
      </c>
      <c r="N1676">
        <v>15000</v>
      </c>
      <c r="O1676" t="s">
        <v>146</v>
      </c>
      <c r="P1676">
        <v>0</v>
      </c>
      <c r="Q1676">
        <f>QtyRemaining*EstMfgMin/60</f>
        <v>0</v>
      </c>
      <c r="U1676" t="e">
        <f t="shared" si="54"/>
        <v>#REF!</v>
      </c>
      <c r="V1676" s="5" t="e">
        <f t="shared" si="55"/>
        <v>#REF!</v>
      </c>
    </row>
    <row r="1677" spans="1:22" x14ac:dyDescent="0.25">
      <c r="A1677" s="2">
        <v>46233</v>
      </c>
      <c r="B1677" s="2">
        <v>46045</v>
      </c>
      <c r="C1677" t="s">
        <v>1168</v>
      </c>
      <c r="D1677">
        <v>31</v>
      </c>
      <c r="E1677" t="s">
        <v>3452</v>
      </c>
      <c r="F1677" t="s">
        <v>283</v>
      </c>
      <c r="G1677" t="s">
        <v>1170</v>
      </c>
      <c r="H1677" t="s">
        <v>3453</v>
      </c>
      <c r="I1677" t="s">
        <v>224</v>
      </c>
      <c r="J1677" s="3" t="s">
        <v>3372</v>
      </c>
      <c r="K1677" t="s">
        <v>3373</v>
      </c>
      <c r="L1677" s="4">
        <v>23</v>
      </c>
      <c r="M1677" s="4">
        <v>0</v>
      </c>
      <c r="N1677">
        <v>23</v>
      </c>
      <c r="P1677">
        <v>60</v>
      </c>
      <c r="Q1677">
        <f>QtyRemaining*EstMfgMin/60</f>
        <v>23</v>
      </c>
      <c r="U1677" t="e">
        <f t="shared" si="54"/>
        <v>#REF!</v>
      </c>
      <c r="V1677" s="5" t="e">
        <f t="shared" si="55"/>
        <v>#REF!</v>
      </c>
    </row>
    <row r="1678" spans="1:22" x14ac:dyDescent="0.25">
      <c r="A1678" s="2">
        <v>46234</v>
      </c>
      <c r="B1678" s="2">
        <v>45825</v>
      </c>
      <c r="C1678" t="s">
        <v>221</v>
      </c>
      <c r="D1678">
        <v>31</v>
      </c>
      <c r="E1678" t="s">
        <v>2825</v>
      </c>
      <c r="F1678" t="s">
        <v>211</v>
      </c>
      <c r="G1678" t="s">
        <v>1731</v>
      </c>
      <c r="H1678" t="s">
        <v>2826</v>
      </c>
      <c r="I1678" t="s">
        <v>256</v>
      </c>
      <c r="J1678" s="3" t="s">
        <v>2827</v>
      </c>
      <c r="K1678" t="s">
        <v>2828</v>
      </c>
      <c r="L1678" s="4">
        <v>46</v>
      </c>
      <c r="M1678" s="4">
        <v>0</v>
      </c>
      <c r="N1678">
        <v>46</v>
      </c>
      <c r="O1678" t="s">
        <v>146</v>
      </c>
      <c r="P1678">
        <v>11</v>
      </c>
      <c r="Q1678">
        <f>QtyRemaining*EstMfgMin/60</f>
        <v>8.4333333333333336</v>
      </c>
      <c r="U1678" t="e">
        <f t="shared" si="54"/>
        <v>#REF!</v>
      </c>
      <c r="V1678" s="5" t="e">
        <f t="shared" si="55"/>
        <v>#REF!</v>
      </c>
    </row>
    <row r="1679" spans="1:22" x14ac:dyDescent="0.25">
      <c r="A1679" s="2">
        <v>46237</v>
      </c>
      <c r="B1679" s="2">
        <v>46045</v>
      </c>
      <c r="C1679" t="s">
        <v>485</v>
      </c>
      <c r="D1679">
        <v>32</v>
      </c>
      <c r="E1679" t="s">
        <v>3086</v>
      </c>
      <c r="F1679" t="s">
        <v>211</v>
      </c>
      <c r="G1679" t="s">
        <v>864</v>
      </c>
      <c r="H1679" t="s">
        <v>3087</v>
      </c>
      <c r="I1679" t="s">
        <v>214</v>
      </c>
      <c r="J1679" s="3" t="s">
        <v>3088</v>
      </c>
      <c r="K1679" t="s">
        <v>3089</v>
      </c>
      <c r="L1679" s="4">
        <v>50</v>
      </c>
      <c r="M1679" s="4">
        <v>0</v>
      </c>
      <c r="N1679">
        <v>50</v>
      </c>
      <c r="O1679" t="s">
        <v>211</v>
      </c>
      <c r="P1679">
        <v>12</v>
      </c>
      <c r="Q1679">
        <f>QtyRemaining*EstMfgMin/60</f>
        <v>10</v>
      </c>
      <c r="U1679" t="e">
        <f t="shared" si="54"/>
        <v>#REF!</v>
      </c>
      <c r="V1679" s="5" t="e">
        <f t="shared" si="55"/>
        <v>#REF!</v>
      </c>
    </row>
    <row r="1680" spans="1:22" x14ac:dyDescent="0.25">
      <c r="A1680" s="2">
        <v>46238</v>
      </c>
      <c r="B1680" s="2">
        <v>46030</v>
      </c>
      <c r="C1680" t="s">
        <v>478</v>
      </c>
      <c r="D1680">
        <v>32</v>
      </c>
      <c r="E1680" t="s">
        <v>2947</v>
      </c>
      <c r="F1680" t="s">
        <v>261</v>
      </c>
      <c r="G1680" t="s">
        <v>2948</v>
      </c>
      <c r="H1680" t="s">
        <v>2949</v>
      </c>
      <c r="I1680" t="s">
        <v>155</v>
      </c>
      <c r="J1680" s="3" t="s">
        <v>3454</v>
      </c>
      <c r="K1680" t="s">
        <v>3455</v>
      </c>
      <c r="L1680" s="4">
        <v>70</v>
      </c>
      <c r="M1680" s="4">
        <v>0</v>
      </c>
      <c r="N1680">
        <v>70</v>
      </c>
      <c r="O1680" t="s">
        <v>118</v>
      </c>
      <c r="P1680">
        <v>11</v>
      </c>
      <c r="Q1680">
        <f>QtyRemaining*EstMfgMin/60</f>
        <v>12.833333333333334</v>
      </c>
      <c r="U1680" t="e">
        <f t="shared" si="54"/>
        <v>#REF!</v>
      </c>
      <c r="V1680" s="5" t="e">
        <f t="shared" si="55"/>
        <v>#REF!</v>
      </c>
    </row>
    <row r="1681" spans="1:22" x14ac:dyDescent="0.25">
      <c r="A1681" s="2">
        <v>46238</v>
      </c>
      <c r="B1681" s="2">
        <v>46030</v>
      </c>
      <c r="C1681" t="s">
        <v>478</v>
      </c>
      <c r="D1681">
        <v>32</v>
      </c>
      <c r="E1681" t="s">
        <v>2947</v>
      </c>
      <c r="F1681" t="s">
        <v>261</v>
      </c>
      <c r="G1681" t="s">
        <v>2948</v>
      </c>
      <c r="H1681" t="s">
        <v>2949</v>
      </c>
      <c r="I1681" t="s">
        <v>83</v>
      </c>
      <c r="J1681" s="3" t="s">
        <v>3456</v>
      </c>
      <c r="K1681" t="s">
        <v>3457</v>
      </c>
      <c r="L1681" s="4">
        <v>70</v>
      </c>
      <c r="M1681" s="4">
        <v>0</v>
      </c>
      <c r="N1681">
        <v>70</v>
      </c>
      <c r="O1681" t="s">
        <v>3458</v>
      </c>
      <c r="P1681">
        <v>112</v>
      </c>
      <c r="Q1681">
        <f>QtyRemaining*EstMfgMin/60</f>
        <v>130.66666666666666</v>
      </c>
      <c r="U1681" t="e">
        <f t="shared" si="54"/>
        <v>#REF!</v>
      </c>
      <c r="V1681" s="5" t="e">
        <f t="shared" si="55"/>
        <v>#REF!</v>
      </c>
    </row>
    <row r="1682" spans="1:22" x14ac:dyDescent="0.25">
      <c r="A1682" s="2">
        <v>46239</v>
      </c>
      <c r="B1682" s="2">
        <v>45610</v>
      </c>
      <c r="C1682" t="s">
        <v>478</v>
      </c>
      <c r="D1682">
        <v>32</v>
      </c>
      <c r="E1682" t="s">
        <v>2892</v>
      </c>
      <c r="F1682" t="s">
        <v>261</v>
      </c>
      <c r="G1682" t="s">
        <v>1228</v>
      </c>
      <c r="H1682" t="s">
        <v>2893</v>
      </c>
      <c r="I1682" t="s">
        <v>155</v>
      </c>
      <c r="J1682" s="3" t="s">
        <v>2894</v>
      </c>
      <c r="K1682" t="s">
        <v>2895</v>
      </c>
      <c r="L1682" s="4">
        <v>1</v>
      </c>
      <c r="M1682" s="4">
        <v>0</v>
      </c>
      <c r="N1682">
        <v>1</v>
      </c>
      <c r="O1682" t="s">
        <v>86</v>
      </c>
      <c r="P1682">
        <v>80</v>
      </c>
      <c r="Q1682">
        <f>QtyRemaining*EstMfgMin/60</f>
        <v>1.3333333333333333</v>
      </c>
      <c r="U1682" t="e">
        <f t="shared" si="54"/>
        <v>#REF!</v>
      </c>
      <c r="V1682" s="5" t="e">
        <f t="shared" si="55"/>
        <v>#REF!</v>
      </c>
    </row>
    <row r="1683" spans="1:22" x14ac:dyDescent="0.25">
      <c r="A1683" s="2">
        <v>46239</v>
      </c>
      <c r="B1683" s="2">
        <v>45610</v>
      </c>
      <c r="C1683" t="s">
        <v>478</v>
      </c>
      <c r="D1683">
        <v>32</v>
      </c>
      <c r="E1683" t="s">
        <v>2892</v>
      </c>
      <c r="F1683" t="s">
        <v>261</v>
      </c>
      <c r="G1683" t="s">
        <v>1228</v>
      </c>
      <c r="H1683" t="s">
        <v>2893</v>
      </c>
      <c r="I1683" t="s">
        <v>155</v>
      </c>
      <c r="J1683" s="3" t="s">
        <v>2894</v>
      </c>
      <c r="K1683" t="s">
        <v>2895</v>
      </c>
      <c r="L1683" s="4">
        <v>5</v>
      </c>
      <c r="M1683" s="4">
        <v>0</v>
      </c>
      <c r="N1683">
        <v>5</v>
      </c>
      <c r="O1683" t="s">
        <v>86</v>
      </c>
      <c r="P1683">
        <v>80</v>
      </c>
      <c r="Q1683">
        <f>QtyRemaining*EstMfgMin/60</f>
        <v>6.666666666666667</v>
      </c>
      <c r="U1683" t="e">
        <f t="shared" si="54"/>
        <v>#REF!</v>
      </c>
      <c r="V1683" s="5" t="e">
        <f t="shared" si="55"/>
        <v>#REF!</v>
      </c>
    </row>
    <row r="1684" spans="1:22" x14ac:dyDescent="0.25">
      <c r="A1684" s="2">
        <v>46241</v>
      </c>
      <c r="B1684" s="2">
        <v>45674</v>
      </c>
      <c r="C1684" t="s">
        <v>570</v>
      </c>
      <c r="D1684">
        <v>32</v>
      </c>
      <c r="E1684" t="s">
        <v>571</v>
      </c>
      <c r="F1684" t="s">
        <v>261</v>
      </c>
      <c r="G1684" t="s">
        <v>262</v>
      </c>
      <c r="H1684" t="s">
        <v>572</v>
      </c>
      <c r="I1684" t="s">
        <v>83</v>
      </c>
      <c r="J1684" s="3" t="s">
        <v>2963</v>
      </c>
      <c r="K1684" t="s">
        <v>2964</v>
      </c>
      <c r="L1684" s="4">
        <v>8</v>
      </c>
      <c r="M1684" s="4">
        <v>0</v>
      </c>
      <c r="N1684">
        <v>8</v>
      </c>
      <c r="O1684" t="s">
        <v>118</v>
      </c>
      <c r="P1684">
        <v>0</v>
      </c>
      <c r="Q1684">
        <f>QtyRemaining*EstMfgMin/60</f>
        <v>0</v>
      </c>
      <c r="U1684" t="e">
        <f t="shared" si="54"/>
        <v>#REF!</v>
      </c>
      <c r="V1684" s="5" t="e">
        <f t="shared" si="55"/>
        <v>#REF!</v>
      </c>
    </row>
    <row r="1685" spans="1:22" x14ac:dyDescent="0.25">
      <c r="A1685" s="2">
        <v>46241</v>
      </c>
      <c r="B1685" s="2">
        <v>45674</v>
      </c>
      <c r="C1685" t="s">
        <v>570</v>
      </c>
      <c r="D1685">
        <v>32</v>
      </c>
      <c r="E1685" t="s">
        <v>571</v>
      </c>
      <c r="F1685" t="s">
        <v>261</v>
      </c>
      <c r="G1685" t="s">
        <v>262</v>
      </c>
      <c r="H1685" t="s">
        <v>572</v>
      </c>
      <c r="I1685" t="s">
        <v>83</v>
      </c>
      <c r="J1685" s="3" t="s">
        <v>2965</v>
      </c>
      <c r="K1685" t="s">
        <v>2289</v>
      </c>
      <c r="L1685" s="4">
        <v>8</v>
      </c>
      <c r="M1685" s="4">
        <v>0</v>
      </c>
      <c r="N1685">
        <v>8</v>
      </c>
      <c r="O1685" t="s">
        <v>118</v>
      </c>
      <c r="P1685">
        <v>0</v>
      </c>
      <c r="Q1685">
        <f>QtyRemaining*EstMfgMin/60</f>
        <v>0</v>
      </c>
      <c r="U1685" t="e">
        <f t="shared" si="54"/>
        <v>#REF!</v>
      </c>
      <c r="V1685" s="5" t="e">
        <f t="shared" si="55"/>
        <v>#REF!</v>
      </c>
    </row>
    <row r="1686" spans="1:22" x14ac:dyDescent="0.25">
      <c r="A1686" s="2">
        <v>46241</v>
      </c>
      <c r="B1686" s="2">
        <v>45674</v>
      </c>
      <c r="C1686" t="s">
        <v>570</v>
      </c>
      <c r="D1686">
        <v>32</v>
      </c>
      <c r="E1686" t="s">
        <v>571</v>
      </c>
      <c r="F1686" t="s">
        <v>261</v>
      </c>
      <c r="G1686" t="s">
        <v>262</v>
      </c>
      <c r="H1686" t="s">
        <v>572</v>
      </c>
      <c r="I1686" t="s">
        <v>83</v>
      </c>
      <c r="J1686" s="3" t="s">
        <v>2288</v>
      </c>
      <c r="K1686" t="s">
        <v>2289</v>
      </c>
      <c r="L1686" s="4">
        <v>8</v>
      </c>
      <c r="M1686" s="4">
        <v>0</v>
      </c>
      <c r="N1686">
        <v>8</v>
      </c>
      <c r="O1686" t="s">
        <v>118</v>
      </c>
      <c r="P1686">
        <v>0</v>
      </c>
      <c r="Q1686">
        <f>QtyRemaining*EstMfgMin/60</f>
        <v>0</v>
      </c>
      <c r="U1686" t="e">
        <f t="shared" si="54"/>
        <v>#REF!</v>
      </c>
      <c r="V1686" s="5" t="e">
        <f t="shared" si="55"/>
        <v>#REF!</v>
      </c>
    </row>
    <row r="1687" spans="1:22" x14ac:dyDescent="0.25">
      <c r="A1687" s="2">
        <v>46241</v>
      </c>
      <c r="B1687" s="2">
        <v>45700</v>
      </c>
      <c r="C1687" t="s">
        <v>523</v>
      </c>
      <c r="D1687">
        <v>32</v>
      </c>
      <c r="E1687" t="s">
        <v>524</v>
      </c>
      <c r="F1687" t="s">
        <v>261</v>
      </c>
      <c r="G1687" t="s">
        <v>525</v>
      </c>
      <c r="H1687" t="s">
        <v>526</v>
      </c>
      <c r="I1687" t="s">
        <v>83</v>
      </c>
      <c r="J1687" s="3" t="s">
        <v>3103</v>
      </c>
      <c r="K1687" t="s">
        <v>1141</v>
      </c>
      <c r="L1687" s="4">
        <v>10</v>
      </c>
      <c r="M1687" s="4">
        <v>0</v>
      </c>
      <c r="N1687">
        <v>10</v>
      </c>
      <c r="O1687" t="s">
        <v>118</v>
      </c>
      <c r="P1687">
        <v>105</v>
      </c>
      <c r="Q1687">
        <f>QtyRemaining*EstMfgMin/60</f>
        <v>17.5</v>
      </c>
      <c r="U1687" t="e">
        <f t="shared" si="54"/>
        <v>#REF!</v>
      </c>
      <c r="V1687" s="5" t="e">
        <f t="shared" si="55"/>
        <v>#REF!</v>
      </c>
    </row>
    <row r="1688" spans="1:22" x14ac:dyDescent="0.25">
      <c r="A1688" s="2">
        <v>46241</v>
      </c>
      <c r="B1688" s="2">
        <v>45700</v>
      </c>
      <c r="C1688" t="s">
        <v>523</v>
      </c>
      <c r="D1688">
        <v>32</v>
      </c>
      <c r="E1688" t="s">
        <v>524</v>
      </c>
      <c r="F1688" t="s">
        <v>261</v>
      </c>
      <c r="G1688" t="s">
        <v>525</v>
      </c>
      <c r="H1688" t="s">
        <v>526</v>
      </c>
      <c r="I1688" t="s">
        <v>83</v>
      </c>
      <c r="J1688" s="3" t="s">
        <v>1144</v>
      </c>
      <c r="K1688" t="s">
        <v>1141</v>
      </c>
      <c r="L1688" s="4">
        <v>5</v>
      </c>
      <c r="M1688" s="4">
        <v>0</v>
      </c>
      <c r="N1688">
        <v>5</v>
      </c>
      <c r="O1688" t="s">
        <v>118</v>
      </c>
      <c r="P1688">
        <v>105</v>
      </c>
      <c r="Q1688">
        <f>QtyRemaining*EstMfgMin/60</f>
        <v>8.75</v>
      </c>
      <c r="U1688" t="e">
        <f t="shared" si="54"/>
        <v>#REF!</v>
      </c>
      <c r="V1688" s="5" t="e">
        <f t="shared" si="55"/>
        <v>#REF!</v>
      </c>
    </row>
    <row r="1689" spans="1:22" x14ac:dyDescent="0.25">
      <c r="A1689" s="2">
        <v>46241</v>
      </c>
      <c r="B1689" s="2">
        <v>45755</v>
      </c>
      <c r="C1689" t="s">
        <v>221</v>
      </c>
      <c r="D1689">
        <v>32</v>
      </c>
      <c r="E1689" t="s">
        <v>3389</v>
      </c>
      <c r="F1689" t="s">
        <v>211</v>
      </c>
      <c r="G1689" t="s">
        <v>519</v>
      </c>
      <c r="H1689" t="s">
        <v>3390</v>
      </c>
      <c r="I1689" t="s">
        <v>83</v>
      </c>
      <c r="J1689" s="3" t="s">
        <v>3391</v>
      </c>
      <c r="K1689" t="s">
        <v>3392</v>
      </c>
      <c r="L1689" s="4">
        <v>8</v>
      </c>
      <c r="M1689" s="4">
        <v>0</v>
      </c>
      <c r="N1689">
        <v>8</v>
      </c>
      <c r="O1689" t="s">
        <v>118</v>
      </c>
      <c r="P1689">
        <v>0</v>
      </c>
      <c r="Q1689">
        <f>QtyRemaining*EstMfgMin/60</f>
        <v>0</v>
      </c>
      <c r="U1689" t="e">
        <f t="shared" si="54"/>
        <v>#REF!</v>
      </c>
      <c r="V1689" s="5" t="e">
        <f t="shared" si="55"/>
        <v>#REF!</v>
      </c>
    </row>
    <row r="1690" spans="1:22" x14ac:dyDescent="0.25">
      <c r="A1690" s="2">
        <v>46241</v>
      </c>
      <c r="B1690" s="2">
        <v>45755</v>
      </c>
      <c r="C1690" t="s">
        <v>221</v>
      </c>
      <c r="D1690">
        <v>32</v>
      </c>
      <c r="E1690" t="s">
        <v>3389</v>
      </c>
      <c r="F1690" t="s">
        <v>211</v>
      </c>
      <c r="G1690" t="s">
        <v>519</v>
      </c>
      <c r="H1690" t="s">
        <v>3390</v>
      </c>
      <c r="I1690" t="s">
        <v>83</v>
      </c>
      <c r="J1690" s="3" t="s">
        <v>3393</v>
      </c>
      <c r="K1690" t="s">
        <v>3394</v>
      </c>
      <c r="L1690" s="4">
        <v>8</v>
      </c>
      <c r="M1690" s="4">
        <v>0</v>
      </c>
      <c r="N1690">
        <v>8</v>
      </c>
      <c r="O1690" t="s">
        <v>118</v>
      </c>
      <c r="P1690">
        <v>0</v>
      </c>
      <c r="Q1690">
        <f>QtyRemaining*EstMfgMin/60</f>
        <v>0</v>
      </c>
      <c r="U1690" t="e">
        <f t="shared" si="54"/>
        <v>#REF!</v>
      </c>
      <c r="V1690" s="5" t="e">
        <f t="shared" si="55"/>
        <v>#REF!</v>
      </c>
    </row>
    <row r="1691" spans="1:22" x14ac:dyDescent="0.25">
      <c r="A1691" s="2">
        <v>46241</v>
      </c>
      <c r="B1691" s="2">
        <v>45755</v>
      </c>
      <c r="C1691" t="s">
        <v>221</v>
      </c>
      <c r="D1691">
        <v>32</v>
      </c>
      <c r="E1691" t="s">
        <v>3389</v>
      </c>
      <c r="F1691" t="s">
        <v>211</v>
      </c>
      <c r="G1691" t="s">
        <v>519</v>
      </c>
      <c r="H1691" t="s">
        <v>3390</v>
      </c>
      <c r="I1691" t="s">
        <v>83</v>
      </c>
      <c r="J1691" s="3" t="s">
        <v>3395</v>
      </c>
      <c r="K1691" t="s">
        <v>3394</v>
      </c>
      <c r="L1691" s="4">
        <v>8</v>
      </c>
      <c r="M1691" s="4">
        <v>0</v>
      </c>
      <c r="N1691">
        <v>8</v>
      </c>
      <c r="O1691" t="s">
        <v>118</v>
      </c>
      <c r="P1691">
        <v>0</v>
      </c>
      <c r="Q1691">
        <f>QtyRemaining*EstMfgMin/60</f>
        <v>0</v>
      </c>
      <c r="U1691" t="e">
        <f t="shared" si="54"/>
        <v>#REF!</v>
      </c>
      <c r="V1691" s="5" t="e">
        <f t="shared" si="55"/>
        <v>#REF!</v>
      </c>
    </row>
    <row r="1692" spans="1:22" x14ac:dyDescent="0.25">
      <c r="A1692" s="2">
        <v>46244</v>
      </c>
      <c r="B1692" s="2">
        <v>45632</v>
      </c>
      <c r="C1692" t="s">
        <v>478</v>
      </c>
      <c r="D1692">
        <v>33</v>
      </c>
      <c r="E1692" t="s">
        <v>1137</v>
      </c>
      <c r="F1692" t="s">
        <v>261</v>
      </c>
      <c r="G1692" t="s">
        <v>510</v>
      </c>
      <c r="H1692" t="s">
        <v>1138</v>
      </c>
      <c r="I1692" t="s">
        <v>122</v>
      </c>
      <c r="J1692" s="3" t="s">
        <v>512</v>
      </c>
      <c r="K1692" t="s">
        <v>513</v>
      </c>
      <c r="L1692" s="4">
        <v>5</v>
      </c>
      <c r="M1692" s="4">
        <v>0</v>
      </c>
      <c r="N1692">
        <v>5</v>
      </c>
      <c r="O1692" t="s">
        <v>1139</v>
      </c>
      <c r="P1692">
        <v>1394</v>
      </c>
      <c r="Q1692">
        <f>QtyRemaining*EstMfgMin/60</f>
        <v>116.16666666666667</v>
      </c>
      <c r="U1692" t="e">
        <f t="shared" si="54"/>
        <v>#REF!</v>
      </c>
      <c r="V1692" s="5" t="e">
        <f t="shared" si="55"/>
        <v>#REF!</v>
      </c>
    </row>
    <row r="1693" spans="1:22" x14ac:dyDescent="0.25">
      <c r="A1693" s="2">
        <v>46244</v>
      </c>
      <c r="B1693" s="2">
        <v>46027</v>
      </c>
      <c r="C1693" t="s">
        <v>685</v>
      </c>
      <c r="D1693">
        <v>33</v>
      </c>
      <c r="E1693" t="s">
        <v>2489</v>
      </c>
      <c r="F1693" t="s">
        <v>261</v>
      </c>
      <c r="G1693" t="s">
        <v>262</v>
      </c>
      <c r="H1693" t="s">
        <v>2490</v>
      </c>
      <c r="I1693" t="s">
        <v>45</v>
      </c>
      <c r="J1693" s="3" t="s">
        <v>2491</v>
      </c>
      <c r="K1693" t="s">
        <v>2492</v>
      </c>
      <c r="L1693" s="4">
        <v>300</v>
      </c>
      <c r="M1693" s="4">
        <v>0</v>
      </c>
      <c r="N1693">
        <v>300</v>
      </c>
      <c r="O1693" t="s">
        <v>86</v>
      </c>
      <c r="P1693">
        <v>0</v>
      </c>
      <c r="Q1693">
        <f>QtyRemaining*EstMfgMin/60</f>
        <v>0</v>
      </c>
      <c r="U1693" t="e">
        <f t="shared" si="54"/>
        <v>#REF!</v>
      </c>
      <c r="V1693" s="5" t="e">
        <f t="shared" si="55"/>
        <v>#REF!</v>
      </c>
    </row>
    <row r="1694" spans="1:22" x14ac:dyDescent="0.25">
      <c r="A1694" s="2">
        <v>46245</v>
      </c>
      <c r="B1694" s="2">
        <v>46043</v>
      </c>
      <c r="C1694" t="s">
        <v>1191</v>
      </c>
      <c r="D1694">
        <v>33</v>
      </c>
      <c r="E1694" t="s">
        <v>3459</v>
      </c>
      <c r="F1694" t="s">
        <v>211</v>
      </c>
      <c r="G1694" t="s">
        <v>1679</v>
      </c>
      <c r="H1694" t="s">
        <v>3460</v>
      </c>
      <c r="I1694" t="s">
        <v>214</v>
      </c>
      <c r="J1694" s="3" t="s">
        <v>2367</v>
      </c>
      <c r="K1694" t="s">
        <v>2368</v>
      </c>
      <c r="L1694" s="4">
        <v>75</v>
      </c>
      <c r="M1694" s="4">
        <v>0</v>
      </c>
      <c r="N1694">
        <v>75</v>
      </c>
      <c r="O1694" t="s">
        <v>457</v>
      </c>
      <c r="P1694">
        <v>6</v>
      </c>
      <c r="Q1694">
        <f>QtyRemaining*EstMfgMin/60</f>
        <v>7.5</v>
      </c>
      <c r="U1694" t="e">
        <f t="shared" si="54"/>
        <v>#REF!</v>
      </c>
      <c r="V1694" s="5" t="e">
        <f t="shared" si="55"/>
        <v>#REF!</v>
      </c>
    </row>
    <row r="1695" spans="1:22" x14ac:dyDescent="0.25">
      <c r="A1695" s="2">
        <v>46248</v>
      </c>
      <c r="B1695" s="2">
        <v>45840</v>
      </c>
      <c r="C1695" t="s">
        <v>523</v>
      </c>
      <c r="D1695">
        <v>33</v>
      </c>
      <c r="E1695" t="s">
        <v>1241</v>
      </c>
      <c r="F1695" t="s">
        <v>261</v>
      </c>
      <c r="G1695" t="s">
        <v>1242</v>
      </c>
      <c r="H1695" t="s">
        <v>1243</v>
      </c>
      <c r="I1695" t="s">
        <v>83</v>
      </c>
      <c r="J1695" s="3" t="s">
        <v>1244</v>
      </c>
      <c r="K1695" t="s">
        <v>1245</v>
      </c>
      <c r="L1695" s="4">
        <v>10</v>
      </c>
      <c r="M1695" s="4">
        <v>0</v>
      </c>
      <c r="N1695">
        <v>10</v>
      </c>
      <c r="O1695" t="s">
        <v>118</v>
      </c>
      <c r="P1695">
        <v>1050</v>
      </c>
      <c r="Q1695">
        <f>QtyRemaining*EstMfgMin/60</f>
        <v>175</v>
      </c>
      <c r="U1695" t="e">
        <f t="shared" si="54"/>
        <v>#REF!</v>
      </c>
      <c r="V1695" s="5" t="e">
        <f t="shared" si="55"/>
        <v>#REF!</v>
      </c>
    </row>
    <row r="1696" spans="1:22" x14ac:dyDescent="0.25">
      <c r="A1696" s="2">
        <v>46248</v>
      </c>
      <c r="B1696" s="2">
        <v>46013</v>
      </c>
      <c r="C1696" t="s">
        <v>232</v>
      </c>
      <c r="D1696">
        <v>33</v>
      </c>
      <c r="E1696" t="s">
        <v>2945</v>
      </c>
      <c r="F1696" t="s">
        <v>211</v>
      </c>
      <c r="G1696" t="s">
        <v>270</v>
      </c>
      <c r="H1696" t="s">
        <v>2946</v>
      </c>
      <c r="I1696" t="s">
        <v>214</v>
      </c>
      <c r="J1696" s="3" t="s">
        <v>2071</v>
      </c>
      <c r="K1696" t="s">
        <v>2072</v>
      </c>
      <c r="L1696" s="4">
        <v>300</v>
      </c>
      <c r="M1696" s="4">
        <v>0</v>
      </c>
      <c r="N1696">
        <v>300</v>
      </c>
      <c r="O1696" t="s">
        <v>118</v>
      </c>
      <c r="P1696">
        <v>8</v>
      </c>
      <c r="Q1696">
        <f>QtyRemaining*EstMfgMin/60</f>
        <v>40</v>
      </c>
      <c r="U1696" t="e">
        <f t="shared" si="54"/>
        <v>#REF!</v>
      </c>
      <c r="V1696" s="5" t="e">
        <f t="shared" si="55"/>
        <v>#REF!</v>
      </c>
    </row>
    <row r="1697" spans="1:22" x14ac:dyDescent="0.25">
      <c r="A1697" s="2">
        <v>46251</v>
      </c>
      <c r="B1697" s="2">
        <v>45957</v>
      </c>
      <c r="C1697" t="s">
        <v>232</v>
      </c>
      <c r="D1697">
        <v>34</v>
      </c>
      <c r="E1697" t="s">
        <v>2930</v>
      </c>
      <c r="F1697" t="s">
        <v>211</v>
      </c>
      <c r="G1697" t="s">
        <v>1184</v>
      </c>
      <c r="H1697" t="s">
        <v>2931</v>
      </c>
      <c r="I1697" t="s">
        <v>83</v>
      </c>
      <c r="J1697" s="3" t="s">
        <v>2932</v>
      </c>
      <c r="K1697" t="s">
        <v>2933</v>
      </c>
      <c r="L1697" s="4">
        <v>10</v>
      </c>
      <c r="M1697" s="4">
        <v>0</v>
      </c>
      <c r="N1697">
        <v>10</v>
      </c>
      <c r="O1697" t="s">
        <v>2393</v>
      </c>
      <c r="P1697">
        <v>12</v>
      </c>
      <c r="Q1697">
        <f>QtyRemaining*EstMfgMin/60</f>
        <v>2</v>
      </c>
      <c r="U1697" t="e">
        <f t="shared" si="54"/>
        <v>#REF!</v>
      </c>
      <c r="V1697" s="5" t="e">
        <f t="shared" si="55"/>
        <v>#REF!</v>
      </c>
    </row>
    <row r="1698" spans="1:22" x14ac:dyDescent="0.25">
      <c r="A1698" s="2">
        <v>46252</v>
      </c>
      <c r="B1698" s="2">
        <v>45933</v>
      </c>
      <c r="C1698" t="s">
        <v>523</v>
      </c>
      <c r="D1698">
        <v>34</v>
      </c>
      <c r="E1698" t="s">
        <v>1998</v>
      </c>
      <c r="F1698" t="s">
        <v>211</v>
      </c>
      <c r="G1698" t="s">
        <v>1999</v>
      </c>
      <c r="H1698" t="s">
        <v>2000</v>
      </c>
      <c r="I1698" t="s">
        <v>83</v>
      </c>
      <c r="J1698" s="3" t="s">
        <v>2001</v>
      </c>
      <c r="K1698" t="s">
        <v>2002</v>
      </c>
      <c r="L1698" s="4">
        <v>4</v>
      </c>
      <c r="M1698" s="4">
        <v>0</v>
      </c>
      <c r="N1698">
        <v>4</v>
      </c>
      <c r="O1698" t="s">
        <v>94</v>
      </c>
      <c r="P1698">
        <v>600</v>
      </c>
      <c r="Q1698">
        <f>QtyRemaining*EstMfgMin/60</f>
        <v>40</v>
      </c>
      <c r="U1698" t="e">
        <f t="shared" si="54"/>
        <v>#REF!</v>
      </c>
      <c r="V1698" s="5" t="e">
        <f t="shared" si="55"/>
        <v>#REF!</v>
      </c>
    </row>
    <row r="1699" spans="1:22" x14ac:dyDescent="0.25">
      <c r="A1699" s="2">
        <v>46252</v>
      </c>
      <c r="B1699" s="2">
        <v>45933</v>
      </c>
      <c r="C1699" t="s">
        <v>523</v>
      </c>
      <c r="D1699">
        <v>34</v>
      </c>
      <c r="E1699" t="s">
        <v>1998</v>
      </c>
      <c r="F1699" t="s">
        <v>211</v>
      </c>
      <c r="G1699" t="s">
        <v>1999</v>
      </c>
      <c r="H1699" t="s">
        <v>2000</v>
      </c>
      <c r="I1699" t="s">
        <v>83</v>
      </c>
      <c r="J1699" s="3" t="s">
        <v>2003</v>
      </c>
      <c r="K1699" t="s">
        <v>2004</v>
      </c>
      <c r="L1699" s="4">
        <v>4</v>
      </c>
      <c r="M1699" s="4">
        <v>0</v>
      </c>
      <c r="N1699">
        <v>4</v>
      </c>
      <c r="O1699" t="s">
        <v>457</v>
      </c>
      <c r="P1699">
        <v>240</v>
      </c>
      <c r="Q1699">
        <f>QtyRemaining*EstMfgMin/60</f>
        <v>16</v>
      </c>
      <c r="U1699" t="e">
        <f t="shared" si="54"/>
        <v>#REF!</v>
      </c>
      <c r="V1699" s="5" t="e">
        <f t="shared" si="55"/>
        <v>#REF!</v>
      </c>
    </row>
    <row r="1700" spans="1:22" x14ac:dyDescent="0.25">
      <c r="A1700" s="2">
        <v>46252</v>
      </c>
      <c r="B1700" s="2">
        <v>45933</v>
      </c>
      <c r="C1700" t="s">
        <v>523</v>
      </c>
      <c r="D1700">
        <v>34</v>
      </c>
      <c r="E1700" t="s">
        <v>1998</v>
      </c>
      <c r="F1700" t="s">
        <v>211</v>
      </c>
      <c r="G1700" t="s">
        <v>1999</v>
      </c>
      <c r="H1700" t="s">
        <v>2000</v>
      </c>
      <c r="I1700" t="s">
        <v>83</v>
      </c>
      <c r="J1700" s="3" t="s">
        <v>2005</v>
      </c>
      <c r="K1700" t="s">
        <v>2006</v>
      </c>
      <c r="L1700" s="4">
        <v>4</v>
      </c>
      <c r="M1700" s="4">
        <v>0</v>
      </c>
      <c r="N1700">
        <v>4</v>
      </c>
      <c r="O1700" t="s">
        <v>457</v>
      </c>
      <c r="P1700">
        <v>240</v>
      </c>
      <c r="Q1700">
        <f>QtyRemaining*EstMfgMin/60</f>
        <v>16</v>
      </c>
      <c r="U1700" t="e">
        <f t="shared" si="54"/>
        <v>#REF!</v>
      </c>
      <c r="V1700" s="5" t="e">
        <f t="shared" si="55"/>
        <v>#REF!</v>
      </c>
    </row>
    <row r="1701" spans="1:22" x14ac:dyDescent="0.25">
      <c r="A1701" s="2">
        <v>46252</v>
      </c>
      <c r="B1701" s="2">
        <v>46000</v>
      </c>
      <c r="C1701" t="s">
        <v>478</v>
      </c>
      <c r="D1701">
        <v>34</v>
      </c>
      <c r="E1701" t="s">
        <v>3461</v>
      </c>
      <c r="F1701" t="s">
        <v>261</v>
      </c>
      <c r="G1701" t="s">
        <v>2451</v>
      </c>
      <c r="H1701" t="s">
        <v>3462</v>
      </c>
      <c r="I1701" t="s">
        <v>45</v>
      </c>
      <c r="J1701" s="3" t="s">
        <v>3463</v>
      </c>
      <c r="K1701" t="s">
        <v>482</v>
      </c>
      <c r="L1701" s="4">
        <v>4</v>
      </c>
      <c r="M1701" s="4">
        <v>0</v>
      </c>
      <c r="N1701">
        <v>4</v>
      </c>
      <c r="O1701" t="s">
        <v>2454</v>
      </c>
      <c r="P1701">
        <v>0</v>
      </c>
      <c r="Q1701">
        <f>QtyRemaining*EstMfgMin/60</f>
        <v>0</v>
      </c>
      <c r="U1701" t="e">
        <f t="shared" si="54"/>
        <v>#REF!</v>
      </c>
      <c r="V1701" s="5" t="e">
        <f t="shared" si="55"/>
        <v>#REF!</v>
      </c>
    </row>
    <row r="1702" spans="1:22" x14ac:dyDescent="0.25">
      <c r="A1702" s="2">
        <v>46252</v>
      </c>
      <c r="B1702" s="2">
        <v>46000</v>
      </c>
      <c r="C1702" t="s">
        <v>478</v>
      </c>
      <c r="D1702">
        <v>34</v>
      </c>
      <c r="E1702" t="s">
        <v>3461</v>
      </c>
      <c r="F1702" t="s">
        <v>261</v>
      </c>
      <c r="G1702" t="s">
        <v>2451</v>
      </c>
      <c r="H1702" t="s">
        <v>3462</v>
      </c>
      <c r="I1702" t="s">
        <v>874</v>
      </c>
      <c r="J1702" s="3" t="s">
        <v>875</v>
      </c>
      <c r="K1702" t="s">
        <v>1049</v>
      </c>
      <c r="L1702" s="4">
        <v>1</v>
      </c>
      <c r="M1702" s="4">
        <v>0</v>
      </c>
      <c r="N1702">
        <v>1</v>
      </c>
      <c r="P1702">
        <v>0</v>
      </c>
      <c r="Q1702">
        <f>QtyRemaining*EstMfgMin/60</f>
        <v>0</v>
      </c>
      <c r="U1702" t="e">
        <f t="shared" si="54"/>
        <v>#REF!</v>
      </c>
      <c r="V1702" s="5" t="e">
        <f t="shared" si="55"/>
        <v>#REF!</v>
      </c>
    </row>
    <row r="1703" spans="1:22" x14ac:dyDescent="0.25">
      <c r="A1703" s="2">
        <v>46252</v>
      </c>
      <c r="B1703" s="2">
        <v>46030</v>
      </c>
      <c r="C1703" t="s">
        <v>478</v>
      </c>
      <c r="D1703">
        <v>34</v>
      </c>
      <c r="E1703" t="s">
        <v>2947</v>
      </c>
      <c r="F1703" t="s">
        <v>261</v>
      </c>
      <c r="G1703" t="s">
        <v>2948</v>
      </c>
      <c r="H1703" t="s">
        <v>2949</v>
      </c>
      <c r="I1703" t="s">
        <v>155</v>
      </c>
      <c r="J1703" s="3" t="s">
        <v>3464</v>
      </c>
      <c r="K1703" t="s">
        <v>3465</v>
      </c>
      <c r="L1703" s="4">
        <v>140</v>
      </c>
      <c r="M1703" s="4">
        <v>0</v>
      </c>
      <c r="N1703">
        <v>140</v>
      </c>
      <c r="O1703" t="s">
        <v>118</v>
      </c>
      <c r="P1703">
        <v>124</v>
      </c>
      <c r="Q1703">
        <f>QtyRemaining*EstMfgMin/60</f>
        <v>289.33333333333331</v>
      </c>
      <c r="U1703" t="e">
        <f t="shared" si="54"/>
        <v>#REF!</v>
      </c>
      <c r="V1703" s="5" t="e">
        <f t="shared" si="55"/>
        <v>#REF!</v>
      </c>
    </row>
    <row r="1704" spans="1:22" x14ac:dyDescent="0.25">
      <c r="A1704" s="2">
        <v>46252</v>
      </c>
      <c r="B1704" s="2">
        <v>46030</v>
      </c>
      <c r="C1704" t="s">
        <v>478</v>
      </c>
      <c r="D1704">
        <v>34</v>
      </c>
      <c r="E1704" t="s">
        <v>2947</v>
      </c>
      <c r="F1704" t="s">
        <v>261</v>
      </c>
      <c r="G1704" t="s">
        <v>2948</v>
      </c>
      <c r="H1704" t="s">
        <v>2949</v>
      </c>
      <c r="I1704" t="s">
        <v>155</v>
      </c>
      <c r="J1704" s="3" t="s">
        <v>3466</v>
      </c>
      <c r="K1704" t="s">
        <v>3467</v>
      </c>
      <c r="L1704" s="4">
        <v>70</v>
      </c>
      <c r="M1704" s="4">
        <v>0</v>
      </c>
      <c r="N1704">
        <v>70</v>
      </c>
      <c r="O1704" t="s">
        <v>118</v>
      </c>
      <c r="P1704">
        <v>102</v>
      </c>
      <c r="Q1704">
        <f>QtyRemaining*EstMfgMin/60</f>
        <v>119</v>
      </c>
      <c r="U1704" t="e">
        <f t="shared" si="54"/>
        <v>#REF!</v>
      </c>
      <c r="V1704" s="5" t="e">
        <f t="shared" si="55"/>
        <v>#REF!</v>
      </c>
    </row>
    <row r="1705" spans="1:22" x14ac:dyDescent="0.25">
      <c r="A1705" s="2">
        <v>46252</v>
      </c>
      <c r="B1705" s="2">
        <v>46030</v>
      </c>
      <c r="C1705" t="s">
        <v>478</v>
      </c>
      <c r="D1705">
        <v>34</v>
      </c>
      <c r="E1705" t="s">
        <v>2947</v>
      </c>
      <c r="F1705" t="s">
        <v>261</v>
      </c>
      <c r="G1705" t="s">
        <v>2948</v>
      </c>
      <c r="H1705" t="s">
        <v>2949</v>
      </c>
      <c r="I1705" t="s">
        <v>155</v>
      </c>
      <c r="J1705" s="3" t="s">
        <v>3468</v>
      </c>
      <c r="K1705" t="s">
        <v>3469</v>
      </c>
      <c r="L1705" s="4">
        <v>70</v>
      </c>
      <c r="M1705" s="4">
        <v>0</v>
      </c>
      <c r="N1705">
        <v>70</v>
      </c>
      <c r="O1705" t="s">
        <v>118</v>
      </c>
      <c r="P1705">
        <v>93</v>
      </c>
      <c r="Q1705">
        <f>QtyRemaining*EstMfgMin/60</f>
        <v>108.5</v>
      </c>
      <c r="U1705" t="e">
        <f t="shared" si="54"/>
        <v>#REF!</v>
      </c>
      <c r="V1705" s="5" t="e">
        <f t="shared" si="55"/>
        <v>#REF!</v>
      </c>
    </row>
    <row r="1706" spans="1:22" x14ac:dyDescent="0.25">
      <c r="A1706" s="2">
        <v>46252</v>
      </c>
      <c r="B1706" s="2">
        <v>46030</v>
      </c>
      <c r="C1706" t="s">
        <v>478</v>
      </c>
      <c r="D1706">
        <v>34</v>
      </c>
      <c r="E1706" t="s">
        <v>2947</v>
      </c>
      <c r="F1706" t="s">
        <v>261</v>
      </c>
      <c r="G1706" t="s">
        <v>2948</v>
      </c>
      <c r="H1706" t="s">
        <v>2949</v>
      </c>
      <c r="I1706" t="s">
        <v>155</v>
      </c>
      <c r="J1706" s="3" t="s">
        <v>3470</v>
      </c>
      <c r="K1706" t="s">
        <v>3471</v>
      </c>
      <c r="L1706" s="4">
        <v>70</v>
      </c>
      <c r="M1706" s="4">
        <v>0</v>
      </c>
      <c r="N1706">
        <v>70</v>
      </c>
      <c r="O1706" t="s">
        <v>118</v>
      </c>
      <c r="P1706">
        <v>88</v>
      </c>
      <c r="Q1706">
        <f>QtyRemaining*EstMfgMin/60</f>
        <v>102.66666666666667</v>
      </c>
      <c r="U1706" t="e">
        <f t="shared" si="54"/>
        <v>#REF!</v>
      </c>
      <c r="V1706" s="5" t="e">
        <f t="shared" si="55"/>
        <v>#REF!</v>
      </c>
    </row>
    <row r="1707" spans="1:22" x14ac:dyDescent="0.25">
      <c r="A1707" s="2">
        <v>46254</v>
      </c>
      <c r="B1707" s="2">
        <v>45783</v>
      </c>
      <c r="C1707" t="s">
        <v>478</v>
      </c>
      <c r="D1707">
        <v>34</v>
      </c>
      <c r="E1707" t="s">
        <v>1227</v>
      </c>
      <c r="F1707" t="s">
        <v>261</v>
      </c>
      <c r="G1707" t="s">
        <v>1228</v>
      </c>
      <c r="H1707" t="s">
        <v>1229</v>
      </c>
      <c r="I1707" t="s">
        <v>83</v>
      </c>
      <c r="J1707" s="3" t="s">
        <v>1230</v>
      </c>
      <c r="K1707" t="s">
        <v>1231</v>
      </c>
      <c r="L1707" s="4">
        <v>19</v>
      </c>
      <c r="M1707" s="4">
        <v>0</v>
      </c>
      <c r="N1707">
        <v>19</v>
      </c>
      <c r="O1707" t="s">
        <v>457</v>
      </c>
      <c r="P1707">
        <v>15</v>
      </c>
      <c r="Q1707">
        <f>QtyRemaining*EstMfgMin/60</f>
        <v>4.75</v>
      </c>
      <c r="S1707" t="s">
        <v>1026</v>
      </c>
      <c r="U1707" t="e">
        <f t="shared" si="54"/>
        <v>#REF!</v>
      </c>
      <c r="V1707" s="5" t="e">
        <f t="shared" si="55"/>
        <v>#REF!</v>
      </c>
    </row>
    <row r="1708" spans="1:22" x14ac:dyDescent="0.25">
      <c r="A1708" s="2">
        <v>46254</v>
      </c>
      <c r="B1708" s="2">
        <v>45926</v>
      </c>
      <c r="C1708" t="s">
        <v>685</v>
      </c>
      <c r="D1708">
        <v>34</v>
      </c>
      <c r="E1708" t="s">
        <v>1013</v>
      </c>
      <c r="F1708" t="s">
        <v>261</v>
      </c>
      <c r="G1708" t="s">
        <v>262</v>
      </c>
      <c r="H1708" t="s">
        <v>1014</v>
      </c>
      <c r="I1708" t="s">
        <v>83</v>
      </c>
      <c r="J1708" s="3" t="s">
        <v>3472</v>
      </c>
      <c r="K1708" t="s">
        <v>3473</v>
      </c>
      <c r="L1708" s="4">
        <v>65</v>
      </c>
      <c r="M1708" s="4">
        <v>0</v>
      </c>
      <c r="N1708">
        <v>65</v>
      </c>
      <c r="O1708" t="s">
        <v>457</v>
      </c>
      <c r="P1708">
        <v>380</v>
      </c>
      <c r="Q1708">
        <f>QtyRemaining*EstMfgMin/60</f>
        <v>411.66666666666669</v>
      </c>
      <c r="U1708" t="e">
        <f t="shared" si="54"/>
        <v>#REF!</v>
      </c>
      <c r="V1708" s="5" t="e">
        <f t="shared" si="55"/>
        <v>#REF!</v>
      </c>
    </row>
    <row r="1709" spans="1:22" x14ac:dyDescent="0.25">
      <c r="A1709" s="2">
        <v>46255</v>
      </c>
      <c r="B1709" s="2">
        <v>45926</v>
      </c>
      <c r="C1709" t="s">
        <v>523</v>
      </c>
      <c r="D1709">
        <v>34</v>
      </c>
      <c r="E1709" t="s">
        <v>3409</v>
      </c>
      <c r="F1709" t="s">
        <v>261</v>
      </c>
      <c r="G1709" t="s">
        <v>262</v>
      </c>
      <c r="H1709" t="s">
        <v>3410</v>
      </c>
      <c r="I1709" t="s">
        <v>83</v>
      </c>
      <c r="J1709" s="3" t="s">
        <v>3411</v>
      </c>
      <c r="K1709" t="s">
        <v>3412</v>
      </c>
      <c r="L1709" s="4">
        <v>10</v>
      </c>
      <c r="M1709" s="4">
        <v>0</v>
      </c>
      <c r="N1709">
        <v>10</v>
      </c>
      <c r="O1709" t="s">
        <v>457</v>
      </c>
      <c r="P1709">
        <v>330</v>
      </c>
      <c r="Q1709">
        <f>QtyRemaining*EstMfgMin/60</f>
        <v>55</v>
      </c>
      <c r="U1709" t="e">
        <f t="shared" si="54"/>
        <v>#REF!</v>
      </c>
      <c r="V1709" s="5" t="e">
        <f t="shared" si="55"/>
        <v>#REF!</v>
      </c>
    </row>
    <row r="1710" spans="1:22" x14ac:dyDescent="0.25">
      <c r="A1710" s="2">
        <v>46256</v>
      </c>
      <c r="B1710" s="2">
        <v>45926</v>
      </c>
      <c r="C1710" t="s">
        <v>523</v>
      </c>
      <c r="D1710">
        <v>34</v>
      </c>
      <c r="E1710" t="s">
        <v>3409</v>
      </c>
      <c r="F1710" t="s">
        <v>261</v>
      </c>
      <c r="G1710" t="s">
        <v>262</v>
      </c>
      <c r="H1710" t="s">
        <v>3410</v>
      </c>
      <c r="I1710" t="s">
        <v>83</v>
      </c>
      <c r="J1710" s="3" t="s">
        <v>3411</v>
      </c>
      <c r="K1710" t="s">
        <v>3412</v>
      </c>
      <c r="L1710" s="4">
        <v>10</v>
      </c>
      <c r="M1710" s="4">
        <v>0</v>
      </c>
      <c r="N1710">
        <v>10</v>
      </c>
      <c r="O1710" t="s">
        <v>457</v>
      </c>
      <c r="P1710">
        <v>330</v>
      </c>
      <c r="Q1710">
        <f>QtyRemaining*EstMfgMin/60</f>
        <v>55</v>
      </c>
      <c r="U1710" t="e">
        <f t="shared" si="54"/>
        <v>#REF!</v>
      </c>
      <c r="V1710" s="5" t="e">
        <f t="shared" si="55"/>
        <v>#REF!</v>
      </c>
    </row>
    <row r="1711" spans="1:22" x14ac:dyDescent="0.25">
      <c r="A1711" s="2">
        <v>46258</v>
      </c>
      <c r="B1711" s="2">
        <v>45142</v>
      </c>
      <c r="C1711" t="s">
        <v>485</v>
      </c>
      <c r="D1711">
        <v>35</v>
      </c>
      <c r="E1711" t="s">
        <v>486</v>
      </c>
      <c r="F1711" t="s">
        <v>211</v>
      </c>
      <c r="G1711" t="s">
        <v>487</v>
      </c>
      <c r="H1711" t="s">
        <v>488</v>
      </c>
      <c r="I1711" t="s">
        <v>83</v>
      </c>
      <c r="J1711" s="3" t="s">
        <v>489</v>
      </c>
      <c r="K1711" t="s">
        <v>490</v>
      </c>
      <c r="L1711" s="4">
        <v>40</v>
      </c>
      <c r="M1711" s="4">
        <v>0</v>
      </c>
      <c r="N1711">
        <v>40</v>
      </c>
      <c r="O1711" t="s">
        <v>94</v>
      </c>
      <c r="P1711">
        <v>56</v>
      </c>
      <c r="Q1711">
        <f>QtyRemaining*EstMfgMin/60</f>
        <v>37.333333333333336</v>
      </c>
      <c r="U1711" t="e">
        <f t="shared" si="54"/>
        <v>#REF!</v>
      </c>
      <c r="V1711" s="5" t="e">
        <f t="shared" si="55"/>
        <v>#REF!</v>
      </c>
    </row>
    <row r="1712" spans="1:22" x14ac:dyDescent="0.25">
      <c r="A1712" s="2">
        <v>46259</v>
      </c>
      <c r="B1712" s="2">
        <v>45933</v>
      </c>
      <c r="C1712" t="s">
        <v>685</v>
      </c>
      <c r="D1712">
        <v>35</v>
      </c>
      <c r="E1712" t="s">
        <v>3474</v>
      </c>
      <c r="F1712" t="s">
        <v>261</v>
      </c>
      <c r="G1712" t="s">
        <v>262</v>
      </c>
      <c r="H1712" t="s">
        <v>3475</v>
      </c>
      <c r="I1712" t="s">
        <v>83</v>
      </c>
      <c r="J1712" s="3" t="s">
        <v>3476</v>
      </c>
      <c r="K1712" t="s">
        <v>3477</v>
      </c>
      <c r="L1712" s="4">
        <v>25</v>
      </c>
      <c r="M1712" s="4">
        <v>0</v>
      </c>
      <c r="N1712">
        <v>25</v>
      </c>
      <c r="O1712" t="s">
        <v>457</v>
      </c>
      <c r="P1712">
        <v>60</v>
      </c>
      <c r="Q1712">
        <f>QtyRemaining*EstMfgMin/60</f>
        <v>25</v>
      </c>
      <c r="U1712" t="e">
        <f t="shared" si="54"/>
        <v>#REF!</v>
      </c>
      <c r="V1712" s="5" t="e">
        <f t="shared" si="55"/>
        <v>#REF!</v>
      </c>
    </row>
    <row r="1713" spans="1:22" x14ac:dyDescent="0.25">
      <c r="A1713" s="2">
        <v>46265</v>
      </c>
      <c r="B1713" s="2">
        <v>45610</v>
      </c>
      <c r="C1713" t="s">
        <v>478</v>
      </c>
      <c r="D1713">
        <v>36</v>
      </c>
      <c r="E1713" t="s">
        <v>2892</v>
      </c>
      <c r="F1713" t="s">
        <v>261</v>
      </c>
      <c r="G1713" t="s">
        <v>1228</v>
      </c>
      <c r="H1713" t="s">
        <v>2893</v>
      </c>
      <c r="I1713" t="s">
        <v>155</v>
      </c>
      <c r="J1713" s="3" t="s">
        <v>2894</v>
      </c>
      <c r="K1713" t="s">
        <v>2895</v>
      </c>
      <c r="L1713" s="4">
        <v>8</v>
      </c>
      <c r="M1713" s="4">
        <v>0</v>
      </c>
      <c r="N1713">
        <v>8</v>
      </c>
      <c r="O1713" t="s">
        <v>86</v>
      </c>
      <c r="P1713">
        <v>80</v>
      </c>
      <c r="Q1713">
        <f>QtyRemaining*EstMfgMin/60</f>
        <v>10.666666666666666</v>
      </c>
      <c r="U1713" t="e">
        <f t="shared" si="54"/>
        <v>#REF!</v>
      </c>
      <c r="V1713" s="5" t="e">
        <f t="shared" si="55"/>
        <v>#REF!</v>
      </c>
    </row>
    <row r="1714" spans="1:22" x14ac:dyDescent="0.25">
      <c r="A1714" s="2">
        <v>46269</v>
      </c>
      <c r="B1714" s="2">
        <v>45992</v>
      </c>
      <c r="C1714" t="s">
        <v>650</v>
      </c>
      <c r="D1714">
        <v>36</v>
      </c>
      <c r="E1714" t="s">
        <v>3478</v>
      </c>
      <c r="F1714" t="s">
        <v>283</v>
      </c>
      <c r="G1714" t="s">
        <v>652</v>
      </c>
      <c r="H1714" t="s">
        <v>3479</v>
      </c>
      <c r="I1714" t="s">
        <v>1087</v>
      </c>
      <c r="J1714" s="3" t="s">
        <v>2053</v>
      </c>
      <c r="K1714" t="s">
        <v>2054</v>
      </c>
      <c r="L1714" s="4">
        <v>15</v>
      </c>
      <c r="M1714" s="4">
        <v>0</v>
      </c>
      <c r="N1714">
        <v>15</v>
      </c>
      <c r="O1714" t="s">
        <v>1090</v>
      </c>
      <c r="P1714">
        <v>16</v>
      </c>
      <c r="Q1714">
        <f>QtyRemaining*EstMfgMin/60</f>
        <v>4</v>
      </c>
      <c r="R1714" t="s">
        <v>1062</v>
      </c>
      <c r="U1714" t="e">
        <f t="shared" si="54"/>
        <v>#REF!</v>
      </c>
      <c r="V1714" s="5" t="e">
        <f t="shared" si="55"/>
        <v>#REF!</v>
      </c>
    </row>
    <row r="1715" spans="1:22" x14ac:dyDescent="0.25">
      <c r="A1715" s="2">
        <v>46273</v>
      </c>
      <c r="B1715" s="2">
        <v>45700</v>
      </c>
      <c r="C1715" t="s">
        <v>523</v>
      </c>
      <c r="D1715">
        <v>37</v>
      </c>
      <c r="E1715" t="s">
        <v>524</v>
      </c>
      <c r="F1715" t="s">
        <v>261</v>
      </c>
      <c r="G1715" t="s">
        <v>525</v>
      </c>
      <c r="H1715" t="s">
        <v>526</v>
      </c>
      <c r="I1715" t="s">
        <v>83</v>
      </c>
      <c r="J1715" s="3" t="s">
        <v>3103</v>
      </c>
      <c r="K1715" t="s">
        <v>1141</v>
      </c>
      <c r="L1715" s="4">
        <v>8</v>
      </c>
      <c r="M1715" s="4">
        <v>0</v>
      </c>
      <c r="N1715">
        <v>8</v>
      </c>
      <c r="O1715" t="s">
        <v>118</v>
      </c>
      <c r="P1715">
        <v>105</v>
      </c>
      <c r="Q1715">
        <f>QtyRemaining*EstMfgMin/60</f>
        <v>14</v>
      </c>
      <c r="U1715" t="e">
        <f t="shared" si="54"/>
        <v>#REF!</v>
      </c>
      <c r="V1715" s="5" t="e">
        <f t="shared" si="55"/>
        <v>#REF!</v>
      </c>
    </row>
    <row r="1716" spans="1:22" x14ac:dyDescent="0.25">
      <c r="A1716" s="2">
        <v>46274</v>
      </c>
      <c r="B1716" s="2">
        <v>45741</v>
      </c>
      <c r="C1716" t="s">
        <v>550</v>
      </c>
      <c r="D1716">
        <v>37</v>
      </c>
      <c r="E1716" t="s">
        <v>551</v>
      </c>
      <c r="F1716" t="s">
        <v>261</v>
      </c>
      <c r="G1716" t="s">
        <v>552</v>
      </c>
      <c r="H1716" t="s">
        <v>553</v>
      </c>
      <c r="I1716" t="s">
        <v>45</v>
      </c>
      <c r="J1716" s="3" t="s">
        <v>554</v>
      </c>
      <c r="K1716" t="s">
        <v>555</v>
      </c>
      <c r="L1716" s="4">
        <v>3</v>
      </c>
      <c r="M1716" s="4">
        <v>0</v>
      </c>
      <c r="N1716">
        <v>3</v>
      </c>
      <c r="P1716">
        <v>0</v>
      </c>
      <c r="Q1716">
        <f>QtyRemaining*EstMfgMin/60</f>
        <v>0</v>
      </c>
      <c r="U1716" t="e">
        <f t="shared" si="54"/>
        <v>#REF!</v>
      </c>
      <c r="V1716" s="5" t="e">
        <f t="shared" si="55"/>
        <v>#REF!</v>
      </c>
    </row>
    <row r="1717" spans="1:22" x14ac:dyDescent="0.25">
      <c r="A1717" s="2">
        <v>46274</v>
      </c>
      <c r="B1717" s="2">
        <v>45932</v>
      </c>
      <c r="C1717" t="s">
        <v>478</v>
      </c>
      <c r="D1717">
        <v>37</v>
      </c>
      <c r="E1717" t="s">
        <v>3480</v>
      </c>
      <c r="F1717" t="s">
        <v>261</v>
      </c>
      <c r="G1717" t="s">
        <v>510</v>
      </c>
      <c r="H1717" t="s">
        <v>3481</v>
      </c>
      <c r="I1717" t="s">
        <v>83</v>
      </c>
      <c r="J1717" s="3" t="s">
        <v>3482</v>
      </c>
      <c r="K1717" t="s">
        <v>3483</v>
      </c>
      <c r="L1717" s="4">
        <v>48</v>
      </c>
      <c r="M1717" s="4">
        <v>0</v>
      </c>
      <c r="N1717">
        <v>48</v>
      </c>
      <c r="O1717" t="s">
        <v>1370</v>
      </c>
      <c r="P1717">
        <v>15</v>
      </c>
      <c r="Q1717">
        <f>QtyRemaining*EstMfgMin/60</f>
        <v>12</v>
      </c>
      <c r="U1717" t="e">
        <f t="shared" si="54"/>
        <v>#REF!</v>
      </c>
      <c r="V1717" s="5" t="e">
        <f t="shared" si="55"/>
        <v>#REF!</v>
      </c>
    </row>
    <row r="1718" spans="1:22" x14ac:dyDescent="0.25">
      <c r="A1718" s="2">
        <v>46275</v>
      </c>
      <c r="B1718" s="2">
        <v>45632</v>
      </c>
      <c r="C1718" t="s">
        <v>478</v>
      </c>
      <c r="D1718">
        <v>37</v>
      </c>
      <c r="E1718" t="s">
        <v>1137</v>
      </c>
      <c r="F1718" t="s">
        <v>261</v>
      </c>
      <c r="G1718" t="s">
        <v>510</v>
      </c>
      <c r="H1718" t="s">
        <v>1138</v>
      </c>
      <c r="I1718" t="s">
        <v>122</v>
      </c>
      <c r="J1718" s="3" t="s">
        <v>512</v>
      </c>
      <c r="K1718" t="s">
        <v>513</v>
      </c>
      <c r="L1718" s="4">
        <v>5</v>
      </c>
      <c r="M1718" s="4">
        <v>0</v>
      </c>
      <c r="N1718">
        <v>5</v>
      </c>
      <c r="O1718" t="s">
        <v>1139</v>
      </c>
      <c r="P1718">
        <v>1394</v>
      </c>
      <c r="Q1718">
        <f>QtyRemaining*EstMfgMin/60</f>
        <v>116.16666666666667</v>
      </c>
      <c r="U1718" t="e">
        <f t="shared" si="54"/>
        <v>#REF!</v>
      </c>
      <c r="V1718" s="5" t="e">
        <f t="shared" si="55"/>
        <v>#REF!</v>
      </c>
    </row>
    <row r="1719" spans="1:22" x14ac:dyDescent="0.25">
      <c r="A1719" s="2">
        <v>46275</v>
      </c>
      <c r="B1719" s="2">
        <v>46013</v>
      </c>
      <c r="C1719" t="s">
        <v>478</v>
      </c>
      <c r="D1719">
        <v>37</v>
      </c>
      <c r="E1719" t="s">
        <v>1573</v>
      </c>
      <c r="F1719" t="s">
        <v>261</v>
      </c>
      <c r="G1719" t="s">
        <v>1021</v>
      </c>
      <c r="H1719" t="s">
        <v>1574</v>
      </c>
      <c r="I1719" t="s">
        <v>83</v>
      </c>
      <c r="J1719" s="3" t="s">
        <v>3484</v>
      </c>
      <c r="K1719" t="s">
        <v>3485</v>
      </c>
      <c r="L1719" s="4">
        <v>8</v>
      </c>
      <c r="M1719" s="4">
        <v>0</v>
      </c>
      <c r="N1719">
        <v>8</v>
      </c>
      <c r="O1719" t="s">
        <v>261</v>
      </c>
      <c r="P1719">
        <v>65</v>
      </c>
      <c r="Q1719">
        <f>QtyRemaining*EstMfgMin/60</f>
        <v>8.6666666666666661</v>
      </c>
      <c r="U1719" t="e">
        <f t="shared" si="54"/>
        <v>#REF!</v>
      </c>
      <c r="V1719" s="5" t="e">
        <f t="shared" si="55"/>
        <v>#REF!</v>
      </c>
    </row>
    <row r="1720" spans="1:22" x14ac:dyDescent="0.25">
      <c r="A1720" s="2">
        <v>46275</v>
      </c>
      <c r="B1720" s="2">
        <v>46013</v>
      </c>
      <c r="C1720" t="s">
        <v>478</v>
      </c>
      <c r="D1720">
        <v>37</v>
      </c>
      <c r="E1720" t="s">
        <v>1573</v>
      </c>
      <c r="F1720" t="s">
        <v>261</v>
      </c>
      <c r="G1720" t="s">
        <v>1021</v>
      </c>
      <c r="H1720" t="s">
        <v>1574</v>
      </c>
      <c r="I1720" t="s">
        <v>874</v>
      </c>
      <c r="J1720" s="3" t="s">
        <v>875</v>
      </c>
      <c r="K1720" t="s">
        <v>3486</v>
      </c>
      <c r="L1720" s="4">
        <v>1</v>
      </c>
      <c r="M1720" s="4">
        <v>0</v>
      </c>
      <c r="N1720">
        <v>1</v>
      </c>
      <c r="P1720">
        <v>0</v>
      </c>
      <c r="Q1720">
        <f>QtyRemaining*EstMfgMin/60</f>
        <v>0</v>
      </c>
      <c r="U1720" t="e">
        <f t="shared" si="54"/>
        <v>#REF!</v>
      </c>
      <c r="V1720" s="5" t="e">
        <f t="shared" si="55"/>
        <v>#REF!</v>
      </c>
    </row>
    <row r="1721" spans="1:22" x14ac:dyDescent="0.25">
      <c r="A1721" s="2">
        <v>46281</v>
      </c>
      <c r="B1721" s="2">
        <v>45840</v>
      </c>
      <c r="C1721" t="s">
        <v>523</v>
      </c>
      <c r="D1721">
        <v>38</v>
      </c>
      <c r="E1721" t="s">
        <v>1241</v>
      </c>
      <c r="F1721" t="s">
        <v>261</v>
      </c>
      <c r="G1721" t="s">
        <v>1242</v>
      </c>
      <c r="H1721" t="s">
        <v>1243</v>
      </c>
      <c r="I1721" t="s">
        <v>83</v>
      </c>
      <c r="J1721" s="3" t="s">
        <v>1244</v>
      </c>
      <c r="K1721" t="s">
        <v>1245</v>
      </c>
      <c r="L1721" s="4">
        <v>10</v>
      </c>
      <c r="M1721" s="4">
        <v>0</v>
      </c>
      <c r="N1721">
        <v>10</v>
      </c>
      <c r="O1721" t="s">
        <v>118</v>
      </c>
      <c r="P1721">
        <v>1050</v>
      </c>
      <c r="Q1721">
        <f>QtyRemaining*EstMfgMin/60</f>
        <v>175</v>
      </c>
      <c r="U1721" t="e">
        <f t="shared" si="54"/>
        <v>#REF!</v>
      </c>
      <c r="V1721" s="5" t="e">
        <f t="shared" si="55"/>
        <v>#REF!</v>
      </c>
    </row>
    <row r="1722" spans="1:22" x14ac:dyDescent="0.25">
      <c r="A1722" s="2">
        <v>46282</v>
      </c>
      <c r="B1722" s="2">
        <v>45933</v>
      </c>
      <c r="C1722" t="s">
        <v>523</v>
      </c>
      <c r="D1722">
        <v>38</v>
      </c>
      <c r="E1722" t="s">
        <v>1998</v>
      </c>
      <c r="F1722" t="s">
        <v>211</v>
      </c>
      <c r="G1722" t="s">
        <v>1999</v>
      </c>
      <c r="H1722" t="s">
        <v>2000</v>
      </c>
      <c r="I1722" t="s">
        <v>83</v>
      </c>
      <c r="J1722" s="3" t="s">
        <v>2001</v>
      </c>
      <c r="K1722" t="s">
        <v>2002</v>
      </c>
      <c r="L1722" s="4">
        <v>4</v>
      </c>
      <c r="M1722" s="4">
        <v>0</v>
      </c>
      <c r="N1722">
        <v>4</v>
      </c>
      <c r="O1722" t="s">
        <v>94</v>
      </c>
      <c r="P1722">
        <v>600</v>
      </c>
      <c r="Q1722">
        <f>QtyRemaining*EstMfgMin/60</f>
        <v>40</v>
      </c>
      <c r="U1722" t="e">
        <f t="shared" si="54"/>
        <v>#REF!</v>
      </c>
      <c r="V1722" s="5" t="e">
        <f t="shared" si="55"/>
        <v>#REF!</v>
      </c>
    </row>
    <row r="1723" spans="1:22" x14ac:dyDescent="0.25">
      <c r="A1723" s="2">
        <v>46282</v>
      </c>
      <c r="B1723" s="2">
        <v>45933</v>
      </c>
      <c r="C1723" t="s">
        <v>523</v>
      </c>
      <c r="D1723">
        <v>38</v>
      </c>
      <c r="E1723" t="s">
        <v>1998</v>
      </c>
      <c r="F1723" t="s">
        <v>211</v>
      </c>
      <c r="G1723" t="s">
        <v>1999</v>
      </c>
      <c r="H1723" t="s">
        <v>2000</v>
      </c>
      <c r="I1723" t="s">
        <v>83</v>
      </c>
      <c r="J1723" s="3" t="s">
        <v>2003</v>
      </c>
      <c r="K1723" t="s">
        <v>2004</v>
      </c>
      <c r="L1723" s="4">
        <v>4</v>
      </c>
      <c r="M1723" s="4">
        <v>0</v>
      </c>
      <c r="N1723">
        <v>4</v>
      </c>
      <c r="O1723" t="s">
        <v>457</v>
      </c>
      <c r="P1723">
        <v>240</v>
      </c>
      <c r="Q1723">
        <f>QtyRemaining*EstMfgMin/60</f>
        <v>16</v>
      </c>
      <c r="U1723" t="e">
        <f t="shared" si="54"/>
        <v>#REF!</v>
      </c>
      <c r="V1723" s="5" t="e">
        <f t="shared" si="55"/>
        <v>#REF!</v>
      </c>
    </row>
    <row r="1724" spans="1:22" x14ac:dyDescent="0.25">
      <c r="A1724" s="2">
        <v>46282</v>
      </c>
      <c r="B1724" s="2">
        <v>45933</v>
      </c>
      <c r="C1724" t="s">
        <v>523</v>
      </c>
      <c r="D1724">
        <v>38</v>
      </c>
      <c r="E1724" t="s">
        <v>1998</v>
      </c>
      <c r="F1724" t="s">
        <v>211</v>
      </c>
      <c r="G1724" t="s">
        <v>1999</v>
      </c>
      <c r="H1724" t="s">
        <v>2000</v>
      </c>
      <c r="I1724" t="s">
        <v>83</v>
      </c>
      <c r="J1724" s="3" t="s">
        <v>2005</v>
      </c>
      <c r="K1724" t="s">
        <v>2006</v>
      </c>
      <c r="L1724" s="4">
        <v>4</v>
      </c>
      <c r="M1724" s="4">
        <v>0</v>
      </c>
      <c r="N1724">
        <v>4</v>
      </c>
      <c r="O1724" t="s">
        <v>457</v>
      </c>
      <c r="P1724">
        <v>240</v>
      </c>
      <c r="Q1724">
        <f>QtyRemaining*EstMfgMin/60</f>
        <v>16</v>
      </c>
      <c r="U1724" t="e">
        <f t="shared" si="54"/>
        <v>#REF!</v>
      </c>
      <c r="V1724" s="5" t="e">
        <f t="shared" si="55"/>
        <v>#REF!</v>
      </c>
    </row>
    <row r="1725" spans="1:22" x14ac:dyDescent="0.25">
      <c r="A1725" s="2">
        <v>46286</v>
      </c>
      <c r="B1725" s="2">
        <v>45926</v>
      </c>
      <c r="C1725" t="s">
        <v>523</v>
      </c>
      <c r="D1725">
        <v>39</v>
      </c>
      <c r="E1725" t="s">
        <v>3409</v>
      </c>
      <c r="F1725" t="s">
        <v>261</v>
      </c>
      <c r="G1725" t="s">
        <v>262</v>
      </c>
      <c r="H1725" t="s">
        <v>3410</v>
      </c>
      <c r="I1725" t="s">
        <v>83</v>
      </c>
      <c r="J1725" s="3" t="s">
        <v>3411</v>
      </c>
      <c r="K1725" t="s">
        <v>3412</v>
      </c>
      <c r="L1725" s="4">
        <v>10</v>
      </c>
      <c r="M1725" s="4">
        <v>0</v>
      </c>
      <c r="N1725">
        <v>10</v>
      </c>
      <c r="O1725" t="s">
        <v>457</v>
      </c>
      <c r="P1725">
        <v>330</v>
      </c>
      <c r="Q1725">
        <f>QtyRemaining*EstMfgMin/60</f>
        <v>55</v>
      </c>
      <c r="U1725" t="e">
        <f t="shared" si="54"/>
        <v>#REF!</v>
      </c>
      <c r="V1725" s="5" t="e">
        <f t="shared" si="55"/>
        <v>#REF!</v>
      </c>
    </row>
    <row r="1726" spans="1:22" x14ac:dyDescent="0.25">
      <c r="A1726" s="2">
        <v>46286</v>
      </c>
      <c r="B1726" s="2">
        <v>45926</v>
      </c>
      <c r="C1726" t="s">
        <v>523</v>
      </c>
      <c r="D1726">
        <v>39</v>
      </c>
      <c r="E1726" t="s">
        <v>3409</v>
      </c>
      <c r="F1726" t="s">
        <v>261</v>
      </c>
      <c r="G1726" t="s">
        <v>262</v>
      </c>
      <c r="H1726" t="s">
        <v>3410</v>
      </c>
      <c r="I1726" t="s">
        <v>83</v>
      </c>
      <c r="J1726" s="3" t="s">
        <v>3411</v>
      </c>
      <c r="K1726" t="s">
        <v>3412</v>
      </c>
      <c r="L1726" s="4">
        <v>10</v>
      </c>
      <c r="M1726" s="4">
        <v>0</v>
      </c>
      <c r="N1726">
        <v>10</v>
      </c>
      <c r="O1726" t="s">
        <v>457</v>
      </c>
      <c r="P1726">
        <v>330</v>
      </c>
      <c r="Q1726">
        <f>QtyRemaining*EstMfgMin/60</f>
        <v>55</v>
      </c>
      <c r="U1726" t="e">
        <f t="shared" si="54"/>
        <v>#REF!</v>
      </c>
      <c r="V1726" s="5" t="e">
        <f t="shared" si="55"/>
        <v>#REF!</v>
      </c>
    </row>
    <row r="1727" spans="1:22" x14ac:dyDescent="0.25">
      <c r="A1727" s="2">
        <v>46287</v>
      </c>
      <c r="B1727" s="2">
        <v>46044</v>
      </c>
      <c r="C1727" t="s">
        <v>1168</v>
      </c>
      <c r="D1727">
        <v>39</v>
      </c>
      <c r="E1727" t="s">
        <v>3487</v>
      </c>
      <c r="F1727" t="s">
        <v>283</v>
      </c>
      <c r="G1727" t="s">
        <v>1170</v>
      </c>
      <c r="H1727" t="s">
        <v>3488</v>
      </c>
      <c r="I1727" t="s">
        <v>224</v>
      </c>
      <c r="J1727" s="3" t="s">
        <v>3489</v>
      </c>
      <c r="K1727" t="s">
        <v>3490</v>
      </c>
      <c r="L1727" s="4">
        <v>30</v>
      </c>
      <c r="M1727" s="4">
        <v>0</v>
      </c>
      <c r="N1727">
        <v>30</v>
      </c>
      <c r="O1727" t="s">
        <v>176</v>
      </c>
      <c r="P1727">
        <v>40</v>
      </c>
      <c r="Q1727">
        <f>QtyRemaining*EstMfgMin/60</f>
        <v>20</v>
      </c>
      <c r="U1727" t="e">
        <f t="shared" si="54"/>
        <v>#REF!</v>
      </c>
      <c r="V1727" s="5" t="e">
        <f t="shared" si="55"/>
        <v>#REF!</v>
      </c>
    </row>
    <row r="1728" spans="1:22" x14ac:dyDescent="0.25">
      <c r="A1728" s="2">
        <v>46289</v>
      </c>
      <c r="B1728" s="2">
        <v>45142</v>
      </c>
      <c r="C1728" t="s">
        <v>485</v>
      </c>
      <c r="D1728">
        <v>39</v>
      </c>
      <c r="E1728" t="s">
        <v>486</v>
      </c>
      <c r="F1728" t="s">
        <v>211</v>
      </c>
      <c r="G1728" t="s">
        <v>487</v>
      </c>
      <c r="H1728" t="s">
        <v>488</v>
      </c>
      <c r="I1728" t="s">
        <v>83</v>
      </c>
      <c r="J1728" s="3" t="s">
        <v>489</v>
      </c>
      <c r="K1728" t="s">
        <v>490</v>
      </c>
      <c r="L1728" s="4">
        <v>40</v>
      </c>
      <c r="M1728" s="4">
        <v>0</v>
      </c>
      <c r="N1728">
        <v>40</v>
      </c>
      <c r="O1728" t="s">
        <v>94</v>
      </c>
      <c r="P1728">
        <v>56</v>
      </c>
      <c r="Q1728">
        <f>QtyRemaining*EstMfgMin/60</f>
        <v>37.333333333333336</v>
      </c>
      <c r="U1728" t="e">
        <f t="shared" si="54"/>
        <v>#REF!</v>
      </c>
      <c r="V1728" s="5" t="e">
        <f t="shared" si="55"/>
        <v>#REF!</v>
      </c>
    </row>
    <row r="1729" spans="1:22" x14ac:dyDescent="0.25">
      <c r="A1729" s="2">
        <v>46290</v>
      </c>
      <c r="B1729" s="2">
        <v>45891</v>
      </c>
      <c r="C1729" t="s">
        <v>232</v>
      </c>
      <c r="D1729">
        <v>39</v>
      </c>
      <c r="E1729" t="s">
        <v>1418</v>
      </c>
      <c r="F1729" t="s">
        <v>211</v>
      </c>
      <c r="G1729" t="s">
        <v>270</v>
      </c>
      <c r="H1729" t="s">
        <v>1419</v>
      </c>
      <c r="I1729" t="s">
        <v>214</v>
      </c>
      <c r="J1729" s="3" t="s">
        <v>1420</v>
      </c>
      <c r="K1729" t="s">
        <v>1421</v>
      </c>
      <c r="L1729" s="4">
        <v>15</v>
      </c>
      <c r="M1729" s="4">
        <v>0</v>
      </c>
      <c r="N1729">
        <v>15</v>
      </c>
      <c r="O1729" t="s">
        <v>176</v>
      </c>
      <c r="P1729">
        <v>30</v>
      </c>
      <c r="Q1729">
        <f>QtyRemaining*EstMfgMin/60</f>
        <v>7.5</v>
      </c>
      <c r="U1729" t="e">
        <f t="shared" si="54"/>
        <v>#REF!</v>
      </c>
      <c r="V1729" s="5" t="e">
        <f t="shared" si="55"/>
        <v>#REF!</v>
      </c>
    </row>
    <row r="1730" spans="1:22" x14ac:dyDescent="0.25">
      <c r="A1730" s="2">
        <v>46295</v>
      </c>
      <c r="B1730" s="2">
        <v>45462</v>
      </c>
      <c r="C1730" t="s">
        <v>550</v>
      </c>
      <c r="D1730">
        <v>40</v>
      </c>
      <c r="E1730" t="s">
        <v>3047</v>
      </c>
      <c r="F1730" t="s">
        <v>261</v>
      </c>
      <c r="G1730" t="s">
        <v>552</v>
      </c>
      <c r="H1730" t="s">
        <v>3048</v>
      </c>
      <c r="I1730" t="s">
        <v>122</v>
      </c>
      <c r="J1730" s="3" t="s">
        <v>3049</v>
      </c>
      <c r="K1730" t="s">
        <v>2414</v>
      </c>
      <c r="L1730" s="4">
        <v>15000</v>
      </c>
      <c r="M1730" s="4">
        <v>0</v>
      </c>
      <c r="N1730">
        <v>15000</v>
      </c>
      <c r="O1730" t="s">
        <v>146</v>
      </c>
      <c r="P1730">
        <v>0</v>
      </c>
      <c r="Q1730">
        <f>QtyRemaining*EstMfgMin/60</f>
        <v>0</v>
      </c>
      <c r="U1730" t="e">
        <f t="shared" si="54"/>
        <v>#REF!</v>
      </c>
      <c r="V1730" s="5" t="e">
        <f t="shared" si="55"/>
        <v>#REF!</v>
      </c>
    </row>
    <row r="1731" spans="1:22" x14ac:dyDescent="0.25">
      <c r="A1731" s="2">
        <v>46295</v>
      </c>
      <c r="B1731" s="2">
        <v>45933</v>
      </c>
      <c r="C1731" t="s">
        <v>685</v>
      </c>
      <c r="D1731">
        <v>40</v>
      </c>
      <c r="E1731" t="s">
        <v>3474</v>
      </c>
      <c r="F1731" t="s">
        <v>261</v>
      </c>
      <c r="G1731" t="s">
        <v>262</v>
      </c>
      <c r="H1731" t="s">
        <v>3475</v>
      </c>
      <c r="I1731" t="s">
        <v>83</v>
      </c>
      <c r="J1731" s="3" t="s">
        <v>3476</v>
      </c>
      <c r="K1731" t="s">
        <v>3477</v>
      </c>
      <c r="L1731" s="4">
        <v>25</v>
      </c>
      <c r="M1731" s="4">
        <v>0</v>
      </c>
      <c r="N1731">
        <v>25</v>
      </c>
      <c r="O1731" t="s">
        <v>457</v>
      </c>
      <c r="P1731">
        <v>60</v>
      </c>
      <c r="Q1731">
        <f>QtyRemaining*EstMfgMin/60</f>
        <v>25</v>
      </c>
      <c r="U1731" t="e">
        <f t="shared" ref="U1731:U1794" si="56">VLOOKUP(A1731,Calendar,13,FALSE)</f>
        <v>#REF!</v>
      </c>
      <c r="V1731" s="5" t="e">
        <f t="shared" ref="V1731:V1794" si="57">VLOOKUP(A1731,Calendar,14,FALSE)</f>
        <v>#REF!</v>
      </c>
    </row>
    <row r="1732" spans="1:22" x14ac:dyDescent="0.25">
      <c r="A1732" s="2">
        <v>46296</v>
      </c>
      <c r="B1732" s="2">
        <v>45825</v>
      </c>
      <c r="C1732" t="s">
        <v>221</v>
      </c>
      <c r="D1732">
        <v>40</v>
      </c>
      <c r="E1732" t="s">
        <v>2825</v>
      </c>
      <c r="F1732" t="s">
        <v>211</v>
      </c>
      <c r="G1732" t="s">
        <v>1731</v>
      </c>
      <c r="H1732" t="s">
        <v>2826</v>
      </c>
      <c r="I1732" t="s">
        <v>256</v>
      </c>
      <c r="J1732" s="3" t="s">
        <v>2827</v>
      </c>
      <c r="K1732" t="s">
        <v>2828</v>
      </c>
      <c r="L1732" s="4">
        <v>46</v>
      </c>
      <c r="M1732" s="4">
        <v>0</v>
      </c>
      <c r="N1732">
        <v>46</v>
      </c>
      <c r="O1732" t="s">
        <v>146</v>
      </c>
      <c r="P1732">
        <v>11</v>
      </c>
      <c r="Q1732">
        <f>QtyRemaining*EstMfgMin/60</f>
        <v>8.4333333333333336</v>
      </c>
      <c r="U1732" t="e">
        <f t="shared" si="56"/>
        <v>#REF!</v>
      </c>
      <c r="V1732" s="5" t="e">
        <f t="shared" si="57"/>
        <v>#REF!</v>
      </c>
    </row>
    <row r="1733" spans="1:22" x14ac:dyDescent="0.25">
      <c r="A1733" s="2">
        <v>46297</v>
      </c>
      <c r="B1733" s="2">
        <v>46028</v>
      </c>
      <c r="C1733" t="s">
        <v>550</v>
      </c>
      <c r="D1733">
        <v>40</v>
      </c>
      <c r="E1733" t="s">
        <v>3491</v>
      </c>
      <c r="F1733" t="s">
        <v>261</v>
      </c>
      <c r="G1733" t="s">
        <v>552</v>
      </c>
      <c r="H1733" t="s">
        <v>3492</v>
      </c>
      <c r="I1733" t="s">
        <v>83</v>
      </c>
      <c r="J1733" s="3" t="s">
        <v>3493</v>
      </c>
      <c r="K1733" t="s">
        <v>3494</v>
      </c>
      <c r="L1733" s="4">
        <v>191</v>
      </c>
      <c r="M1733" s="4">
        <v>0</v>
      </c>
      <c r="N1733">
        <v>191</v>
      </c>
      <c r="O1733" t="s">
        <v>146</v>
      </c>
      <c r="P1733">
        <v>20</v>
      </c>
      <c r="Q1733">
        <f>QtyRemaining*EstMfgMin/60</f>
        <v>63.666666666666664</v>
      </c>
      <c r="U1733" t="e">
        <f t="shared" si="56"/>
        <v>#REF!</v>
      </c>
      <c r="V1733" s="5" t="e">
        <f t="shared" si="57"/>
        <v>#REF!</v>
      </c>
    </row>
    <row r="1734" spans="1:22" x14ac:dyDescent="0.25">
      <c r="A1734" s="2">
        <v>46300</v>
      </c>
      <c r="B1734" s="2">
        <v>45674</v>
      </c>
      <c r="C1734" t="s">
        <v>570</v>
      </c>
      <c r="D1734">
        <v>41</v>
      </c>
      <c r="E1734" t="s">
        <v>571</v>
      </c>
      <c r="F1734" t="s">
        <v>261</v>
      </c>
      <c r="G1734" t="s">
        <v>262</v>
      </c>
      <c r="H1734" t="s">
        <v>572</v>
      </c>
      <c r="I1734" t="s">
        <v>83</v>
      </c>
      <c r="J1734" s="3" t="s">
        <v>2963</v>
      </c>
      <c r="K1734" t="s">
        <v>2964</v>
      </c>
      <c r="L1734" s="4">
        <v>4</v>
      </c>
      <c r="M1734" s="4">
        <v>0</v>
      </c>
      <c r="N1734">
        <v>4</v>
      </c>
      <c r="O1734" t="s">
        <v>118</v>
      </c>
      <c r="P1734">
        <v>0</v>
      </c>
      <c r="Q1734">
        <f>QtyRemaining*EstMfgMin/60</f>
        <v>0</v>
      </c>
      <c r="U1734" t="e">
        <f t="shared" si="56"/>
        <v>#REF!</v>
      </c>
      <c r="V1734" s="5" t="e">
        <f t="shared" si="57"/>
        <v>#REF!</v>
      </c>
    </row>
    <row r="1735" spans="1:22" x14ac:dyDescent="0.25">
      <c r="A1735" s="2">
        <v>46300</v>
      </c>
      <c r="B1735" s="2">
        <v>45674</v>
      </c>
      <c r="C1735" t="s">
        <v>570</v>
      </c>
      <c r="D1735">
        <v>41</v>
      </c>
      <c r="E1735" t="s">
        <v>571</v>
      </c>
      <c r="F1735" t="s">
        <v>261</v>
      </c>
      <c r="G1735" t="s">
        <v>262</v>
      </c>
      <c r="H1735" t="s">
        <v>572</v>
      </c>
      <c r="I1735" t="s">
        <v>83</v>
      </c>
      <c r="J1735" s="3" t="s">
        <v>2963</v>
      </c>
      <c r="K1735" t="s">
        <v>2964</v>
      </c>
      <c r="L1735" s="4">
        <v>4</v>
      </c>
      <c r="M1735" s="4">
        <v>0</v>
      </c>
      <c r="N1735">
        <v>4</v>
      </c>
      <c r="O1735" t="s">
        <v>118</v>
      </c>
      <c r="P1735">
        <v>0</v>
      </c>
      <c r="Q1735">
        <f>QtyRemaining*EstMfgMin/60</f>
        <v>0</v>
      </c>
      <c r="U1735" t="e">
        <f t="shared" si="56"/>
        <v>#REF!</v>
      </c>
      <c r="V1735" s="5" t="e">
        <f t="shared" si="57"/>
        <v>#REF!</v>
      </c>
    </row>
    <row r="1736" spans="1:22" x14ac:dyDescent="0.25">
      <c r="A1736" s="2">
        <v>46300</v>
      </c>
      <c r="B1736" s="2">
        <v>45674</v>
      </c>
      <c r="C1736" t="s">
        <v>570</v>
      </c>
      <c r="D1736">
        <v>41</v>
      </c>
      <c r="E1736" t="s">
        <v>571</v>
      </c>
      <c r="F1736" t="s">
        <v>261</v>
      </c>
      <c r="G1736" t="s">
        <v>262</v>
      </c>
      <c r="H1736" t="s">
        <v>572</v>
      </c>
      <c r="I1736" t="s">
        <v>83</v>
      </c>
      <c r="J1736" s="3" t="s">
        <v>2965</v>
      </c>
      <c r="K1736" t="s">
        <v>2289</v>
      </c>
      <c r="L1736" s="4">
        <v>5</v>
      </c>
      <c r="M1736" s="4">
        <v>0</v>
      </c>
      <c r="N1736">
        <v>5</v>
      </c>
      <c r="O1736" t="s">
        <v>118</v>
      </c>
      <c r="P1736">
        <v>0</v>
      </c>
      <c r="Q1736">
        <f>QtyRemaining*EstMfgMin/60</f>
        <v>0</v>
      </c>
      <c r="U1736" t="e">
        <f t="shared" si="56"/>
        <v>#REF!</v>
      </c>
      <c r="V1736" s="5" t="e">
        <f t="shared" si="57"/>
        <v>#REF!</v>
      </c>
    </row>
    <row r="1737" spans="1:22" x14ac:dyDescent="0.25">
      <c r="A1737" s="2">
        <v>46300</v>
      </c>
      <c r="B1737" s="2">
        <v>45674</v>
      </c>
      <c r="C1737" t="s">
        <v>570</v>
      </c>
      <c r="D1737">
        <v>41</v>
      </c>
      <c r="E1737" t="s">
        <v>571</v>
      </c>
      <c r="F1737" t="s">
        <v>261</v>
      </c>
      <c r="G1737" t="s">
        <v>262</v>
      </c>
      <c r="H1737" t="s">
        <v>572</v>
      </c>
      <c r="I1737" t="s">
        <v>83</v>
      </c>
      <c r="J1737" s="3" t="s">
        <v>2965</v>
      </c>
      <c r="K1737" t="s">
        <v>2289</v>
      </c>
      <c r="L1737" s="4">
        <v>3</v>
      </c>
      <c r="M1737" s="4">
        <v>0</v>
      </c>
      <c r="N1737">
        <v>3</v>
      </c>
      <c r="O1737" t="s">
        <v>118</v>
      </c>
      <c r="P1737">
        <v>0</v>
      </c>
      <c r="Q1737">
        <f>QtyRemaining*EstMfgMin/60</f>
        <v>0</v>
      </c>
      <c r="U1737" t="e">
        <f t="shared" si="56"/>
        <v>#REF!</v>
      </c>
      <c r="V1737" s="5" t="e">
        <f t="shared" si="57"/>
        <v>#REF!</v>
      </c>
    </row>
    <row r="1738" spans="1:22" x14ac:dyDescent="0.25">
      <c r="A1738" s="2">
        <v>46300</v>
      </c>
      <c r="B1738" s="2">
        <v>45674</v>
      </c>
      <c r="C1738" t="s">
        <v>570</v>
      </c>
      <c r="D1738">
        <v>41</v>
      </c>
      <c r="E1738" t="s">
        <v>571</v>
      </c>
      <c r="F1738" t="s">
        <v>261</v>
      </c>
      <c r="G1738" t="s">
        <v>262</v>
      </c>
      <c r="H1738" t="s">
        <v>572</v>
      </c>
      <c r="I1738" t="s">
        <v>83</v>
      </c>
      <c r="J1738" s="3" t="s">
        <v>2288</v>
      </c>
      <c r="K1738" t="s">
        <v>2289</v>
      </c>
      <c r="L1738" s="4">
        <v>5</v>
      </c>
      <c r="M1738" s="4">
        <v>0</v>
      </c>
      <c r="N1738">
        <v>5</v>
      </c>
      <c r="O1738" t="s">
        <v>118</v>
      </c>
      <c r="P1738">
        <v>0</v>
      </c>
      <c r="Q1738">
        <f>QtyRemaining*EstMfgMin/60</f>
        <v>0</v>
      </c>
      <c r="U1738" t="e">
        <f t="shared" si="56"/>
        <v>#REF!</v>
      </c>
      <c r="V1738" s="5" t="e">
        <f t="shared" si="57"/>
        <v>#REF!</v>
      </c>
    </row>
    <row r="1739" spans="1:22" x14ac:dyDescent="0.25">
      <c r="A1739" s="2">
        <v>46300</v>
      </c>
      <c r="B1739" s="2">
        <v>45674</v>
      </c>
      <c r="C1739" t="s">
        <v>570</v>
      </c>
      <c r="D1739">
        <v>41</v>
      </c>
      <c r="E1739" t="s">
        <v>571</v>
      </c>
      <c r="F1739" t="s">
        <v>261</v>
      </c>
      <c r="G1739" t="s">
        <v>262</v>
      </c>
      <c r="H1739" t="s">
        <v>572</v>
      </c>
      <c r="I1739" t="s">
        <v>83</v>
      </c>
      <c r="J1739" s="3" t="s">
        <v>2288</v>
      </c>
      <c r="K1739" t="s">
        <v>2289</v>
      </c>
      <c r="L1739" s="4">
        <v>3</v>
      </c>
      <c r="M1739" s="4">
        <v>0</v>
      </c>
      <c r="N1739">
        <v>3</v>
      </c>
      <c r="O1739" t="s">
        <v>118</v>
      </c>
      <c r="P1739">
        <v>0</v>
      </c>
      <c r="Q1739">
        <f>QtyRemaining*EstMfgMin/60</f>
        <v>0</v>
      </c>
      <c r="U1739" t="e">
        <f t="shared" si="56"/>
        <v>#REF!</v>
      </c>
      <c r="V1739" s="5" t="e">
        <f t="shared" si="57"/>
        <v>#REF!</v>
      </c>
    </row>
    <row r="1740" spans="1:22" x14ac:dyDescent="0.25">
      <c r="A1740" s="2">
        <v>46300</v>
      </c>
      <c r="B1740" s="2">
        <v>45755</v>
      </c>
      <c r="C1740" t="s">
        <v>221</v>
      </c>
      <c r="D1740">
        <v>41</v>
      </c>
      <c r="E1740" t="s">
        <v>3389</v>
      </c>
      <c r="F1740" t="s">
        <v>211</v>
      </c>
      <c r="G1740" t="s">
        <v>519</v>
      </c>
      <c r="H1740" t="s">
        <v>3390</v>
      </c>
      <c r="I1740" t="s">
        <v>83</v>
      </c>
      <c r="J1740" s="3" t="s">
        <v>3391</v>
      </c>
      <c r="K1740" t="s">
        <v>3392</v>
      </c>
      <c r="L1740" s="4">
        <v>8</v>
      </c>
      <c r="M1740" s="4">
        <v>0</v>
      </c>
      <c r="N1740">
        <v>8</v>
      </c>
      <c r="O1740" t="s">
        <v>118</v>
      </c>
      <c r="P1740">
        <v>0</v>
      </c>
      <c r="Q1740">
        <f>QtyRemaining*EstMfgMin/60</f>
        <v>0</v>
      </c>
      <c r="U1740" t="e">
        <f t="shared" si="56"/>
        <v>#REF!</v>
      </c>
      <c r="V1740" s="5" t="e">
        <f t="shared" si="57"/>
        <v>#REF!</v>
      </c>
    </row>
    <row r="1741" spans="1:22" x14ac:dyDescent="0.25">
      <c r="A1741" s="2">
        <v>46300</v>
      </c>
      <c r="B1741" s="2">
        <v>45755</v>
      </c>
      <c r="C1741" t="s">
        <v>221</v>
      </c>
      <c r="D1741">
        <v>41</v>
      </c>
      <c r="E1741" t="s">
        <v>3389</v>
      </c>
      <c r="F1741" t="s">
        <v>211</v>
      </c>
      <c r="G1741" t="s">
        <v>519</v>
      </c>
      <c r="H1741" t="s">
        <v>3390</v>
      </c>
      <c r="I1741" t="s">
        <v>83</v>
      </c>
      <c r="J1741" s="3" t="s">
        <v>3393</v>
      </c>
      <c r="K1741" t="s">
        <v>3394</v>
      </c>
      <c r="L1741" s="4">
        <v>8</v>
      </c>
      <c r="M1741" s="4">
        <v>0</v>
      </c>
      <c r="N1741">
        <v>8</v>
      </c>
      <c r="O1741" t="s">
        <v>118</v>
      </c>
      <c r="P1741">
        <v>0</v>
      </c>
      <c r="Q1741">
        <f>QtyRemaining*EstMfgMin/60</f>
        <v>0</v>
      </c>
      <c r="U1741" t="e">
        <f t="shared" si="56"/>
        <v>#REF!</v>
      </c>
      <c r="V1741" s="5" t="e">
        <f t="shared" si="57"/>
        <v>#REF!</v>
      </c>
    </row>
    <row r="1742" spans="1:22" x14ac:dyDescent="0.25">
      <c r="A1742" s="2">
        <v>46300</v>
      </c>
      <c r="B1742" s="2">
        <v>45755</v>
      </c>
      <c r="C1742" t="s">
        <v>221</v>
      </c>
      <c r="D1742">
        <v>41</v>
      </c>
      <c r="E1742" t="s">
        <v>3389</v>
      </c>
      <c r="F1742" t="s">
        <v>211</v>
      </c>
      <c r="G1742" t="s">
        <v>519</v>
      </c>
      <c r="H1742" t="s">
        <v>3390</v>
      </c>
      <c r="I1742" t="s">
        <v>83</v>
      </c>
      <c r="J1742" s="3" t="s">
        <v>3395</v>
      </c>
      <c r="K1742" t="s">
        <v>3394</v>
      </c>
      <c r="L1742" s="4">
        <v>8</v>
      </c>
      <c r="M1742" s="4">
        <v>0</v>
      </c>
      <c r="N1742">
        <v>8</v>
      </c>
      <c r="O1742" t="s">
        <v>118</v>
      </c>
      <c r="P1742">
        <v>0</v>
      </c>
      <c r="Q1742">
        <f>QtyRemaining*EstMfgMin/60</f>
        <v>0</v>
      </c>
      <c r="U1742" t="e">
        <f t="shared" si="56"/>
        <v>#REF!</v>
      </c>
      <c r="V1742" s="5" t="e">
        <f t="shared" si="57"/>
        <v>#REF!</v>
      </c>
    </row>
    <row r="1743" spans="1:22" x14ac:dyDescent="0.25">
      <c r="A1743" s="2">
        <v>46304</v>
      </c>
      <c r="B1743" s="2">
        <v>45632</v>
      </c>
      <c r="C1743" t="s">
        <v>478</v>
      </c>
      <c r="D1743">
        <v>41</v>
      </c>
      <c r="E1743" t="s">
        <v>1137</v>
      </c>
      <c r="F1743" t="s">
        <v>261</v>
      </c>
      <c r="G1743" t="s">
        <v>510</v>
      </c>
      <c r="H1743" t="s">
        <v>1138</v>
      </c>
      <c r="I1743" t="s">
        <v>122</v>
      </c>
      <c r="J1743" s="3" t="s">
        <v>512</v>
      </c>
      <c r="K1743" t="s">
        <v>513</v>
      </c>
      <c r="L1743" s="4">
        <v>5</v>
      </c>
      <c r="M1743" s="4">
        <v>0</v>
      </c>
      <c r="N1743">
        <v>5</v>
      </c>
      <c r="O1743" t="s">
        <v>1139</v>
      </c>
      <c r="P1743">
        <v>1394</v>
      </c>
      <c r="Q1743">
        <f>QtyRemaining*EstMfgMin/60</f>
        <v>116.16666666666667</v>
      </c>
      <c r="U1743" t="e">
        <f t="shared" si="56"/>
        <v>#REF!</v>
      </c>
      <c r="V1743" s="5" t="e">
        <f t="shared" si="57"/>
        <v>#REF!</v>
      </c>
    </row>
    <row r="1744" spans="1:22" x14ac:dyDescent="0.25">
      <c r="A1744" s="2">
        <v>46304</v>
      </c>
      <c r="B1744" s="2">
        <v>45783</v>
      </c>
      <c r="C1744" t="s">
        <v>478</v>
      </c>
      <c r="D1744">
        <v>41</v>
      </c>
      <c r="E1744" t="s">
        <v>1227</v>
      </c>
      <c r="F1744" t="s">
        <v>261</v>
      </c>
      <c r="G1744" t="s">
        <v>1228</v>
      </c>
      <c r="H1744" t="s">
        <v>1229</v>
      </c>
      <c r="I1744" t="s">
        <v>83</v>
      </c>
      <c r="J1744" s="3" t="s">
        <v>1230</v>
      </c>
      <c r="K1744" t="s">
        <v>1231</v>
      </c>
      <c r="L1744" s="4">
        <v>30</v>
      </c>
      <c r="M1744" s="4">
        <v>0</v>
      </c>
      <c r="N1744">
        <v>30</v>
      </c>
      <c r="O1744" t="s">
        <v>457</v>
      </c>
      <c r="P1744">
        <v>15</v>
      </c>
      <c r="Q1744">
        <f>QtyRemaining*EstMfgMin/60</f>
        <v>7.5</v>
      </c>
      <c r="S1744" t="s">
        <v>1026</v>
      </c>
      <c r="U1744" t="e">
        <f t="shared" si="56"/>
        <v>#REF!</v>
      </c>
      <c r="V1744" s="5" t="e">
        <f t="shared" si="57"/>
        <v>#REF!</v>
      </c>
    </row>
    <row r="1745" spans="1:22" x14ac:dyDescent="0.25">
      <c r="A1745" s="2">
        <v>46308</v>
      </c>
      <c r="B1745" s="2">
        <v>46030</v>
      </c>
      <c r="C1745" t="s">
        <v>478</v>
      </c>
      <c r="D1745">
        <v>42</v>
      </c>
      <c r="E1745" t="s">
        <v>2947</v>
      </c>
      <c r="F1745" t="s">
        <v>261</v>
      </c>
      <c r="G1745" t="s">
        <v>2948</v>
      </c>
      <c r="H1745" t="s">
        <v>2949</v>
      </c>
      <c r="I1745" t="s">
        <v>155</v>
      </c>
      <c r="J1745" s="3" t="s">
        <v>3344</v>
      </c>
      <c r="K1745" t="s">
        <v>3345</v>
      </c>
      <c r="L1745" s="4">
        <v>30</v>
      </c>
      <c r="M1745" s="4">
        <v>0</v>
      </c>
      <c r="N1745">
        <v>30</v>
      </c>
      <c r="O1745" t="s">
        <v>118</v>
      </c>
      <c r="P1745">
        <v>24</v>
      </c>
      <c r="Q1745">
        <f>QtyRemaining*EstMfgMin/60</f>
        <v>12</v>
      </c>
      <c r="U1745" t="e">
        <f t="shared" si="56"/>
        <v>#REF!</v>
      </c>
      <c r="V1745" s="5" t="e">
        <f t="shared" si="57"/>
        <v>#REF!</v>
      </c>
    </row>
    <row r="1746" spans="1:22" x14ac:dyDescent="0.25">
      <c r="A1746" s="2">
        <v>46308</v>
      </c>
      <c r="B1746" s="2">
        <v>46030</v>
      </c>
      <c r="C1746" t="s">
        <v>478</v>
      </c>
      <c r="D1746">
        <v>42</v>
      </c>
      <c r="E1746" t="s">
        <v>2947</v>
      </c>
      <c r="F1746" t="s">
        <v>261</v>
      </c>
      <c r="G1746" t="s">
        <v>2948</v>
      </c>
      <c r="H1746" t="s">
        <v>2949</v>
      </c>
      <c r="I1746" t="s">
        <v>155</v>
      </c>
      <c r="J1746" s="3" t="s">
        <v>3346</v>
      </c>
      <c r="K1746" t="s">
        <v>3345</v>
      </c>
      <c r="L1746" s="4">
        <v>30</v>
      </c>
      <c r="M1746" s="4">
        <v>0</v>
      </c>
      <c r="N1746">
        <v>30</v>
      </c>
      <c r="O1746" t="s">
        <v>118</v>
      </c>
      <c r="P1746">
        <v>49</v>
      </c>
      <c r="Q1746">
        <f>QtyRemaining*EstMfgMin/60</f>
        <v>24.5</v>
      </c>
      <c r="U1746" t="e">
        <f t="shared" si="56"/>
        <v>#REF!</v>
      </c>
      <c r="V1746" s="5" t="e">
        <f t="shared" si="57"/>
        <v>#REF!</v>
      </c>
    </row>
    <row r="1747" spans="1:22" x14ac:dyDescent="0.25">
      <c r="A1747" s="2">
        <v>46308</v>
      </c>
      <c r="B1747" s="2">
        <v>46051</v>
      </c>
      <c r="C1747" t="s">
        <v>232</v>
      </c>
      <c r="D1747">
        <v>42</v>
      </c>
      <c r="E1747" t="s">
        <v>2938</v>
      </c>
      <c r="F1747" t="s">
        <v>211</v>
      </c>
      <c r="G1747" t="s">
        <v>270</v>
      </c>
      <c r="H1747" t="s">
        <v>2939</v>
      </c>
      <c r="I1747" t="s">
        <v>214</v>
      </c>
      <c r="J1747" s="3" t="s">
        <v>2940</v>
      </c>
      <c r="K1747" t="s">
        <v>2941</v>
      </c>
      <c r="L1747" s="4">
        <v>50</v>
      </c>
      <c r="M1747" s="4">
        <v>0</v>
      </c>
      <c r="N1747">
        <v>50</v>
      </c>
      <c r="O1747" t="s">
        <v>118</v>
      </c>
      <c r="P1747">
        <v>8</v>
      </c>
      <c r="Q1747">
        <f>QtyRemaining*EstMfgMin/60</f>
        <v>6.666666666666667</v>
      </c>
      <c r="U1747" t="e">
        <f t="shared" si="56"/>
        <v>#REF!</v>
      </c>
      <c r="V1747" s="5" t="e">
        <f t="shared" si="57"/>
        <v>#REF!</v>
      </c>
    </row>
    <row r="1748" spans="1:22" x14ac:dyDescent="0.25">
      <c r="A1748" s="2">
        <v>46311</v>
      </c>
      <c r="B1748" s="2">
        <v>45840</v>
      </c>
      <c r="C1748" t="s">
        <v>523</v>
      </c>
      <c r="D1748">
        <v>42</v>
      </c>
      <c r="E1748" t="s">
        <v>1241</v>
      </c>
      <c r="F1748" t="s">
        <v>261</v>
      </c>
      <c r="G1748" t="s">
        <v>1242</v>
      </c>
      <c r="H1748" t="s">
        <v>1243</v>
      </c>
      <c r="I1748" t="s">
        <v>83</v>
      </c>
      <c r="J1748" s="3" t="s">
        <v>1244</v>
      </c>
      <c r="K1748" t="s">
        <v>1245</v>
      </c>
      <c r="L1748" s="4">
        <v>10</v>
      </c>
      <c r="M1748" s="4">
        <v>0</v>
      </c>
      <c r="N1748">
        <v>10</v>
      </c>
      <c r="O1748" t="s">
        <v>118</v>
      </c>
      <c r="P1748">
        <v>1050</v>
      </c>
      <c r="Q1748">
        <f>QtyRemaining*EstMfgMin/60</f>
        <v>175</v>
      </c>
      <c r="U1748" t="e">
        <f t="shared" si="56"/>
        <v>#REF!</v>
      </c>
      <c r="V1748" s="5" t="e">
        <f t="shared" si="57"/>
        <v>#REF!</v>
      </c>
    </row>
    <row r="1749" spans="1:22" x14ac:dyDescent="0.25">
      <c r="A1749" s="2">
        <v>46311</v>
      </c>
      <c r="B1749" s="2">
        <v>46010</v>
      </c>
      <c r="C1749" t="s">
        <v>633</v>
      </c>
      <c r="D1749">
        <v>42</v>
      </c>
      <c r="E1749" t="s">
        <v>3495</v>
      </c>
      <c r="F1749" t="s">
        <v>211</v>
      </c>
      <c r="G1749" t="s">
        <v>262</v>
      </c>
      <c r="H1749" t="s">
        <v>3496</v>
      </c>
      <c r="I1749" t="s">
        <v>83</v>
      </c>
      <c r="J1749" s="3" t="s">
        <v>3497</v>
      </c>
      <c r="K1749" t="s">
        <v>3498</v>
      </c>
      <c r="L1749" s="4">
        <v>51</v>
      </c>
      <c r="M1749" s="4">
        <v>0</v>
      </c>
      <c r="N1749">
        <v>51</v>
      </c>
      <c r="O1749" t="s">
        <v>176</v>
      </c>
      <c r="P1749">
        <v>70</v>
      </c>
      <c r="Q1749">
        <f>QtyRemaining*EstMfgMin/60</f>
        <v>59.5</v>
      </c>
      <c r="U1749" t="e">
        <f t="shared" si="56"/>
        <v>#REF!</v>
      </c>
      <c r="V1749" s="5" t="e">
        <f t="shared" si="57"/>
        <v>#REF!</v>
      </c>
    </row>
    <row r="1750" spans="1:22" x14ac:dyDescent="0.25">
      <c r="A1750" s="2">
        <v>46314</v>
      </c>
      <c r="B1750" s="2">
        <v>45933</v>
      </c>
      <c r="C1750" t="s">
        <v>523</v>
      </c>
      <c r="D1750">
        <v>43</v>
      </c>
      <c r="E1750" t="s">
        <v>1998</v>
      </c>
      <c r="F1750" t="s">
        <v>211</v>
      </c>
      <c r="G1750" t="s">
        <v>1999</v>
      </c>
      <c r="H1750" t="s">
        <v>2000</v>
      </c>
      <c r="I1750" t="s">
        <v>83</v>
      </c>
      <c r="J1750" s="3" t="s">
        <v>2001</v>
      </c>
      <c r="K1750" t="s">
        <v>2002</v>
      </c>
      <c r="L1750" s="4">
        <v>4</v>
      </c>
      <c r="M1750" s="4">
        <v>0</v>
      </c>
      <c r="N1750">
        <v>4</v>
      </c>
      <c r="O1750" t="s">
        <v>94</v>
      </c>
      <c r="P1750">
        <v>600</v>
      </c>
      <c r="Q1750">
        <f>QtyRemaining*EstMfgMin/60</f>
        <v>40</v>
      </c>
      <c r="U1750" t="e">
        <f t="shared" si="56"/>
        <v>#REF!</v>
      </c>
      <c r="V1750" s="5" t="e">
        <f t="shared" si="57"/>
        <v>#REF!</v>
      </c>
    </row>
    <row r="1751" spans="1:22" x14ac:dyDescent="0.25">
      <c r="A1751" s="2">
        <v>46314</v>
      </c>
      <c r="B1751" s="2">
        <v>45933</v>
      </c>
      <c r="C1751" t="s">
        <v>523</v>
      </c>
      <c r="D1751">
        <v>43</v>
      </c>
      <c r="E1751" t="s">
        <v>1998</v>
      </c>
      <c r="F1751" t="s">
        <v>211</v>
      </c>
      <c r="G1751" t="s">
        <v>1999</v>
      </c>
      <c r="H1751" t="s">
        <v>2000</v>
      </c>
      <c r="I1751" t="s">
        <v>83</v>
      </c>
      <c r="J1751" s="3" t="s">
        <v>2003</v>
      </c>
      <c r="K1751" t="s">
        <v>2004</v>
      </c>
      <c r="L1751" s="4">
        <v>4</v>
      </c>
      <c r="M1751" s="4">
        <v>0</v>
      </c>
      <c r="N1751">
        <v>4</v>
      </c>
      <c r="O1751" t="s">
        <v>457</v>
      </c>
      <c r="P1751">
        <v>240</v>
      </c>
      <c r="Q1751">
        <f>QtyRemaining*EstMfgMin/60</f>
        <v>16</v>
      </c>
      <c r="U1751" t="e">
        <f t="shared" si="56"/>
        <v>#REF!</v>
      </c>
      <c r="V1751" s="5" t="e">
        <f t="shared" si="57"/>
        <v>#REF!</v>
      </c>
    </row>
    <row r="1752" spans="1:22" x14ac:dyDescent="0.25">
      <c r="A1752" s="2">
        <v>46314</v>
      </c>
      <c r="B1752" s="2">
        <v>45933</v>
      </c>
      <c r="C1752" t="s">
        <v>523</v>
      </c>
      <c r="D1752">
        <v>43</v>
      </c>
      <c r="E1752" t="s">
        <v>1998</v>
      </c>
      <c r="F1752" t="s">
        <v>211</v>
      </c>
      <c r="G1752" t="s">
        <v>1999</v>
      </c>
      <c r="H1752" t="s">
        <v>2000</v>
      </c>
      <c r="I1752" t="s">
        <v>83</v>
      </c>
      <c r="J1752" s="3" t="s">
        <v>2005</v>
      </c>
      <c r="K1752" t="s">
        <v>2006</v>
      </c>
      <c r="L1752" s="4">
        <v>4</v>
      </c>
      <c r="M1752" s="4">
        <v>0</v>
      </c>
      <c r="N1752">
        <v>4</v>
      </c>
      <c r="O1752" t="s">
        <v>457</v>
      </c>
      <c r="P1752">
        <v>240</v>
      </c>
      <c r="Q1752">
        <f>QtyRemaining*EstMfgMin/60</f>
        <v>16</v>
      </c>
      <c r="U1752" t="e">
        <f t="shared" si="56"/>
        <v>#REF!</v>
      </c>
      <c r="V1752" s="5" t="e">
        <f t="shared" si="57"/>
        <v>#REF!</v>
      </c>
    </row>
    <row r="1753" spans="1:22" x14ac:dyDescent="0.25">
      <c r="A1753" s="2">
        <v>46316</v>
      </c>
      <c r="B1753" s="2">
        <v>45926</v>
      </c>
      <c r="C1753" t="s">
        <v>523</v>
      </c>
      <c r="D1753">
        <v>43</v>
      </c>
      <c r="E1753" t="s">
        <v>3409</v>
      </c>
      <c r="F1753" t="s">
        <v>261</v>
      </c>
      <c r="G1753" t="s">
        <v>262</v>
      </c>
      <c r="H1753" t="s">
        <v>3410</v>
      </c>
      <c r="I1753" t="s">
        <v>83</v>
      </c>
      <c r="J1753" s="3" t="s">
        <v>3411</v>
      </c>
      <c r="K1753" t="s">
        <v>3412</v>
      </c>
      <c r="L1753" s="4">
        <v>10</v>
      </c>
      <c r="M1753" s="4">
        <v>0</v>
      </c>
      <c r="N1753">
        <v>10</v>
      </c>
      <c r="O1753" t="s">
        <v>457</v>
      </c>
      <c r="P1753">
        <v>330</v>
      </c>
      <c r="Q1753">
        <f>QtyRemaining*EstMfgMin/60</f>
        <v>55</v>
      </c>
      <c r="U1753" t="e">
        <f t="shared" si="56"/>
        <v>#REF!</v>
      </c>
      <c r="V1753" s="5" t="e">
        <f t="shared" si="57"/>
        <v>#REF!</v>
      </c>
    </row>
    <row r="1754" spans="1:22" x14ac:dyDescent="0.25">
      <c r="A1754" s="2">
        <v>46316</v>
      </c>
      <c r="B1754" s="2">
        <v>45926</v>
      </c>
      <c r="C1754" t="s">
        <v>523</v>
      </c>
      <c r="D1754">
        <v>43</v>
      </c>
      <c r="E1754" t="s">
        <v>3409</v>
      </c>
      <c r="F1754" t="s">
        <v>261</v>
      </c>
      <c r="G1754" t="s">
        <v>262</v>
      </c>
      <c r="H1754" t="s">
        <v>3410</v>
      </c>
      <c r="I1754" t="s">
        <v>83</v>
      </c>
      <c r="J1754" s="3" t="s">
        <v>3411</v>
      </c>
      <c r="K1754" t="s">
        <v>3412</v>
      </c>
      <c r="L1754" s="4">
        <v>10</v>
      </c>
      <c r="M1754" s="4">
        <v>0</v>
      </c>
      <c r="N1754">
        <v>10</v>
      </c>
      <c r="O1754" t="s">
        <v>457</v>
      </c>
      <c r="P1754">
        <v>330</v>
      </c>
      <c r="Q1754">
        <f>QtyRemaining*EstMfgMin/60</f>
        <v>55</v>
      </c>
      <c r="U1754" t="e">
        <f t="shared" si="56"/>
        <v>#REF!</v>
      </c>
      <c r="V1754" s="5" t="e">
        <f t="shared" si="57"/>
        <v>#REF!</v>
      </c>
    </row>
    <row r="1755" spans="1:22" x14ac:dyDescent="0.25">
      <c r="A1755" s="2">
        <v>46318</v>
      </c>
      <c r="B1755" s="2">
        <v>45142</v>
      </c>
      <c r="C1755" t="s">
        <v>485</v>
      </c>
      <c r="D1755">
        <v>43</v>
      </c>
      <c r="E1755" t="s">
        <v>486</v>
      </c>
      <c r="F1755" t="s">
        <v>211</v>
      </c>
      <c r="G1755" t="s">
        <v>487</v>
      </c>
      <c r="H1755" t="s">
        <v>488</v>
      </c>
      <c r="I1755" t="s">
        <v>83</v>
      </c>
      <c r="J1755" s="3" t="s">
        <v>489</v>
      </c>
      <c r="K1755" t="s">
        <v>490</v>
      </c>
      <c r="L1755" s="4">
        <v>40</v>
      </c>
      <c r="M1755" s="4">
        <v>0</v>
      </c>
      <c r="N1755">
        <v>40</v>
      </c>
      <c r="O1755" t="s">
        <v>94</v>
      </c>
      <c r="P1755">
        <v>56</v>
      </c>
      <c r="Q1755">
        <f>QtyRemaining*EstMfgMin/60</f>
        <v>37.333333333333336</v>
      </c>
      <c r="U1755" t="e">
        <f t="shared" si="56"/>
        <v>#REF!</v>
      </c>
      <c r="V1755" s="5" t="e">
        <f t="shared" si="57"/>
        <v>#REF!</v>
      </c>
    </row>
    <row r="1756" spans="1:22" x14ac:dyDescent="0.25">
      <c r="A1756" s="2">
        <v>46318</v>
      </c>
      <c r="B1756" s="2">
        <v>45741</v>
      </c>
      <c r="C1756" t="s">
        <v>550</v>
      </c>
      <c r="D1756">
        <v>43</v>
      </c>
      <c r="E1756" t="s">
        <v>551</v>
      </c>
      <c r="F1756" t="s">
        <v>261</v>
      </c>
      <c r="G1756" t="s">
        <v>552</v>
      </c>
      <c r="H1756" t="s">
        <v>553</v>
      </c>
      <c r="I1756" t="s">
        <v>45</v>
      </c>
      <c r="J1756" s="3" t="s">
        <v>554</v>
      </c>
      <c r="K1756" t="s">
        <v>555</v>
      </c>
      <c r="L1756" s="4">
        <v>3</v>
      </c>
      <c r="M1756" s="4">
        <v>0</v>
      </c>
      <c r="N1756">
        <v>3</v>
      </c>
      <c r="P1756">
        <v>0</v>
      </c>
      <c r="Q1756">
        <f>QtyRemaining*EstMfgMin/60</f>
        <v>0</v>
      </c>
      <c r="U1756" t="e">
        <f t="shared" si="56"/>
        <v>#REF!</v>
      </c>
      <c r="V1756" s="5" t="e">
        <f t="shared" si="57"/>
        <v>#REF!</v>
      </c>
    </row>
    <row r="1757" spans="1:22" x14ac:dyDescent="0.25">
      <c r="A1757" s="2">
        <v>46322</v>
      </c>
      <c r="B1757" s="2">
        <v>45785</v>
      </c>
      <c r="C1757" t="s">
        <v>232</v>
      </c>
      <c r="D1757">
        <v>44</v>
      </c>
      <c r="E1757" t="s">
        <v>3499</v>
      </c>
      <c r="F1757" t="s">
        <v>211</v>
      </c>
      <c r="G1757" t="s">
        <v>1184</v>
      </c>
      <c r="H1757" t="s">
        <v>3500</v>
      </c>
      <c r="I1757" t="s">
        <v>83</v>
      </c>
      <c r="J1757" s="3" t="s">
        <v>3501</v>
      </c>
      <c r="K1757" t="s">
        <v>3502</v>
      </c>
      <c r="L1757" s="4">
        <v>10</v>
      </c>
      <c r="M1757" s="4">
        <v>0</v>
      </c>
      <c r="N1757">
        <v>10</v>
      </c>
      <c r="O1757" t="s">
        <v>86</v>
      </c>
      <c r="P1757">
        <v>40</v>
      </c>
      <c r="Q1757">
        <f>QtyRemaining*EstMfgMin/60</f>
        <v>6.666666666666667</v>
      </c>
      <c r="U1757" t="e">
        <f t="shared" si="56"/>
        <v>#REF!</v>
      </c>
      <c r="V1757" s="5" t="e">
        <f t="shared" si="57"/>
        <v>#REF!</v>
      </c>
    </row>
    <row r="1758" spans="1:22" x14ac:dyDescent="0.25">
      <c r="A1758" s="2">
        <v>46325</v>
      </c>
      <c r="B1758" s="2">
        <v>45933</v>
      </c>
      <c r="C1758" t="s">
        <v>685</v>
      </c>
      <c r="D1758">
        <v>44</v>
      </c>
      <c r="E1758" t="s">
        <v>3474</v>
      </c>
      <c r="F1758" t="s">
        <v>261</v>
      </c>
      <c r="G1758" t="s">
        <v>262</v>
      </c>
      <c r="H1758" t="s">
        <v>3475</v>
      </c>
      <c r="I1758" t="s">
        <v>83</v>
      </c>
      <c r="J1758" s="3" t="s">
        <v>3476</v>
      </c>
      <c r="K1758" t="s">
        <v>3477</v>
      </c>
      <c r="L1758" s="4">
        <v>25</v>
      </c>
      <c r="M1758" s="4">
        <v>0</v>
      </c>
      <c r="N1758">
        <v>25</v>
      </c>
      <c r="O1758" t="s">
        <v>457</v>
      </c>
      <c r="P1758">
        <v>60</v>
      </c>
      <c r="Q1758">
        <f>QtyRemaining*EstMfgMin/60</f>
        <v>25</v>
      </c>
      <c r="U1758" t="e">
        <f t="shared" si="56"/>
        <v>#REF!</v>
      </c>
      <c r="V1758" s="5" t="e">
        <f t="shared" si="57"/>
        <v>#REF!</v>
      </c>
    </row>
    <row r="1759" spans="1:22" x14ac:dyDescent="0.25">
      <c r="A1759" s="2">
        <v>46336</v>
      </c>
      <c r="B1759" s="2">
        <v>45632</v>
      </c>
      <c r="C1759" t="s">
        <v>478</v>
      </c>
      <c r="D1759">
        <v>46</v>
      </c>
      <c r="E1759" t="s">
        <v>1137</v>
      </c>
      <c r="F1759" t="s">
        <v>261</v>
      </c>
      <c r="G1759" t="s">
        <v>510</v>
      </c>
      <c r="H1759" t="s">
        <v>1138</v>
      </c>
      <c r="I1759" t="s">
        <v>122</v>
      </c>
      <c r="J1759" s="3" t="s">
        <v>512</v>
      </c>
      <c r="K1759" t="s">
        <v>513</v>
      </c>
      <c r="L1759" s="4">
        <v>5</v>
      </c>
      <c r="M1759" s="4">
        <v>0</v>
      </c>
      <c r="N1759">
        <v>5</v>
      </c>
      <c r="O1759" t="s">
        <v>1139</v>
      </c>
      <c r="P1759">
        <v>1394</v>
      </c>
      <c r="Q1759">
        <f>QtyRemaining*EstMfgMin/60</f>
        <v>116.16666666666667</v>
      </c>
      <c r="U1759" t="e">
        <f t="shared" si="56"/>
        <v>#REF!</v>
      </c>
      <c r="V1759" s="5" t="e">
        <f t="shared" si="57"/>
        <v>#REF!</v>
      </c>
    </row>
    <row r="1760" spans="1:22" x14ac:dyDescent="0.25">
      <c r="A1760" s="2">
        <v>46342</v>
      </c>
      <c r="B1760" s="2">
        <v>45840</v>
      </c>
      <c r="C1760" t="s">
        <v>523</v>
      </c>
      <c r="D1760">
        <v>47</v>
      </c>
      <c r="E1760" t="s">
        <v>1241</v>
      </c>
      <c r="F1760" t="s">
        <v>261</v>
      </c>
      <c r="G1760" t="s">
        <v>1242</v>
      </c>
      <c r="H1760" t="s">
        <v>1243</v>
      </c>
      <c r="I1760" t="s">
        <v>83</v>
      </c>
      <c r="J1760" s="3" t="s">
        <v>1244</v>
      </c>
      <c r="K1760" t="s">
        <v>1245</v>
      </c>
      <c r="L1760" s="4">
        <v>10</v>
      </c>
      <c r="M1760" s="4">
        <v>0</v>
      </c>
      <c r="N1760">
        <v>10</v>
      </c>
      <c r="O1760" t="s">
        <v>118</v>
      </c>
      <c r="P1760">
        <v>1050</v>
      </c>
      <c r="Q1760">
        <f>QtyRemaining*EstMfgMin/60</f>
        <v>175</v>
      </c>
      <c r="U1760" t="e">
        <f t="shared" si="56"/>
        <v>#REF!</v>
      </c>
      <c r="V1760" s="5" t="e">
        <f t="shared" si="57"/>
        <v>#REF!</v>
      </c>
    </row>
    <row r="1761" spans="1:22" x14ac:dyDescent="0.25">
      <c r="A1761" s="2">
        <v>46343</v>
      </c>
      <c r="B1761" s="2">
        <v>45933</v>
      </c>
      <c r="C1761" t="s">
        <v>523</v>
      </c>
      <c r="D1761">
        <v>47</v>
      </c>
      <c r="E1761" t="s">
        <v>1998</v>
      </c>
      <c r="F1761" t="s">
        <v>211</v>
      </c>
      <c r="G1761" t="s">
        <v>1999</v>
      </c>
      <c r="H1761" t="s">
        <v>2000</v>
      </c>
      <c r="I1761" t="s">
        <v>83</v>
      </c>
      <c r="J1761" s="3" t="s">
        <v>2001</v>
      </c>
      <c r="K1761" t="s">
        <v>2002</v>
      </c>
      <c r="L1761" s="4">
        <v>4</v>
      </c>
      <c r="M1761" s="4">
        <v>0</v>
      </c>
      <c r="N1761">
        <v>4</v>
      </c>
      <c r="O1761" t="s">
        <v>94</v>
      </c>
      <c r="P1761">
        <v>600</v>
      </c>
      <c r="Q1761">
        <f>QtyRemaining*EstMfgMin/60</f>
        <v>40</v>
      </c>
      <c r="U1761" t="e">
        <f t="shared" si="56"/>
        <v>#REF!</v>
      </c>
      <c r="V1761" s="5" t="e">
        <f t="shared" si="57"/>
        <v>#REF!</v>
      </c>
    </row>
    <row r="1762" spans="1:22" x14ac:dyDescent="0.25">
      <c r="A1762" s="2">
        <v>46343</v>
      </c>
      <c r="B1762" s="2">
        <v>45933</v>
      </c>
      <c r="C1762" t="s">
        <v>523</v>
      </c>
      <c r="D1762">
        <v>47</v>
      </c>
      <c r="E1762" t="s">
        <v>1998</v>
      </c>
      <c r="F1762" t="s">
        <v>211</v>
      </c>
      <c r="G1762" t="s">
        <v>1999</v>
      </c>
      <c r="H1762" t="s">
        <v>2000</v>
      </c>
      <c r="I1762" t="s">
        <v>83</v>
      </c>
      <c r="J1762" s="3" t="s">
        <v>2003</v>
      </c>
      <c r="K1762" t="s">
        <v>2004</v>
      </c>
      <c r="L1762" s="4">
        <v>4</v>
      </c>
      <c r="M1762" s="4">
        <v>0</v>
      </c>
      <c r="N1762">
        <v>4</v>
      </c>
      <c r="O1762" t="s">
        <v>457</v>
      </c>
      <c r="P1762">
        <v>240</v>
      </c>
      <c r="Q1762">
        <f>QtyRemaining*EstMfgMin/60</f>
        <v>16</v>
      </c>
      <c r="U1762" t="e">
        <f t="shared" si="56"/>
        <v>#REF!</v>
      </c>
      <c r="V1762" s="5" t="e">
        <f t="shared" si="57"/>
        <v>#REF!</v>
      </c>
    </row>
    <row r="1763" spans="1:22" x14ac:dyDescent="0.25">
      <c r="A1763" s="2">
        <v>46343</v>
      </c>
      <c r="B1763" s="2">
        <v>45933</v>
      </c>
      <c r="C1763" t="s">
        <v>523</v>
      </c>
      <c r="D1763">
        <v>47</v>
      </c>
      <c r="E1763" t="s">
        <v>1998</v>
      </c>
      <c r="F1763" t="s">
        <v>211</v>
      </c>
      <c r="G1763" t="s">
        <v>1999</v>
      </c>
      <c r="H1763" t="s">
        <v>2000</v>
      </c>
      <c r="I1763" t="s">
        <v>83</v>
      </c>
      <c r="J1763" s="3" t="s">
        <v>2005</v>
      </c>
      <c r="K1763" t="s">
        <v>2006</v>
      </c>
      <c r="L1763" s="4">
        <v>4</v>
      </c>
      <c r="M1763" s="4">
        <v>0</v>
      </c>
      <c r="N1763">
        <v>4</v>
      </c>
      <c r="O1763" t="s">
        <v>457</v>
      </c>
      <c r="P1763">
        <v>240</v>
      </c>
      <c r="Q1763">
        <f>QtyRemaining*EstMfgMin/60</f>
        <v>16</v>
      </c>
      <c r="U1763" t="e">
        <f t="shared" si="56"/>
        <v>#REF!</v>
      </c>
      <c r="V1763" s="5" t="e">
        <f t="shared" si="57"/>
        <v>#REF!</v>
      </c>
    </row>
    <row r="1764" spans="1:22" x14ac:dyDescent="0.25">
      <c r="A1764" s="2">
        <v>46346</v>
      </c>
      <c r="B1764" s="2">
        <v>45926</v>
      </c>
      <c r="C1764" t="s">
        <v>523</v>
      </c>
      <c r="D1764">
        <v>47</v>
      </c>
      <c r="E1764" t="s">
        <v>3409</v>
      </c>
      <c r="F1764" t="s">
        <v>261</v>
      </c>
      <c r="G1764" t="s">
        <v>262</v>
      </c>
      <c r="H1764" t="s">
        <v>3410</v>
      </c>
      <c r="I1764" t="s">
        <v>83</v>
      </c>
      <c r="J1764" s="3" t="s">
        <v>3411</v>
      </c>
      <c r="K1764" t="s">
        <v>3412</v>
      </c>
      <c r="L1764" s="4">
        <v>10</v>
      </c>
      <c r="M1764" s="4">
        <v>0</v>
      </c>
      <c r="N1764">
        <v>10</v>
      </c>
      <c r="O1764" t="s">
        <v>457</v>
      </c>
      <c r="P1764">
        <v>330</v>
      </c>
      <c r="Q1764">
        <f>QtyRemaining*EstMfgMin/60</f>
        <v>55</v>
      </c>
      <c r="U1764" t="e">
        <f t="shared" si="56"/>
        <v>#REF!</v>
      </c>
      <c r="V1764" s="5" t="e">
        <f t="shared" si="57"/>
        <v>#REF!</v>
      </c>
    </row>
    <row r="1765" spans="1:22" x14ac:dyDescent="0.25">
      <c r="A1765" s="2">
        <v>46346</v>
      </c>
      <c r="B1765" s="2">
        <v>45926</v>
      </c>
      <c r="C1765" t="s">
        <v>523</v>
      </c>
      <c r="D1765">
        <v>47</v>
      </c>
      <c r="E1765" t="s">
        <v>3409</v>
      </c>
      <c r="F1765" t="s">
        <v>261</v>
      </c>
      <c r="G1765" t="s">
        <v>262</v>
      </c>
      <c r="H1765" t="s">
        <v>3410</v>
      </c>
      <c r="I1765" t="s">
        <v>83</v>
      </c>
      <c r="J1765" s="3" t="s">
        <v>3411</v>
      </c>
      <c r="K1765" t="s">
        <v>3412</v>
      </c>
      <c r="L1765" s="4">
        <v>10</v>
      </c>
      <c r="M1765" s="4">
        <v>0</v>
      </c>
      <c r="N1765">
        <v>10</v>
      </c>
      <c r="O1765" t="s">
        <v>457</v>
      </c>
      <c r="P1765">
        <v>330</v>
      </c>
      <c r="Q1765">
        <f>QtyRemaining*EstMfgMin/60</f>
        <v>55</v>
      </c>
      <c r="U1765" t="e">
        <f t="shared" si="56"/>
        <v>#REF!</v>
      </c>
      <c r="V1765" s="5" t="e">
        <f t="shared" si="57"/>
        <v>#REF!</v>
      </c>
    </row>
    <row r="1766" spans="1:22" x14ac:dyDescent="0.25">
      <c r="A1766" s="2">
        <v>46350</v>
      </c>
      <c r="B1766" s="2">
        <v>45142</v>
      </c>
      <c r="C1766" t="s">
        <v>485</v>
      </c>
      <c r="D1766">
        <v>48</v>
      </c>
      <c r="E1766" t="s">
        <v>486</v>
      </c>
      <c r="F1766" t="s">
        <v>211</v>
      </c>
      <c r="G1766" t="s">
        <v>487</v>
      </c>
      <c r="H1766" t="s">
        <v>488</v>
      </c>
      <c r="I1766" t="s">
        <v>83</v>
      </c>
      <c r="J1766" s="3" t="s">
        <v>489</v>
      </c>
      <c r="K1766" t="s">
        <v>490</v>
      </c>
      <c r="L1766" s="4">
        <v>15</v>
      </c>
      <c r="M1766" s="4">
        <v>0</v>
      </c>
      <c r="N1766">
        <v>15</v>
      </c>
      <c r="O1766" t="s">
        <v>94</v>
      </c>
      <c r="P1766">
        <v>56</v>
      </c>
      <c r="Q1766">
        <f>QtyRemaining*EstMfgMin/60</f>
        <v>14</v>
      </c>
      <c r="U1766" t="e">
        <f t="shared" si="56"/>
        <v>#REF!</v>
      </c>
      <c r="V1766" s="5" t="e">
        <f t="shared" si="57"/>
        <v>#REF!</v>
      </c>
    </row>
    <row r="1767" spans="1:22" x14ac:dyDescent="0.25">
      <c r="A1767" s="2">
        <v>46356</v>
      </c>
      <c r="B1767" s="2">
        <v>45462</v>
      </c>
      <c r="C1767" t="s">
        <v>550</v>
      </c>
      <c r="D1767">
        <v>49</v>
      </c>
      <c r="E1767" t="s">
        <v>3047</v>
      </c>
      <c r="F1767" t="s">
        <v>261</v>
      </c>
      <c r="G1767" t="s">
        <v>552</v>
      </c>
      <c r="H1767" t="s">
        <v>3048</v>
      </c>
      <c r="I1767" t="s">
        <v>122</v>
      </c>
      <c r="J1767" s="3" t="s">
        <v>3049</v>
      </c>
      <c r="K1767" t="s">
        <v>2414</v>
      </c>
      <c r="L1767" s="4">
        <v>15000</v>
      </c>
      <c r="M1767" s="4">
        <v>0</v>
      </c>
      <c r="N1767">
        <v>15000</v>
      </c>
      <c r="O1767" t="s">
        <v>146</v>
      </c>
      <c r="P1767">
        <v>0</v>
      </c>
      <c r="Q1767">
        <f>QtyRemaining*EstMfgMin/60</f>
        <v>0</v>
      </c>
      <c r="U1767" t="e">
        <f t="shared" si="56"/>
        <v>#REF!</v>
      </c>
      <c r="V1767" s="5" t="e">
        <f t="shared" si="57"/>
        <v>#REF!</v>
      </c>
    </row>
    <row r="1768" spans="1:22" x14ac:dyDescent="0.25">
      <c r="A1768" s="2">
        <v>46356</v>
      </c>
      <c r="B1768" s="2">
        <v>45674</v>
      </c>
      <c r="C1768" t="s">
        <v>570</v>
      </c>
      <c r="D1768">
        <v>49</v>
      </c>
      <c r="E1768" t="s">
        <v>571</v>
      </c>
      <c r="F1768" t="s">
        <v>261</v>
      </c>
      <c r="G1768" t="s">
        <v>262</v>
      </c>
      <c r="H1768" t="s">
        <v>572</v>
      </c>
      <c r="I1768" t="s">
        <v>83</v>
      </c>
      <c r="J1768" s="3" t="s">
        <v>3503</v>
      </c>
      <c r="K1768" t="s">
        <v>3504</v>
      </c>
      <c r="L1768" s="4">
        <v>2</v>
      </c>
      <c r="M1768" s="4">
        <v>0</v>
      </c>
      <c r="N1768">
        <v>2</v>
      </c>
      <c r="O1768" t="s">
        <v>457</v>
      </c>
      <c r="P1768">
        <v>0</v>
      </c>
      <c r="Q1768">
        <f>QtyRemaining*EstMfgMin/60</f>
        <v>0</v>
      </c>
      <c r="U1768" t="e">
        <f t="shared" si="56"/>
        <v>#REF!</v>
      </c>
      <c r="V1768" s="5" t="e">
        <f t="shared" si="57"/>
        <v>#REF!</v>
      </c>
    </row>
    <row r="1769" spans="1:22" x14ac:dyDescent="0.25">
      <c r="A1769" s="2">
        <v>46356</v>
      </c>
      <c r="B1769" s="2">
        <v>45674</v>
      </c>
      <c r="C1769" t="s">
        <v>570</v>
      </c>
      <c r="D1769">
        <v>49</v>
      </c>
      <c r="E1769" t="s">
        <v>571</v>
      </c>
      <c r="F1769" t="s">
        <v>261</v>
      </c>
      <c r="G1769" t="s">
        <v>262</v>
      </c>
      <c r="H1769" t="s">
        <v>572</v>
      </c>
      <c r="I1769" t="s">
        <v>83</v>
      </c>
      <c r="J1769" s="3" t="s">
        <v>3503</v>
      </c>
      <c r="K1769" t="s">
        <v>3504</v>
      </c>
      <c r="L1769" s="4">
        <v>3</v>
      </c>
      <c r="M1769" s="4">
        <v>0</v>
      </c>
      <c r="N1769">
        <v>3</v>
      </c>
      <c r="O1769" t="s">
        <v>457</v>
      </c>
      <c r="P1769">
        <v>0</v>
      </c>
      <c r="Q1769">
        <f>QtyRemaining*EstMfgMin/60</f>
        <v>0</v>
      </c>
      <c r="U1769" t="e">
        <f t="shared" si="56"/>
        <v>#REF!</v>
      </c>
      <c r="V1769" s="5" t="e">
        <f t="shared" si="57"/>
        <v>#REF!</v>
      </c>
    </row>
    <row r="1770" spans="1:22" x14ac:dyDescent="0.25">
      <c r="A1770" s="2">
        <v>46356</v>
      </c>
      <c r="B1770" s="2">
        <v>45674</v>
      </c>
      <c r="C1770" t="s">
        <v>570</v>
      </c>
      <c r="D1770">
        <v>49</v>
      </c>
      <c r="E1770" t="s">
        <v>571</v>
      </c>
      <c r="F1770" t="s">
        <v>261</v>
      </c>
      <c r="G1770" t="s">
        <v>262</v>
      </c>
      <c r="H1770" t="s">
        <v>572</v>
      </c>
      <c r="I1770" t="s">
        <v>83</v>
      </c>
      <c r="J1770" s="3" t="s">
        <v>3505</v>
      </c>
      <c r="K1770" t="s">
        <v>3504</v>
      </c>
      <c r="L1770" s="4">
        <v>3</v>
      </c>
      <c r="M1770" s="4">
        <v>0</v>
      </c>
      <c r="N1770">
        <v>3</v>
      </c>
      <c r="O1770" t="s">
        <v>457</v>
      </c>
      <c r="P1770">
        <v>0</v>
      </c>
      <c r="Q1770">
        <f>QtyRemaining*EstMfgMin/60</f>
        <v>0</v>
      </c>
      <c r="U1770" t="e">
        <f t="shared" si="56"/>
        <v>#REF!</v>
      </c>
      <c r="V1770" s="5" t="e">
        <f t="shared" si="57"/>
        <v>#REF!</v>
      </c>
    </row>
    <row r="1771" spans="1:22" x14ac:dyDescent="0.25">
      <c r="A1771" s="2">
        <v>46356</v>
      </c>
      <c r="B1771" s="2">
        <v>45755</v>
      </c>
      <c r="C1771" t="s">
        <v>221</v>
      </c>
      <c r="D1771">
        <v>49</v>
      </c>
      <c r="E1771" t="s">
        <v>3389</v>
      </c>
      <c r="F1771" t="s">
        <v>211</v>
      </c>
      <c r="G1771" t="s">
        <v>519</v>
      </c>
      <c r="H1771" t="s">
        <v>3390</v>
      </c>
      <c r="I1771" t="s">
        <v>83</v>
      </c>
      <c r="J1771" s="3" t="s">
        <v>3506</v>
      </c>
      <c r="K1771" t="s">
        <v>3507</v>
      </c>
      <c r="L1771" s="4">
        <v>5</v>
      </c>
      <c r="M1771" s="4">
        <v>0</v>
      </c>
      <c r="N1771">
        <v>5</v>
      </c>
      <c r="O1771" t="s">
        <v>457</v>
      </c>
      <c r="P1771">
        <v>0</v>
      </c>
      <c r="Q1771">
        <f>QtyRemaining*EstMfgMin/60</f>
        <v>0</v>
      </c>
      <c r="U1771" t="e">
        <f t="shared" si="56"/>
        <v>#REF!</v>
      </c>
      <c r="V1771" s="5" t="e">
        <f t="shared" si="57"/>
        <v>#REF!</v>
      </c>
    </row>
    <row r="1772" spans="1:22" x14ac:dyDescent="0.25">
      <c r="A1772" s="2">
        <v>46356</v>
      </c>
      <c r="B1772" s="2">
        <v>45755</v>
      </c>
      <c r="C1772" t="s">
        <v>221</v>
      </c>
      <c r="D1772">
        <v>49</v>
      </c>
      <c r="E1772" t="s">
        <v>3389</v>
      </c>
      <c r="F1772" t="s">
        <v>211</v>
      </c>
      <c r="G1772" t="s">
        <v>519</v>
      </c>
      <c r="H1772" t="s">
        <v>3390</v>
      </c>
      <c r="I1772" t="s">
        <v>83</v>
      </c>
      <c r="J1772" s="3" t="s">
        <v>3508</v>
      </c>
      <c r="K1772" t="s">
        <v>3507</v>
      </c>
      <c r="L1772" s="4">
        <v>3</v>
      </c>
      <c r="M1772" s="4">
        <v>0</v>
      </c>
      <c r="N1772">
        <v>3</v>
      </c>
      <c r="O1772" t="s">
        <v>457</v>
      </c>
      <c r="P1772">
        <v>0</v>
      </c>
      <c r="Q1772">
        <f>QtyRemaining*EstMfgMin/60</f>
        <v>0</v>
      </c>
      <c r="U1772" t="e">
        <f t="shared" si="56"/>
        <v>#REF!</v>
      </c>
      <c r="V1772" s="5" t="e">
        <f t="shared" si="57"/>
        <v>#REF!</v>
      </c>
    </row>
    <row r="1773" spans="1:22" x14ac:dyDescent="0.25">
      <c r="A1773" s="2">
        <v>46356</v>
      </c>
      <c r="B1773" s="2">
        <v>45841</v>
      </c>
      <c r="C1773" t="s">
        <v>478</v>
      </c>
      <c r="D1773">
        <v>49</v>
      </c>
      <c r="E1773" t="s">
        <v>3509</v>
      </c>
      <c r="F1773" t="s">
        <v>261</v>
      </c>
      <c r="G1773" t="s">
        <v>510</v>
      </c>
      <c r="H1773" t="s">
        <v>3510</v>
      </c>
      <c r="I1773" t="s">
        <v>83</v>
      </c>
      <c r="J1773" s="3" t="s">
        <v>512</v>
      </c>
      <c r="K1773" t="s">
        <v>513</v>
      </c>
      <c r="L1773" s="4">
        <v>38</v>
      </c>
      <c r="M1773" s="4">
        <v>0</v>
      </c>
      <c r="N1773">
        <v>38</v>
      </c>
      <c r="O1773" t="s">
        <v>3511</v>
      </c>
      <c r="P1773">
        <v>1882</v>
      </c>
      <c r="Q1773">
        <f>QtyRemaining*EstMfgMin/60</f>
        <v>1191.9333333333334</v>
      </c>
      <c r="U1773" t="e">
        <f t="shared" si="56"/>
        <v>#REF!</v>
      </c>
      <c r="V1773" s="5" t="e">
        <f t="shared" si="57"/>
        <v>#REF!</v>
      </c>
    </row>
    <row r="1774" spans="1:22" x14ac:dyDescent="0.25">
      <c r="A1774" s="2">
        <v>46356</v>
      </c>
      <c r="B1774" s="2">
        <v>45933</v>
      </c>
      <c r="C1774" t="s">
        <v>685</v>
      </c>
      <c r="D1774">
        <v>49</v>
      </c>
      <c r="E1774" t="s">
        <v>3474</v>
      </c>
      <c r="F1774" t="s">
        <v>261</v>
      </c>
      <c r="G1774" t="s">
        <v>262</v>
      </c>
      <c r="H1774" t="s">
        <v>3475</v>
      </c>
      <c r="I1774" t="s">
        <v>83</v>
      </c>
      <c r="J1774" s="3" t="s">
        <v>3476</v>
      </c>
      <c r="K1774" t="s">
        <v>3477</v>
      </c>
      <c r="L1774" s="4">
        <v>25</v>
      </c>
      <c r="M1774" s="4">
        <v>0</v>
      </c>
      <c r="N1774">
        <v>25</v>
      </c>
      <c r="O1774" t="s">
        <v>457</v>
      </c>
      <c r="P1774">
        <v>60</v>
      </c>
      <c r="Q1774">
        <f>QtyRemaining*EstMfgMin/60</f>
        <v>25</v>
      </c>
      <c r="U1774" t="e">
        <f t="shared" si="56"/>
        <v>#REF!</v>
      </c>
      <c r="V1774" s="5" t="e">
        <f t="shared" si="57"/>
        <v>#REF!</v>
      </c>
    </row>
    <row r="1775" spans="1:22" x14ac:dyDescent="0.25">
      <c r="A1775" s="2">
        <v>46357</v>
      </c>
      <c r="B1775" s="2">
        <v>45825</v>
      </c>
      <c r="C1775" t="s">
        <v>221</v>
      </c>
      <c r="D1775">
        <v>49</v>
      </c>
      <c r="E1775" t="s">
        <v>2825</v>
      </c>
      <c r="F1775" t="s">
        <v>211</v>
      </c>
      <c r="G1775" t="s">
        <v>1731</v>
      </c>
      <c r="H1775" t="s">
        <v>2826</v>
      </c>
      <c r="I1775" t="s">
        <v>256</v>
      </c>
      <c r="J1775" s="3" t="s">
        <v>2827</v>
      </c>
      <c r="K1775" t="s">
        <v>2828</v>
      </c>
      <c r="L1775" s="4">
        <v>46</v>
      </c>
      <c r="M1775" s="4">
        <v>0</v>
      </c>
      <c r="N1775">
        <v>46</v>
      </c>
      <c r="O1775" t="s">
        <v>146</v>
      </c>
      <c r="P1775">
        <v>11</v>
      </c>
      <c r="Q1775">
        <f>QtyRemaining*EstMfgMin/60</f>
        <v>8.4333333333333336</v>
      </c>
      <c r="U1775" t="e">
        <f t="shared" si="56"/>
        <v>#REF!</v>
      </c>
      <c r="V1775" s="5" t="e">
        <f t="shared" si="57"/>
        <v>#REF!</v>
      </c>
    </row>
    <row r="1776" spans="1:22" x14ac:dyDescent="0.25">
      <c r="A1776" s="2">
        <v>46357</v>
      </c>
      <c r="B1776" s="2">
        <v>45933</v>
      </c>
      <c r="C1776" t="s">
        <v>478</v>
      </c>
      <c r="D1776">
        <v>49</v>
      </c>
      <c r="E1776" t="s">
        <v>3512</v>
      </c>
      <c r="F1776" t="s">
        <v>261</v>
      </c>
      <c r="G1776" t="s">
        <v>510</v>
      </c>
      <c r="H1776" t="s">
        <v>3513</v>
      </c>
      <c r="I1776" t="s">
        <v>83</v>
      </c>
      <c r="J1776" s="3" t="s">
        <v>3514</v>
      </c>
      <c r="K1776" t="s">
        <v>3515</v>
      </c>
      <c r="L1776" s="4">
        <v>150</v>
      </c>
      <c r="M1776" s="4">
        <v>0</v>
      </c>
      <c r="N1776">
        <v>150</v>
      </c>
      <c r="O1776" t="s">
        <v>1557</v>
      </c>
      <c r="P1776">
        <v>10</v>
      </c>
      <c r="Q1776">
        <f>QtyRemaining*EstMfgMin/60</f>
        <v>25</v>
      </c>
      <c r="U1776" t="e">
        <f t="shared" si="56"/>
        <v>#REF!</v>
      </c>
      <c r="V1776" s="5" t="e">
        <f t="shared" si="57"/>
        <v>#REF!</v>
      </c>
    </row>
    <row r="1777" spans="1:22" x14ac:dyDescent="0.25">
      <c r="A1777" s="2">
        <v>46365</v>
      </c>
      <c r="B1777" s="2">
        <v>45586</v>
      </c>
      <c r="C1777" t="s">
        <v>478</v>
      </c>
      <c r="D1777">
        <v>50</v>
      </c>
      <c r="E1777" t="s">
        <v>2022</v>
      </c>
      <c r="F1777" t="s">
        <v>261</v>
      </c>
      <c r="G1777" t="s">
        <v>2023</v>
      </c>
      <c r="H1777" t="s">
        <v>2024</v>
      </c>
      <c r="I1777" t="s">
        <v>155</v>
      </c>
      <c r="J1777" s="3" t="s">
        <v>2025</v>
      </c>
      <c r="K1777" t="s">
        <v>2026</v>
      </c>
      <c r="L1777" s="4">
        <v>30</v>
      </c>
      <c r="M1777" s="4">
        <v>0</v>
      </c>
      <c r="N1777">
        <v>30</v>
      </c>
      <c r="O1777" t="s">
        <v>94</v>
      </c>
      <c r="P1777">
        <v>60</v>
      </c>
      <c r="Q1777">
        <f>QtyRemaining*EstMfgMin/60</f>
        <v>30</v>
      </c>
      <c r="R1777" t="s">
        <v>1062</v>
      </c>
      <c r="U1777" t="e">
        <f t="shared" si="56"/>
        <v>#REF!</v>
      </c>
      <c r="V1777" s="5" t="e">
        <f t="shared" si="57"/>
        <v>#REF!</v>
      </c>
    </row>
    <row r="1778" spans="1:22" x14ac:dyDescent="0.25">
      <c r="A1778" s="2">
        <v>46365</v>
      </c>
      <c r="B1778" s="2">
        <v>45586</v>
      </c>
      <c r="C1778" t="s">
        <v>478</v>
      </c>
      <c r="D1778">
        <v>50</v>
      </c>
      <c r="E1778" t="s">
        <v>2022</v>
      </c>
      <c r="F1778" t="s">
        <v>261</v>
      </c>
      <c r="G1778" t="s">
        <v>2023</v>
      </c>
      <c r="H1778" t="s">
        <v>2024</v>
      </c>
      <c r="I1778" t="s">
        <v>155</v>
      </c>
      <c r="J1778" s="3" t="s">
        <v>2025</v>
      </c>
      <c r="K1778" t="s">
        <v>2026</v>
      </c>
      <c r="L1778" s="4">
        <v>15</v>
      </c>
      <c r="M1778" s="4">
        <v>0</v>
      </c>
      <c r="N1778">
        <v>15</v>
      </c>
      <c r="O1778" t="s">
        <v>94</v>
      </c>
      <c r="P1778">
        <v>60</v>
      </c>
      <c r="Q1778">
        <f>QtyRemaining*EstMfgMin/60</f>
        <v>15</v>
      </c>
      <c r="R1778" t="s">
        <v>1062</v>
      </c>
      <c r="U1778" t="e">
        <f t="shared" si="56"/>
        <v>#REF!</v>
      </c>
      <c r="V1778" s="5" t="e">
        <f t="shared" si="57"/>
        <v>#REF!</v>
      </c>
    </row>
    <row r="1779" spans="1:22" x14ac:dyDescent="0.25">
      <c r="A1779" s="2">
        <v>46365</v>
      </c>
      <c r="B1779" s="2">
        <v>45586</v>
      </c>
      <c r="C1779" t="s">
        <v>478</v>
      </c>
      <c r="D1779">
        <v>50</v>
      </c>
      <c r="E1779" t="s">
        <v>2022</v>
      </c>
      <c r="F1779" t="s">
        <v>261</v>
      </c>
      <c r="G1779" t="s">
        <v>2023</v>
      </c>
      <c r="H1779" t="s">
        <v>2024</v>
      </c>
      <c r="I1779" t="s">
        <v>155</v>
      </c>
      <c r="J1779" s="3" t="s">
        <v>2025</v>
      </c>
      <c r="K1779" t="s">
        <v>2026</v>
      </c>
      <c r="L1779" s="4">
        <v>15</v>
      </c>
      <c r="M1779" s="4">
        <v>0</v>
      </c>
      <c r="N1779">
        <v>15</v>
      </c>
      <c r="O1779" t="s">
        <v>94</v>
      </c>
      <c r="P1779">
        <v>60</v>
      </c>
      <c r="Q1779">
        <f>QtyRemaining*EstMfgMin/60</f>
        <v>15</v>
      </c>
      <c r="R1779" t="s">
        <v>1062</v>
      </c>
      <c r="U1779" t="e">
        <f t="shared" si="56"/>
        <v>#REF!</v>
      </c>
      <c r="V1779" s="5" t="e">
        <f t="shared" si="57"/>
        <v>#REF!</v>
      </c>
    </row>
    <row r="1780" spans="1:22" x14ac:dyDescent="0.25">
      <c r="A1780" s="2">
        <v>46365</v>
      </c>
      <c r="B1780" s="2">
        <v>45586</v>
      </c>
      <c r="C1780" t="s">
        <v>478</v>
      </c>
      <c r="D1780">
        <v>50</v>
      </c>
      <c r="E1780" t="s">
        <v>2022</v>
      </c>
      <c r="F1780" t="s">
        <v>261</v>
      </c>
      <c r="G1780" t="s">
        <v>2023</v>
      </c>
      <c r="H1780" t="s">
        <v>2024</v>
      </c>
      <c r="I1780" t="s">
        <v>155</v>
      </c>
      <c r="J1780" s="3" t="s">
        <v>2025</v>
      </c>
      <c r="K1780" t="s">
        <v>2026</v>
      </c>
      <c r="L1780" s="4">
        <v>45</v>
      </c>
      <c r="M1780" s="4">
        <v>0</v>
      </c>
      <c r="N1780">
        <v>45</v>
      </c>
      <c r="O1780" t="s">
        <v>94</v>
      </c>
      <c r="P1780">
        <v>60</v>
      </c>
      <c r="Q1780">
        <f>QtyRemaining*EstMfgMin/60</f>
        <v>45</v>
      </c>
      <c r="R1780" t="s">
        <v>1062</v>
      </c>
      <c r="U1780" t="e">
        <f t="shared" si="56"/>
        <v>#REF!</v>
      </c>
      <c r="V1780" s="5" t="e">
        <f t="shared" si="57"/>
        <v>#REF!</v>
      </c>
    </row>
    <row r="1781" spans="1:22" x14ac:dyDescent="0.25">
      <c r="A1781" s="2">
        <v>46365</v>
      </c>
      <c r="B1781" s="2">
        <v>45586</v>
      </c>
      <c r="C1781" t="s">
        <v>478</v>
      </c>
      <c r="D1781">
        <v>50</v>
      </c>
      <c r="E1781" t="s">
        <v>2022</v>
      </c>
      <c r="F1781" t="s">
        <v>261</v>
      </c>
      <c r="G1781" t="s">
        <v>2023</v>
      </c>
      <c r="H1781" t="s">
        <v>2024</v>
      </c>
      <c r="I1781" t="s">
        <v>155</v>
      </c>
      <c r="J1781" s="3" t="s">
        <v>2025</v>
      </c>
      <c r="K1781" t="s">
        <v>2026</v>
      </c>
      <c r="L1781" s="4">
        <v>150</v>
      </c>
      <c r="M1781" s="4">
        <v>0</v>
      </c>
      <c r="N1781">
        <v>150</v>
      </c>
      <c r="O1781" t="s">
        <v>94</v>
      </c>
      <c r="P1781">
        <v>60</v>
      </c>
      <c r="Q1781">
        <f>QtyRemaining*EstMfgMin/60</f>
        <v>150</v>
      </c>
      <c r="R1781" t="s">
        <v>1062</v>
      </c>
      <c r="U1781" t="e">
        <f t="shared" si="56"/>
        <v>#REF!</v>
      </c>
      <c r="V1781" s="5" t="e">
        <f t="shared" si="57"/>
        <v>#REF!</v>
      </c>
    </row>
    <row r="1782" spans="1:22" x14ac:dyDescent="0.25">
      <c r="A1782" s="2">
        <v>46365</v>
      </c>
      <c r="B1782" s="2">
        <v>45586</v>
      </c>
      <c r="C1782" t="s">
        <v>478</v>
      </c>
      <c r="D1782">
        <v>50</v>
      </c>
      <c r="E1782" t="s">
        <v>2022</v>
      </c>
      <c r="F1782" t="s">
        <v>261</v>
      </c>
      <c r="G1782" t="s">
        <v>2023</v>
      </c>
      <c r="H1782" t="s">
        <v>2024</v>
      </c>
      <c r="I1782" t="s">
        <v>155</v>
      </c>
      <c r="J1782" s="3" t="s">
        <v>2025</v>
      </c>
      <c r="K1782" t="s">
        <v>2026</v>
      </c>
      <c r="L1782" s="4">
        <v>75</v>
      </c>
      <c r="M1782" s="4">
        <v>0</v>
      </c>
      <c r="N1782">
        <v>75</v>
      </c>
      <c r="O1782" t="s">
        <v>94</v>
      </c>
      <c r="P1782">
        <v>60</v>
      </c>
      <c r="Q1782">
        <f>QtyRemaining*EstMfgMin/60</f>
        <v>75</v>
      </c>
      <c r="R1782" t="s">
        <v>3516</v>
      </c>
      <c r="U1782" t="e">
        <f t="shared" si="56"/>
        <v>#REF!</v>
      </c>
      <c r="V1782" s="5" t="e">
        <f t="shared" si="57"/>
        <v>#REF!</v>
      </c>
    </row>
    <row r="1783" spans="1:22" x14ac:dyDescent="0.25">
      <c r="A1783" s="2">
        <v>46365</v>
      </c>
      <c r="B1783" s="2">
        <v>45586</v>
      </c>
      <c r="C1783" t="s">
        <v>478</v>
      </c>
      <c r="D1783">
        <v>50</v>
      </c>
      <c r="E1783" t="s">
        <v>2022</v>
      </c>
      <c r="F1783" t="s">
        <v>261</v>
      </c>
      <c r="G1783" t="s">
        <v>2023</v>
      </c>
      <c r="H1783" t="s">
        <v>2024</v>
      </c>
      <c r="I1783" t="s">
        <v>155</v>
      </c>
      <c r="J1783" s="3" t="s">
        <v>2025</v>
      </c>
      <c r="K1783" t="s">
        <v>2026</v>
      </c>
      <c r="L1783" s="4">
        <v>30</v>
      </c>
      <c r="M1783" s="4">
        <v>0</v>
      </c>
      <c r="N1783">
        <v>30</v>
      </c>
      <c r="O1783" t="s">
        <v>94</v>
      </c>
      <c r="P1783">
        <v>60</v>
      </c>
      <c r="Q1783">
        <f>QtyRemaining*EstMfgMin/60</f>
        <v>30</v>
      </c>
      <c r="R1783" t="s">
        <v>3517</v>
      </c>
      <c r="U1783" t="e">
        <f t="shared" si="56"/>
        <v>#REF!</v>
      </c>
      <c r="V1783" s="5" t="e">
        <f t="shared" si="57"/>
        <v>#REF!</v>
      </c>
    </row>
    <row r="1784" spans="1:22" x14ac:dyDescent="0.25">
      <c r="A1784" s="2">
        <v>46365</v>
      </c>
      <c r="B1784" s="2">
        <v>45586</v>
      </c>
      <c r="C1784" t="s">
        <v>478</v>
      </c>
      <c r="D1784">
        <v>50</v>
      </c>
      <c r="E1784" t="s">
        <v>2022</v>
      </c>
      <c r="F1784" t="s">
        <v>261</v>
      </c>
      <c r="G1784" t="s">
        <v>2023</v>
      </c>
      <c r="H1784" t="s">
        <v>2024</v>
      </c>
      <c r="I1784" t="s">
        <v>155</v>
      </c>
      <c r="J1784" s="3" t="s">
        <v>2025</v>
      </c>
      <c r="K1784" t="s">
        <v>2026</v>
      </c>
      <c r="L1784" s="4">
        <v>60</v>
      </c>
      <c r="M1784" s="4">
        <v>0</v>
      </c>
      <c r="N1784">
        <v>60</v>
      </c>
      <c r="O1784" t="s">
        <v>94</v>
      </c>
      <c r="P1784">
        <v>60</v>
      </c>
      <c r="Q1784">
        <f>QtyRemaining*EstMfgMin/60</f>
        <v>60</v>
      </c>
      <c r="R1784" t="s">
        <v>3518</v>
      </c>
      <c r="U1784" t="e">
        <f t="shared" si="56"/>
        <v>#REF!</v>
      </c>
      <c r="V1784" s="5" t="e">
        <f t="shared" si="57"/>
        <v>#REF!</v>
      </c>
    </row>
    <row r="1785" spans="1:22" x14ac:dyDescent="0.25">
      <c r="A1785" s="2">
        <v>46365</v>
      </c>
      <c r="B1785" s="2">
        <v>45586</v>
      </c>
      <c r="C1785" t="s">
        <v>478</v>
      </c>
      <c r="D1785">
        <v>50</v>
      </c>
      <c r="E1785" t="s">
        <v>2022</v>
      </c>
      <c r="F1785" t="s">
        <v>261</v>
      </c>
      <c r="G1785" t="s">
        <v>2023</v>
      </c>
      <c r="H1785" t="s">
        <v>2024</v>
      </c>
      <c r="I1785" t="s">
        <v>155</v>
      </c>
      <c r="J1785" s="3" t="s">
        <v>2025</v>
      </c>
      <c r="K1785" t="s">
        <v>2026</v>
      </c>
      <c r="L1785" s="4">
        <v>45</v>
      </c>
      <c r="M1785" s="4">
        <v>0</v>
      </c>
      <c r="N1785">
        <v>45</v>
      </c>
      <c r="O1785" t="s">
        <v>94</v>
      </c>
      <c r="P1785">
        <v>60</v>
      </c>
      <c r="Q1785">
        <f>QtyRemaining*EstMfgMin/60</f>
        <v>45</v>
      </c>
      <c r="R1785" t="s">
        <v>3518</v>
      </c>
      <c r="U1785" t="e">
        <f t="shared" si="56"/>
        <v>#REF!</v>
      </c>
      <c r="V1785" s="5" t="e">
        <f t="shared" si="57"/>
        <v>#REF!</v>
      </c>
    </row>
    <row r="1786" spans="1:22" x14ac:dyDescent="0.25">
      <c r="A1786" s="2">
        <v>46365</v>
      </c>
      <c r="B1786" s="2">
        <v>45586</v>
      </c>
      <c r="C1786" t="s">
        <v>478</v>
      </c>
      <c r="D1786">
        <v>50</v>
      </c>
      <c r="E1786" t="s">
        <v>2022</v>
      </c>
      <c r="F1786" t="s">
        <v>261</v>
      </c>
      <c r="G1786" t="s">
        <v>2023</v>
      </c>
      <c r="H1786" t="s">
        <v>2024</v>
      </c>
      <c r="I1786" t="s">
        <v>155</v>
      </c>
      <c r="J1786" s="3" t="s">
        <v>2025</v>
      </c>
      <c r="K1786" t="s">
        <v>2026</v>
      </c>
      <c r="L1786" s="4">
        <v>90</v>
      </c>
      <c r="M1786" s="4">
        <v>0</v>
      </c>
      <c r="N1786">
        <v>90</v>
      </c>
      <c r="O1786" t="s">
        <v>94</v>
      </c>
      <c r="P1786">
        <v>60</v>
      </c>
      <c r="Q1786">
        <f>QtyRemaining*EstMfgMin/60</f>
        <v>90</v>
      </c>
      <c r="R1786" t="s">
        <v>3518</v>
      </c>
      <c r="U1786" t="e">
        <f t="shared" si="56"/>
        <v>#REF!</v>
      </c>
      <c r="V1786" s="5" t="e">
        <f t="shared" si="57"/>
        <v>#REF!</v>
      </c>
    </row>
    <row r="1787" spans="1:22" x14ac:dyDescent="0.25">
      <c r="A1787" s="2">
        <v>46365</v>
      </c>
      <c r="B1787" s="2">
        <v>45586</v>
      </c>
      <c r="C1787" t="s">
        <v>478</v>
      </c>
      <c r="D1787">
        <v>50</v>
      </c>
      <c r="E1787" t="s">
        <v>2022</v>
      </c>
      <c r="F1787" t="s">
        <v>261</v>
      </c>
      <c r="G1787" t="s">
        <v>2023</v>
      </c>
      <c r="H1787" t="s">
        <v>2024</v>
      </c>
      <c r="I1787" t="s">
        <v>155</v>
      </c>
      <c r="J1787" s="3" t="s">
        <v>2025</v>
      </c>
      <c r="K1787" t="s">
        <v>2026</v>
      </c>
      <c r="L1787" s="4">
        <v>45</v>
      </c>
      <c r="M1787" s="4">
        <v>0</v>
      </c>
      <c r="N1787">
        <v>45</v>
      </c>
      <c r="O1787" t="s">
        <v>94</v>
      </c>
      <c r="P1787">
        <v>60</v>
      </c>
      <c r="Q1787">
        <f>QtyRemaining*EstMfgMin/60</f>
        <v>45</v>
      </c>
      <c r="R1787" t="s">
        <v>3518</v>
      </c>
      <c r="U1787" t="e">
        <f t="shared" si="56"/>
        <v>#REF!</v>
      </c>
      <c r="V1787" s="5" t="e">
        <f t="shared" si="57"/>
        <v>#REF!</v>
      </c>
    </row>
    <row r="1788" spans="1:22" x14ac:dyDescent="0.25">
      <c r="A1788" s="2">
        <v>46365</v>
      </c>
      <c r="B1788" s="2">
        <v>45586</v>
      </c>
      <c r="C1788" t="s">
        <v>478</v>
      </c>
      <c r="D1788">
        <v>50</v>
      </c>
      <c r="E1788" t="s">
        <v>2022</v>
      </c>
      <c r="F1788" t="s">
        <v>261</v>
      </c>
      <c r="G1788" t="s">
        <v>2023</v>
      </c>
      <c r="H1788" t="s">
        <v>2024</v>
      </c>
      <c r="I1788" t="s">
        <v>155</v>
      </c>
      <c r="J1788" s="3" t="s">
        <v>2025</v>
      </c>
      <c r="K1788" t="s">
        <v>2026</v>
      </c>
      <c r="L1788" s="4">
        <v>90</v>
      </c>
      <c r="M1788" s="4">
        <v>0</v>
      </c>
      <c r="N1788">
        <v>90</v>
      </c>
      <c r="O1788" t="s">
        <v>94</v>
      </c>
      <c r="P1788">
        <v>60</v>
      </c>
      <c r="Q1788">
        <f>QtyRemaining*EstMfgMin/60</f>
        <v>90</v>
      </c>
      <c r="R1788" t="s">
        <v>3518</v>
      </c>
      <c r="U1788" t="e">
        <f t="shared" si="56"/>
        <v>#REF!</v>
      </c>
      <c r="V1788" s="5" t="e">
        <f t="shared" si="57"/>
        <v>#REF!</v>
      </c>
    </row>
    <row r="1789" spans="1:22" x14ac:dyDescent="0.25">
      <c r="A1789" s="2">
        <v>46365</v>
      </c>
      <c r="B1789" s="2">
        <v>45586</v>
      </c>
      <c r="C1789" t="s">
        <v>478</v>
      </c>
      <c r="D1789">
        <v>50</v>
      </c>
      <c r="E1789" t="s">
        <v>2022</v>
      </c>
      <c r="F1789" t="s">
        <v>261</v>
      </c>
      <c r="G1789" t="s">
        <v>2023</v>
      </c>
      <c r="H1789" t="s">
        <v>2024</v>
      </c>
      <c r="I1789" t="s">
        <v>155</v>
      </c>
      <c r="J1789" s="3" t="s">
        <v>2025</v>
      </c>
      <c r="K1789" t="s">
        <v>2026</v>
      </c>
      <c r="L1789" s="4">
        <v>60</v>
      </c>
      <c r="M1789" s="4">
        <v>0</v>
      </c>
      <c r="N1789">
        <v>60</v>
      </c>
      <c r="O1789" t="s">
        <v>94</v>
      </c>
      <c r="P1789">
        <v>60</v>
      </c>
      <c r="Q1789">
        <f>QtyRemaining*EstMfgMin/60</f>
        <v>60</v>
      </c>
      <c r="R1789" t="s">
        <v>3518</v>
      </c>
      <c r="U1789" t="e">
        <f t="shared" si="56"/>
        <v>#REF!</v>
      </c>
      <c r="V1789" s="5" t="e">
        <f t="shared" si="57"/>
        <v>#REF!</v>
      </c>
    </row>
    <row r="1790" spans="1:22" x14ac:dyDescent="0.25">
      <c r="A1790" s="2">
        <v>46365</v>
      </c>
      <c r="B1790" s="2">
        <v>45586</v>
      </c>
      <c r="C1790" t="s">
        <v>478</v>
      </c>
      <c r="D1790">
        <v>50</v>
      </c>
      <c r="E1790" t="s">
        <v>2022</v>
      </c>
      <c r="F1790" t="s">
        <v>261</v>
      </c>
      <c r="G1790" t="s">
        <v>2023</v>
      </c>
      <c r="H1790" t="s">
        <v>2024</v>
      </c>
      <c r="I1790" t="s">
        <v>155</v>
      </c>
      <c r="J1790" s="3" t="s">
        <v>2025</v>
      </c>
      <c r="K1790" t="s">
        <v>2026</v>
      </c>
      <c r="L1790" s="4">
        <v>90</v>
      </c>
      <c r="M1790" s="4">
        <v>0</v>
      </c>
      <c r="N1790">
        <v>90</v>
      </c>
      <c r="O1790" t="s">
        <v>94</v>
      </c>
      <c r="P1790">
        <v>60</v>
      </c>
      <c r="Q1790">
        <f>QtyRemaining*EstMfgMin/60</f>
        <v>90</v>
      </c>
      <c r="U1790" t="e">
        <f t="shared" si="56"/>
        <v>#REF!</v>
      </c>
      <c r="V1790" s="5" t="e">
        <f t="shared" si="57"/>
        <v>#REF!</v>
      </c>
    </row>
    <row r="1791" spans="1:22" x14ac:dyDescent="0.25">
      <c r="A1791" s="2">
        <v>46365</v>
      </c>
      <c r="B1791" s="2">
        <v>45586</v>
      </c>
      <c r="C1791" t="s">
        <v>478</v>
      </c>
      <c r="D1791">
        <v>50</v>
      </c>
      <c r="E1791" t="s">
        <v>2022</v>
      </c>
      <c r="F1791" t="s">
        <v>261</v>
      </c>
      <c r="G1791" t="s">
        <v>2023</v>
      </c>
      <c r="H1791" t="s">
        <v>2024</v>
      </c>
      <c r="I1791" t="s">
        <v>155</v>
      </c>
      <c r="J1791" s="3" t="s">
        <v>2025</v>
      </c>
      <c r="K1791" t="s">
        <v>2026</v>
      </c>
      <c r="L1791" s="4">
        <v>45</v>
      </c>
      <c r="M1791" s="4">
        <v>0</v>
      </c>
      <c r="N1791">
        <v>45</v>
      </c>
      <c r="O1791" t="s">
        <v>94</v>
      </c>
      <c r="P1791">
        <v>60</v>
      </c>
      <c r="Q1791">
        <f>QtyRemaining*EstMfgMin/60</f>
        <v>45</v>
      </c>
      <c r="U1791" t="e">
        <f t="shared" si="56"/>
        <v>#REF!</v>
      </c>
      <c r="V1791" s="5" t="e">
        <f t="shared" si="57"/>
        <v>#REF!</v>
      </c>
    </row>
    <row r="1792" spans="1:22" x14ac:dyDescent="0.25">
      <c r="A1792" s="2">
        <v>46365</v>
      </c>
      <c r="B1792" s="2">
        <v>45586</v>
      </c>
      <c r="C1792" t="s">
        <v>478</v>
      </c>
      <c r="D1792">
        <v>50</v>
      </c>
      <c r="E1792" t="s">
        <v>2022</v>
      </c>
      <c r="F1792" t="s">
        <v>261</v>
      </c>
      <c r="G1792" t="s">
        <v>2023</v>
      </c>
      <c r="H1792" t="s">
        <v>2024</v>
      </c>
      <c r="I1792" t="s">
        <v>155</v>
      </c>
      <c r="J1792" s="3" t="s">
        <v>2025</v>
      </c>
      <c r="K1792" t="s">
        <v>2026</v>
      </c>
      <c r="L1792" s="4">
        <v>60</v>
      </c>
      <c r="M1792" s="4">
        <v>0</v>
      </c>
      <c r="N1792">
        <v>60</v>
      </c>
      <c r="O1792" t="s">
        <v>94</v>
      </c>
      <c r="P1792">
        <v>60</v>
      </c>
      <c r="Q1792">
        <f>QtyRemaining*EstMfgMin/60</f>
        <v>60</v>
      </c>
      <c r="U1792" t="e">
        <f t="shared" si="56"/>
        <v>#REF!</v>
      </c>
      <c r="V1792" s="5" t="e">
        <f t="shared" si="57"/>
        <v>#REF!</v>
      </c>
    </row>
    <row r="1793" spans="1:22" x14ac:dyDescent="0.25">
      <c r="A1793" s="2">
        <v>46365</v>
      </c>
      <c r="B1793" s="2">
        <v>45586</v>
      </c>
      <c r="C1793" t="s">
        <v>478</v>
      </c>
      <c r="D1793">
        <v>50</v>
      </c>
      <c r="E1793" t="s">
        <v>2022</v>
      </c>
      <c r="F1793" t="s">
        <v>261</v>
      </c>
      <c r="G1793" t="s">
        <v>2023</v>
      </c>
      <c r="H1793" t="s">
        <v>2024</v>
      </c>
      <c r="I1793" t="s">
        <v>155</v>
      </c>
      <c r="J1793" s="3" t="s">
        <v>2025</v>
      </c>
      <c r="K1793" t="s">
        <v>2026</v>
      </c>
      <c r="L1793" s="4">
        <v>45</v>
      </c>
      <c r="M1793" s="4">
        <v>0</v>
      </c>
      <c r="N1793">
        <v>45</v>
      </c>
      <c r="O1793" t="s">
        <v>94</v>
      </c>
      <c r="P1793">
        <v>60</v>
      </c>
      <c r="Q1793">
        <f>QtyRemaining*EstMfgMin/60</f>
        <v>45</v>
      </c>
      <c r="U1793" t="e">
        <f t="shared" si="56"/>
        <v>#REF!</v>
      </c>
      <c r="V1793" s="5" t="e">
        <f t="shared" si="57"/>
        <v>#REF!</v>
      </c>
    </row>
    <row r="1794" spans="1:22" x14ac:dyDescent="0.25">
      <c r="A1794" s="2">
        <v>46365</v>
      </c>
      <c r="B1794" s="2">
        <v>45586</v>
      </c>
      <c r="C1794" t="s">
        <v>478</v>
      </c>
      <c r="D1794">
        <v>50</v>
      </c>
      <c r="E1794" t="s">
        <v>2022</v>
      </c>
      <c r="F1794" t="s">
        <v>261</v>
      </c>
      <c r="G1794" t="s">
        <v>2023</v>
      </c>
      <c r="H1794" t="s">
        <v>2024</v>
      </c>
      <c r="I1794" t="s">
        <v>155</v>
      </c>
      <c r="J1794" s="3" t="s">
        <v>2025</v>
      </c>
      <c r="K1794" t="s">
        <v>2026</v>
      </c>
      <c r="L1794" s="4">
        <v>45</v>
      </c>
      <c r="M1794" s="4">
        <v>0</v>
      </c>
      <c r="N1794">
        <v>45</v>
      </c>
      <c r="O1794" t="s">
        <v>94</v>
      </c>
      <c r="P1794">
        <v>60</v>
      </c>
      <c r="Q1794">
        <f>QtyRemaining*EstMfgMin/60</f>
        <v>45</v>
      </c>
      <c r="U1794" t="e">
        <f t="shared" si="56"/>
        <v>#REF!</v>
      </c>
      <c r="V1794" s="5" t="e">
        <f t="shared" si="57"/>
        <v>#REF!</v>
      </c>
    </row>
    <row r="1795" spans="1:22" x14ac:dyDescent="0.25">
      <c r="A1795" s="2">
        <v>46365</v>
      </c>
      <c r="B1795" s="2">
        <v>45586</v>
      </c>
      <c r="C1795" t="s">
        <v>478</v>
      </c>
      <c r="D1795">
        <v>50</v>
      </c>
      <c r="E1795" t="s">
        <v>2022</v>
      </c>
      <c r="F1795" t="s">
        <v>261</v>
      </c>
      <c r="G1795" t="s">
        <v>2023</v>
      </c>
      <c r="H1795" t="s">
        <v>2024</v>
      </c>
      <c r="I1795" t="s">
        <v>155</v>
      </c>
      <c r="J1795" s="3" t="s">
        <v>2025</v>
      </c>
      <c r="K1795" t="s">
        <v>2026</v>
      </c>
      <c r="L1795" s="4">
        <v>60</v>
      </c>
      <c r="M1795" s="4">
        <v>0</v>
      </c>
      <c r="N1795">
        <v>60</v>
      </c>
      <c r="O1795" t="s">
        <v>94</v>
      </c>
      <c r="P1795">
        <v>60</v>
      </c>
      <c r="Q1795">
        <f>QtyRemaining*EstMfgMin/60</f>
        <v>60</v>
      </c>
      <c r="U1795" t="e">
        <f t="shared" ref="U1795:U1858" si="58">VLOOKUP(A1795,Calendar,13,FALSE)</f>
        <v>#REF!</v>
      </c>
      <c r="V1795" s="5" t="e">
        <f t="shared" ref="V1795:V1858" si="59">VLOOKUP(A1795,Calendar,14,FALSE)</f>
        <v>#REF!</v>
      </c>
    </row>
    <row r="1796" spans="1:22" x14ac:dyDescent="0.25">
      <c r="A1796" s="2">
        <v>46365</v>
      </c>
      <c r="B1796" s="2">
        <v>45586</v>
      </c>
      <c r="C1796" t="s">
        <v>478</v>
      </c>
      <c r="D1796">
        <v>50</v>
      </c>
      <c r="E1796" t="s">
        <v>2022</v>
      </c>
      <c r="F1796" t="s">
        <v>261</v>
      </c>
      <c r="G1796" t="s">
        <v>2023</v>
      </c>
      <c r="H1796" t="s">
        <v>2024</v>
      </c>
      <c r="I1796" t="s">
        <v>155</v>
      </c>
      <c r="J1796" s="3" t="s">
        <v>2025</v>
      </c>
      <c r="K1796" t="s">
        <v>2026</v>
      </c>
      <c r="L1796" s="4">
        <v>45</v>
      </c>
      <c r="M1796" s="4">
        <v>0</v>
      </c>
      <c r="N1796">
        <v>45</v>
      </c>
      <c r="O1796" t="s">
        <v>94</v>
      </c>
      <c r="P1796">
        <v>60</v>
      </c>
      <c r="Q1796">
        <f>QtyRemaining*EstMfgMin/60</f>
        <v>45</v>
      </c>
      <c r="U1796" t="e">
        <f t="shared" si="58"/>
        <v>#REF!</v>
      </c>
      <c r="V1796" s="5" t="e">
        <f t="shared" si="59"/>
        <v>#REF!</v>
      </c>
    </row>
    <row r="1797" spans="1:22" x14ac:dyDescent="0.25">
      <c r="A1797" s="2">
        <v>46365</v>
      </c>
      <c r="B1797" s="2">
        <v>45586</v>
      </c>
      <c r="C1797" t="s">
        <v>478</v>
      </c>
      <c r="D1797">
        <v>50</v>
      </c>
      <c r="E1797" t="s">
        <v>2022</v>
      </c>
      <c r="F1797" t="s">
        <v>261</v>
      </c>
      <c r="G1797" t="s">
        <v>2023</v>
      </c>
      <c r="H1797" t="s">
        <v>2024</v>
      </c>
      <c r="I1797" t="s">
        <v>155</v>
      </c>
      <c r="J1797" s="3" t="s">
        <v>2025</v>
      </c>
      <c r="K1797" t="s">
        <v>2026</v>
      </c>
      <c r="L1797" s="4">
        <v>45</v>
      </c>
      <c r="M1797" s="4">
        <v>0</v>
      </c>
      <c r="N1797">
        <v>45</v>
      </c>
      <c r="O1797" t="s">
        <v>94</v>
      </c>
      <c r="P1797">
        <v>60</v>
      </c>
      <c r="Q1797">
        <f>QtyRemaining*EstMfgMin/60</f>
        <v>45</v>
      </c>
      <c r="U1797" t="e">
        <f t="shared" si="58"/>
        <v>#REF!</v>
      </c>
      <c r="V1797" s="5" t="e">
        <f t="shared" si="59"/>
        <v>#REF!</v>
      </c>
    </row>
    <row r="1798" spans="1:22" x14ac:dyDescent="0.25">
      <c r="A1798" s="2">
        <v>46365</v>
      </c>
      <c r="B1798" s="2">
        <v>45586</v>
      </c>
      <c r="C1798" t="s">
        <v>478</v>
      </c>
      <c r="D1798">
        <v>50</v>
      </c>
      <c r="E1798" t="s">
        <v>2022</v>
      </c>
      <c r="F1798" t="s">
        <v>261</v>
      </c>
      <c r="G1798" t="s">
        <v>2023</v>
      </c>
      <c r="H1798" t="s">
        <v>2024</v>
      </c>
      <c r="I1798" t="s">
        <v>155</v>
      </c>
      <c r="J1798" s="3" t="s">
        <v>2025</v>
      </c>
      <c r="K1798" t="s">
        <v>2026</v>
      </c>
      <c r="L1798" s="4">
        <v>75</v>
      </c>
      <c r="M1798" s="4">
        <v>0</v>
      </c>
      <c r="N1798">
        <v>75</v>
      </c>
      <c r="O1798" t="s">
        <v>94</v>
      </c>
      <c r="P1798">
        <v>60</v>
      </c>
      <c r="Q1798">
        <f>QtyRemaining*EstMfgMin/60</f>
        <v>75</v>
      </c>
      <c r="U1798" t="e">
        <f t="shared" si="58"/>
        <v>#REF!</v>
      </c>
      <c r="V1798" s="5" t="e">
        <f t="shared" si="59"/>
        <v>#REF!</v>
      </c>
    </row>
    <row r="1799" spans="1:22" x14ac:dyDescent="0.25">
      <c r="A1799" s="2">
        <v>46365</v>
      </c>
      <c r="B1799" s="2">
        <v>45586</v>
      </c>
      <c r="C1799" t="s">
        <v>478</v>
      </c>
      <c r="D1799">
        <v>50</v>
      </c>
      <c r="E1799" t="s">
        <v>2022</v>
      </c>
      <c r="F1799" t="s">
        <v>261</v>
      </c>
      <c r="G1799" t="s">
        <v>2023</v>
      </c>
      <c r="H1799" t="s">
        <v>2024</v>
      </c>
      <c r="I1799" t="s">
        <v>155</v>
      </c>
      <c r="J1799" s="3" t="s">
        <v>2025</v>
      </c>
      <c r="K1799" t="s">
        <v>2026</v>
      </c>
      <c r="L1799" s="4">
        <v>45</v>
      </c>
      <c r="M1799" s="4">
        <v>0</v>
      </c>
      <c r="N1799">
        <v>45</v>
      </c>
      <c r="O1799" t="s">
        <v>94</v>
      </c>
      <c r="P1799">
        <v>60</v>
      </c>
      <c r="Q1799">
        <f>QtyRemaining*EstMfgMin/60</f>
        <v>45</v>
      </c>
      <c r="U1799" t="e">
        <f t="shared" si="58"/>
        <v>#REF!</v>
      </c>
      <c r="V1799" s="5" t="e">
        <f t="shared" si="59"/>
        <v>#REF!</v>
      </c>
    </row>
    <row r="1800" spans="1:22" x14ac:dyDescent="0.25">
      <c r="A1800" s="2">
        <v>46365</v>
      </c>
      <c r="B1800" s="2">
        <v>45586</v>
      </c>
      <c r="C1800" t="s">
        <v>478</v>
      </c>
      <c r="D1800">
        <v>50</v>
      </c>
      <c r="E1800" t="s">
        <v>2022</v>
      </c>
      <c r="F1800" t="s">
        <v>261</v>
      </c>
      <c r="G1800" t="s">
        <v>2023</v>
      </c>
      <c r="H1800" t="s">
        <v>2024</v>
      </c>
      <c r="I1800" t="s">
        <v>155</v>
      </c>
      <c r="J1800" s="3" t="s">
        <v>2025</v>
      </c>
      <c r="K1800" t="s">
        <v>2026</v>
      </c>
      <c r="L1800" s="4">
        <v>60</v>
      </c>
      <c r="M1800" s="4">
        <v>0</v>
      </c>
      <c r="N1800">
        <v>60</v>
      </c>
      <c r="O1800" t="s">
        <v>94</v>
      </c>
      <c r="P1800">
        <v>60</v>
      </c>
      <c r="Q1800">
        <f>QtyRemaining*EstMfgMin/60</f>
        <v>60</v>
      </c>
      <c r="U1800" t="e">
        <f t="shared" si="58"/>
        <v>#REF!</v>
      </c>
      <c r="V1800" s="5" t="e">
        <f t="shared" si="59"/>
        <v>#REF!</v>
      </c>
    </row>
    <row r="1801" spans="1:22" x14ac:dyDescent="0.25">
      <c r="A1801" s="2">
        <v>46365</v>
      </c>
      <c r="B1801" s="2">
        <v>45586</v>
      </c>
      <c r="C1801" t="s">
        <v>478</v>
      </c>
      <c r="D1801">
        <v>50</v>
      </c>
      <c r="E1801" t="s">
        <v>2022</v>
      </c>
      <c r="F1801" t="s">
        <v>261</v>
      </c>
      <c r="G1801" t="s">
        <v>2023</v>
      </c>
      <c r="H1801" t="s">
        <v>2024</v>
      </c>
      <c r="I1801" t="s">
        <v>155</v>
      </c>
      <c r="J1801" s="3" t="s">
        <v>2025</v>
      </c>
      <c r="K1801" t="s">
        <v>2026</v>
      </c>
      <c r="L1801" s="4">
        <v>45</v>
      </c>
      <c r="M1801" s="4">
        <v>0</v>
      </c>
      <c r="N1801">
        <v>45</v>
      </c>
      <c r="O1801" t="s">
        <v>94</v>
      </c>
      <c r="P1801">
        <v>60</v>
      </c>
      <c r="Q1801">
        <f>QtyRemaining*EstMfgMin/60</f>
        <v>45</v>
      </c>
      <c r="U1801" t="e">
        <f t="shared" si="58"/>
        <v>#REF!</v>
      </c>
      <c r="V1801" s="5" t="e">
        <f t="shared" si="59"/>
        <v>#REF!</v>
      </c>
    </row>
    <row r="1802" spans="1:22" x14ac:dyDescent="0.25">
      <c r="A1802" s="2">
        <v>46365</v>
      </c>
      <c r="B1802" s="2">
        <v>45586</v>
      </c>
      <c r="C1802" t="s">
        <v>478</v>
      </c>
      <c r="D1802">
        <v>50</v>
      </c>
      <c r="E1802" t="s">
        <v>2022</v>
      </c>
      <c r="F1802" t="s">
        <v>261</v>
      </c>
      <c r="G1802" t="s">
        <v>2023</v>
      </c>
      <c r="H1802" t="s">
        <v>2024</v>
      </c>
      <c r="I1802" t="s">
        <v>155</v>
      </c>
      <c r="J1802" s="3" t="s">
        <v>2025</v>
      </c>
      <c r="K1802" t="s">
        <v>2026</v>
      </c>
      <c r="L1802" s="4">
        <v>34</v>
      </c>
      <c r="M1802" s="4">
        <v>0</v>
      </c>
      <c r="N1802">
        <v>34</v>
      </c>
      <c r="O1802" t="s">
        <v>94</v>
      </c>
      <c r="P1802">
        <v>60</v>
      </c>
      <c r="Q1802">
        <f>QtyRemaining*EstMfgMin/60</f>
        <v>34</v>
      </c>
      <c r="U1802" t="e">
        <f t="shared" si="58"/>
        <v>#REF!</v>
      </c>
      <c r="V1802" s="5" t="e">
        <f t="shared" si="59"/>
        <v>#REF!</v>
      </c>
    </row>
    <row r="1803" spans="1:22" x14ac:dyDescent="0.25">
      <c r="A1803" s="2">
        <v>46365</v>
      </c>
      <c r="B1803" s="2">
        <v>45588</v>
      </c>
      <c r="C1803" t="s">
        <v>478</v>
      </c>
      <c r="D1803">
        <v>50</v>
      </c>
      <c r="E1803" t="s">
        <v>2960</v>
      </c>
      <c r="F1803" t="s">
        <v>261</v>
      </c>
      <c r="G1803" t="s">
        <v>2023</v>
      </c>
      <c r="H1803" t="s">
        <v>2024</v>
      </c>
      <c r="I1803" t="s">
        <v>155</v>
      </c>
      <c r="J1803" s="3" t="s">
        <v>2961</v>
      </c>
      <c r="K1803" t="s">
        <v>2962</v>
      </c>
      <c r="L1803" s="4">
        <v>200</v>
      </c>
      <c r="M1803" s="4">
        <v>0</v>
      </c>
      <c r="N1803">
        <v>200</v>
      </c>
      <c r="O1803" t="s">
        <v>457</v>
      </c>
      <c r="P1803">
        <v>75</v>
      </c>
      <c r="Q1803">
        <f>QtyRemaining*EstMfgMin/60</f>
        <v>250</v>
      </c>
      <c r="R1803" t="s">
        <v>1062</v>
      </c>
      <c r="U1803" t="e">
        <f t="shared" si="58"/>
        <v>#REF!</v>
      </c>
      <c r="V1803" s="5" t="e">
        <f t="shared" si="59"/>
        <v>#REF!</v>
      </c>
    </row>
    <row r="1804" spans="1:22" x14ac:dyDescent="0.25">
      <c r="A1804" s="2">
        <v>46365</v>
      </c>
      <c r="B1804" s="2">
        <v>45588</v>
      </c>
      <c r="C1804" t="s">
        <v>478</v>
      </c>
      <c r="D1804">
        <v>50</v>
      </c>
      <c r="E1804" t="s">
        <v>2960</v>
      </c>
      <c r="F1804" t="s">
        <v>261</v>
      </c>
      <c r="G1804" t="s">
        <v>2023</v>
      </c>
      <c r="H1804" t="s">
        <v>2024</v>
      </c>
      <c r="I1804" t="s">
        <v>155</v>
      </c>
      <c r="J1804" s="3" t="s">
        <v>2961</v>
      </c>
      <c r="K1804" t="s">
        <v>2962</v>
      </c>
      <c r="L1804" s="4">
        <v>200</v>
      </c>
      <c r="M1804" s="4">
        <v>0</v>
      </c>
      <c r="N1804">
        <v>200</v>
      </c>
      <c r="O1804" t="s">
        <v>457</v>
      </c>
      <c r="P1804">
        <v>75</v>
      </c>
      <c r="Q1804">
        <f>QtyRemaining*EstMfgMin/60</f>
        <v>250</v>
      </c>
      <c r="R1804" t="s">
        <v>1062</v>
      </c>
      <c r="U1804" t="e">
        <f t="shared" si="58"/>
        <v>#REF!</v>
      </c>
      <c r="V1804" s="5" t="e">
        <f t="shared" si="59"/>
        <v>#REF!</v>
      </c>
    </row>
    <row r="1805" spans="1:22" x14ac:dyDescent="0.25">
      <c r="A1805" s="2">
        <v>46365</v>
      </c>
      <c r="B1805" s="2">
        <v>45588</v>
      </c>
      <c r="C1805" t="s">
        <v>478</v>
      </c>
      <c r="D1805">
        <v>50</v>
      </c>
      <c r="E1805" t="s">
        <v>2960</v>
      </c>
      <c r="F1805" t="s">
        <v>261</v>
      </c>
      <c r="G1805" t="s">
        <v>2023</v>
      </c>
      <c r="H1805" t="s">
        <v>2024</v>
      </c>
      <c r="I1805" t="s">
        <v>155</v>
      </c>
      <c r="J1805" s="3" t="s">
        <v>2961</v>
      </c>
      <c r="K1805" t="s">
        <v>2962</v>
      </c>
      <c r="L1805" s="4">
        <v>200</v>
      </c>
      <c r="M1805" s="4">
        <v>0</v>
      </c>
      <c r="N1805">
        <v>200</v>
      </c>
      <c r="O1805" t="s">
        <v>457</v>
      </c>
      <c r="P1805">
        <v>75</v>
      </c>
      <c r="Q1805">
        <f>QtyRemaining*EstMfgMin/60</f>
        <v>250</v>
      </c>
      <c r="R1805" t="s">
        <v>1062</v>
      </c>
      <c r="U1805" t="e">
        <f t="shared" si="58"/>
        <v>#REF!</v>
      </c>
      <c r="V1805" s="5" t="e">
        <f t="shared" si="59"/>
        <v>#REF!</v>
      </c>
    </row>
    <row r="1806" spans="1:22" x14ac:dyDescent="0.25">
      <c r="A1806" s="2">
        <v>46365</v>
      </c>
      <c r="B1806" s="2">
        <v>45588</v>
      </c>
      <c r="C1806" t="s">
        <v>478</v>
      </c>
      <c r="D1806">
        <v>50</v>
      </c>
      <c r="E1806" t="s">
        <v>2960</v>
      </c>
      <c r="F1806" t="s">
        <v>261</v>
      </c>
      <c r="G1806" t="s">
        <v>2023</v>
      </c>
      <c r="H1806" t="s">
        <v>2024</v>
      </c>
      <c r="I1806" t="s">
        <v>155</v>
      </c>
      <c r="J1806" s="3" t="s">
        <v>2961</v>
      </c>
      <c r="K1806" t="s">
        <v>2962</v>
      </c>
      <c r="L1806" s="4">
        <v>200</v>
      </c>
      <c r="M1806" s="4">
        <v>0</v>
      </c>
      <c r="N1806">
        <v>200</v>
      </c>
      <c r="O1806" t="s">
        <v>457</v>
      </c>
      <c r="P1806">
        <v>75</v>
      </c>
      <c r="Q1806">
        <f>QtyRemaining*EstMfgMin/60</f>
        <v>250</v>
      </c>
      <c r="R1806" t="s">
        <v>3519</v>
      </c>
      <c r="U1806" t="e">
        <f t="shared" si="58"/>
        <v>#REF!</v>
      </c>
      <c r="V1806" s="5" t="e">
        <f t="shared" si="59"/>
        <v>#REF!</v>
      </c>
    </row>
    <row r="1807" spans="1:22" x14ac:dyDescent="0.25">
      <c r="A1807" s="2">
        <v>46365</v>
      </c>
      <c r="B1807" s="2">
        <v>45588</v>
      </c>
      <c r="C1807" t="s">
        <v>478</v>
      </c>
      <c r="D1807">
        <v>50</v>
      </c>
      <c r="E1807" t="s">
        <v>2960</v>
      </c>
      <c r="F1807" t="s">
        <v>261</v>
      </c>
      <c r="G1807" t="s">
        <v>2023</v>
      </c>
      <c r="H1807" t="s">
        <v>2024</v>
      </c>
      <c r="I1807" t="s">
        <v>155</v>
      </c>
      <c r="J1807" s="3" t="s">
        <v>2961</v>
      </c>
      <c r="K1807" t="s">
        <v>2962</v>
      </c>
      <c r="L1807" s="4">
        <v>400</v>
      </c>
      <c r="M1807" s="4">
        <v>0</v>
      </c>
      <c r="N1807">
        <v>400</v>
      </c>
      <c r="O1807" t="s">
        <v>457</v>
      </c>
      <c r="P1807">
        <v>75</v>
      </c>
      <c r="Q1807">
        <f>QtyRemaining*EstMfgMin/60</f>
        <v>500</v>
      </c>
      <c r="R1807" t="s">
        <v>3518</v>
      </c>
      <c r="U1807" t="e">
        <f t="shared" si="58"/>
        <v>#REF!</v>
      </c>
      <c r="V1807" s="5" t="e">
        <f t="shared" si="59"/>
        <v>#REF!</v>
      </c>
    </row>
    <row r="1808" spans="1:22" x14ac:dyDescent="0.25">
      <c r="A1808" s="2">
        <v>46365</v>
      </c>
      <c r="B1808" s="2">
        <v>45588</v>
      </c>
      <c r="C1808" t="s">
        <v>478</v>
      </c>
      <c r="D1808">
        <v>50</v>
      </c>
      <c r="E1808" t="s">
        <v>2960</v>
      </c>
      <c r="F1808" t="s">
        <v>261</v>
      </c>
      <c r="G1808" t="s">
        <v>2023</v>
      </c>
      <c r="H1808" t="s">
        <v>2024</v>
      </c>
      <c r="I1808" t="s">
        <v>155</v>
      </c>
      <c r="J1808" s="3" t="s">
        <v>2961</v>
      </c>
      <c r="K1808" t="s">
        <v>2962</v>
      </c>
      <c r="L1808" s="4">
        <v>200</v>
      </c>
      <c r="M1808" s="4">
        <v>0</v>
      </c>
      <c r="N1808">
        <v>200</v>
      </c>
      <c r="O1808" t="s">
        <v>457</v>
      </c>
      <c r="P1808">
        <v>75</v>
      </c>
      <c r="Q1808">
        <f>QtyRemaining*EstMfgMin/60</f>
        <v>250</v>
      </c>
      <c r="U1808" t="e">
        <f t="shared" si="58"/>
        <v>#REF!</v>
      </c>
      <c r="V1808" s="5" t="e">
        <f t="shared" si="59"/>
        <v>#REF!</v>
      </c>
    </row>
    <row r="1809" spans="1:22" x14ac:dyDescent="0.25">
      <c r="A1809" s="2">
        <v>46365</v>
      </c>
      <c r="B1809" s="2">
        <v>45588</v>
      </c>
      <c r="C1809" t="s">
        <v>478</v>
      </c>
      <c r="D1809">
        <v>50</v>
      </c>
      <c r="E1809" t="s">
        <v>2960</v>
      </c>
      <c r="F1809" t="s">
        <v>261</v>
      </c>
      <c r="G1809" t="s">
        <v>2023</v>
      </c>
      <c r="H1809" t="s">
        <v>2024</v>
      </c>
      <c r="I1809" t="s">
        <v>155</v>
      </c>
      <c r="J1809" s="3" t="s">
        <v>2961</v>
      </c>
      <c r="K1809" t="s">
        <v>2962</v>
      </c>
      <c r="L1809" s="4">
        <v>200</v>
      </c>
      <c r="M1809" s="4">
        <v>0</v>
      </c>
      <c r="N1809">
        <v>200</v>
      </c>
      <c r="O1809" t="s">
        <v>457</v>
      </c>
      <c r="P1809">
        <v>75</v>
      </c>
      <c r="Q1809">
        <f>QtyRemaining*EstMfgMin/60</f>
        <v>250</v>
      </c>
      <c r="U1809" t="e">
        <f t="shared" si="58"/>
        <v>#REF!</v>
      </c>
      <c r="V1809" s="5" t="e">
        <f t="shared" si="59"/>
        <v>#REF!</v>
      </c>
    </row>
    <row r="1810" spans="1:22" x14ac:dyDescent="0.25">
      <c r="A1810" s="2">
        <v>46365</v>
      </c>
      <c r="B1810" s="2">
        <v>45588</v>
      </c>
      <c r="C1810" t="s">
        <v>478</v>
      </c>
      <c r="D1810">
        <v>50</v>
      </c>
      <c r="E1810" t="s">
        <v>2960</v>
      </c>
      <c r="F1810" t="s">
        <v>261</v>
      </c>
      <c r="G1810" t="s">
        <v>2023</v>
      </c>
      <c r="H1810" t="s">
        <v>2024</v>
      </c>
      <c r="I1810" t="s">
        <v>155</v>
      </c>
      <c r="J1810" s="3" t="s">
        <v>2961</v>
      </c>
      <c r="K1810" t="s">
        <v>2962</v>
      </c>
      <c r="L1810" s="4">
        <v>200</v>
      </c>
      <c r="M1810" s="4">
        <v>0</v>
      </c>
      <c r="N1810">
        <v>200</v>
      </c>
      <c r="O1810" t="s">
        <v>457</v>
      </c>
      <c r="P1810">
        <v>75</v>
      </c>
      <c r="Q1810">
        <f>QtyRemaining*EstMfgMin/60</f>
        <v>250</v>
      </c>
      <c r="U1810" t="e">
        <f t="shared" si="58"/>
        <v>#REF!</v>
      </c>
      <c r="V1810" s="5" t="e">
        <f t="shared" si="59"/>
        <v>#REF!</v>
      </c>
    </row>
    <row r="1811" spans="1:22" x14ac:dyDescent="0.25">
      <c r="A1811" s="2">
        <v>46365</v>
      </c>
      <c r="B1811" s="2">
        <v>45588</v>
      </c>
      <c r="C1811" t="s">
        <v>478</v>
      </c>
      <c r="D1811">
        <v>50</v>
      </c>
      <c r="E1811" t="s">
        <v>2960</v>
      </c>
      <c r="F1811" t="s">
        <v>261</v>
      </c>
      <c r="G1811" t="s">
        <v>2023</v>
      </c>
      <c r="H1811" t="s">
        <v>2024</v>
      </c>
      <c r="I1811" t="s">
        <v>155</v>
      </c>
      <c r="J1811" s="3" t="s">
        <v>2961</v>
      </c>
      <c r="K1811" t="s">
        <v>2962</v>
      </c>
      <c r="L1811" s="4">
        <v>200</v>
      </c>
      <c r="M1811" s="4">
        <v>0</v>
      </c>
      <c r="N1811">
        <v>200</v>
      </c>
      <c r="O1811" t="s">
        <v>457</v>
      </c>
      <c r="P1811">
        <v>75</v>
      </c>
      <c r="Q1811">
        <f>QtyRemaining*EstMfgMin/60</f>
        <v>250</v>
      </c>
      <c r="U1811" t="e">
        <f t="shared" si="58"/>
        <v>#REF!</v>
      </c>
      <c r="V1811" s="5" t="e">
        <f t="shared" si="59"/>
        <v>#REF!</v>
      </c>
    </row>
    <row r="1812" spans="1:22" x14ac:dyDescent="0.25">
      <c r="A1812" s="2">
        <v>46365</v>
      </c>
      <c r="B1812" s="2">
        <v>45588</v>
      </c>
      <c r="C1812" t="s">
        <v>478</v>
      </c>
      <c r="D1812">
        <v>50</v>
      </c>
      <c r="E1812" t="s">
        <v>2960</v>
      </c>
      <c r="F1812" t="s">
        <v>261</v>
      </c>
      <c r="G1812" t="s">
        <v>2023</v>
      </c>
      <c r="H1812" t="s">
        <v>2024</v>
      </c>
      <c r="I1812" t="s">
        <v>155</v>
      </c>
      <c r="J1812" s="3" t="s">
        <v>2961</v>
      </c>
      <c r="K1812" t="s">
        <v>2962</v>
      </c>
      <c r="L1812" s="4">
        <v>200</v>
      </c>
      <c r="M1812" s="4">
        <v>0</v>
      </c>
      <c r="N1812">
        <v>200</v>
      </c>
      <c r="O1812" t="s">
        <v>457</v>
      </c>
      <c r="P1812">
        <v>75</v>
      </c>
      <c r="Q1812">
        <f>QtyRemaining*EstMfgMin/60</f>
        <v>250</v>
      </c>
      <c r="U1812" t="e">
        <f t="shared" si="58"/>
        <v>#REF!</v>
      </c>
      <c r="V1812" s="5" t="e">
        <f t="shared" si="59"/>
        <v>#REF!</v>
      </c>
    </row>
    <row r="1813" spans="1:22" x14ac:dyDescent="0.25">
      <c r="A1813" s="2">
        <v>46365</v>
      </c>
      <c r="B1813" s="2">
        <v>45588</v>
      </c>
      <c r="C1813" t="s">
        <v>478</v>
      </c>
      <c r="D1813">
        <v>50</v>
      </c>
      <c r="E1813" t="s">
        <v>2960</v>
      </c>
      <c r="F1813" t="s">
        <v>261</v>
      </c>
      <c r="G1813" t="s">
        <v>2023</v>
      </c>
      <c r="H1813" t="s">
        <v>2024</v>
      </c>
      <c r="I1813" t="s">
        <v>155</v>
      </c>
      <c r="J1813" s="3" t="s">
        <v>2961</v>
      </c>
      <c r="K1813" t="s">
        <v>2962</v>
      </c>
      <c r="L1813" s="4">
        <v>200</v>
      </c>
      <c r="M1813" s="4">
        <v>0</v>
      </c>
      <c r="N1813">
        <v>200</v>
      </c>
      <c r="O1813" t="s">
        <v>457</v>
      </c>
      <c r="P1813">
        <v>75</v>
      </c>
      <c r="Q1813">
        <f>QtyRemaining*EstMfgMin/60</f>
        <v>250</v>
      </c>
      <c r="U1813" t="e">
        <f t="shared" si="58"/>
        <v>#REF!</v>
      </c>
      <c r="V1813" s="5" t="e">
        <f t="shared" si="59"/>
        <v>#REF!</v>
      </c>
    </row>
    <row r="1814" spans="1:22" x14ac:dyDescent="0.25">
      <c r="A1814" s="2">
        <v>46365</v>
      </c>
      <c r="B1814" s="2">
        <v>45588</v>
      </c>
      <c r="C1814" t="s">
        <v>478</v>
      </c>
      <c r="D1814">
        <v>50</v>
      </c>
      <c r="E1814" t="s">
        <v>2960</v>
      </c>
      <c r="F1814" t="s">
        <v>261</v>
      </c>
      <c r="G1814" t="s">
        <v>2023</v>
      </c>
      <c r="H1814" t="s">
        <v>2024</v>
      </c>
      <c r="I1814" t="s">
        <v>155</v>
      </c>
      <c r="J1814" s="3" t="s">
        <v>2961</v>
      </c>
      <c r="K1814" t="s">
        <v>2962</v>
      </c>
      <c r="L1814" s="4">
        <v>200</v>
      </c>
      <c r="M1814" s="4">
        <v>0</v>
      </c>
      <c r="N1814">
        <v>200</v>
      </c>
      <c r="O1814" t="s">
        <v>457</v>
      </c>
      <c r="P1814">
        <v>75</v>
      </c>
      <c r="Q1814">
        <f>QtyRemaining*EstMfgMin/60</f>
        <v>250</v>
      </c>
      <c r="U1814" t="e">
        <f t="shared" si="58"/>
        <v>#REF!</v>
      </c>
      <c r="V1814" s="5" t="e">
        <f t="shared" si="59"/>
        <v>#REF!</v>
      </c>
    </row>
    <row r="1815" spans="1:22" x14ac:dyDescent="0.25">
      <c r="A1815" s="2">
        <v>46365</v>
      </c>
      <c r="B1815" s="2">
        <v>45588</v>
      </c>
      <c r="C1815" t="s">
        <v>478</v>
      </c>
      <c r="D1815">
        <v>50</v>
      </c>
      <c r="E1815" t="s">
        <v>2960</v>
      </c>
      <c r="F1815" t="s">
        <v>261</v>
      </c>
      <c r="G1815" t="s">
        <v>2023</v>
      </c>
      <c r="H1815" t="s">
        <v>2024</v>
      </c>
      <c r="I1815" t="s">
        <v>155</v>
      </c>
      <c r="J1815" s="3" t="s">
        <v>2961</v>
      </c>
      <c r="K1815" t="s">
        <v>2962</v>
      </c>
      <c r="L1815" s="4">
        <v>200</v>
      </c>
      <c r="M1815" s="4">
        <v>0</v>
      </c>
      <c r="N1815">
        <v>200</v>
      </c>
      <c r="O1815" t="s">
        <v>457</v>
      </c>
      <c r="P1815">
        <v>75</v>
      </c>
      <c r="Q1815">
        <f>QtyRemaining*EstMfgMin/60</f>
        <v>250</v>
      </c>
      <c r="U1815" t="e">
        <f t="shared" si="58"/>
        <v>#REF!</v>
      </c>
      <c r="V1815" s="5" t="e">
        <f t="shared" si="59"/>
        <v>#REF!</v>
      </c>
    </row>
    <row r="1816" spans="1:22" x14ac:dyDescent="0.25">
      <c r="A1816" s="2">
        <v>46365</v>
      </c>
      <c r="B1816" s="2">
        <v>45588</v>
      </c>
      <c r="C1816" t="s">
        <v>478</v>
      </c>
      <c r="D1816">
        <v>50</v>
      </c>
      <c r="E1816" t="s">
        <v>2960</v>
      </c>
      <c r="F1816" t="s">
        <v>261</v>
      </c>
      <c r="G1816" t="s">
        <v>2023</v>
      </c>
      <c r="H1816" t="s">
        <v>2024</v>
      </c>
      <c r="I1816" t="s">
        <v>155</v>
      </c>
      <c r="J1816" s="3" t="s">
        <v>2961</v>
      </c>
      <c r="K1816" t="s">
        <v>2962</v>
      </c>
      <c r="L1816" s="4">
        <v>369</v>
      </c>
      <c r="M1816" s="4">
        <v>0</v>
      </c>
      <c r="N1816">
        <v>369</v>
      </c>
      <c r="O1816" t="s">
        <v>457</v>
      </c>
      <c r="P1816">
        <v>75</v>
      </c>
      <c r="Q1816">
        <f>QtyRemaining*EstMfgMin/60</f>
        <v>461.25</v>
      </c>
      <c r="U1816" t="e">
        <f t="shared" si="58"/>
        <v>#REF!</v>
      </c>
      <c r="V1816" s="5" t="e">
        <f t="shared" si="59"/>
        <v>#REF!</v>
      </c>
    </row>
    <row r="1817" spans="1:22" x14ac:dyDescent="0.25">
      <c r="A1817" s="2">
        <v>46365</v>
      </c>
      <c r="B1817" s="2">
        <v>45741</v>
      </c>
      <c r="C1817" t="s">
        <v>550</v>
      </c>
      <c r="D1817">
        <v>50</v>
      </c>
      <c r="E1817" t="s">
        <v>551</v>
      </c>
      <c r="F1817" t="s">
        <v>261</v>
      </c>
      <c r="G1817" t="s">
        <v>552</v>
      </c>
      <c r="H1817" t="s">
        <v>553</v>
      </c>
      <c r="I1817" t="s">
        <v>45</v>
      </c>
      <c r="J1817" s="3" t="s">
        <v>554</v>
      </c>
      <c r="K1817" t="s">
        <v>555</v>
      </c>
      <c r="L1817" s="4">
        <v>3</v>
      </c>
      <c r="M1817" s="4">
        <v>0</v>
      </c>
      <c r="N1817">
        <v>3</v>
      </c>
      <c r="P1817">
        <v>0</v>
      </c>
      <c r="Q1817">
        <f>QtyRemaining*EstMfgMin/60</f>
        <v>0</v>
      </c>
      <c r="U1817" t="e">
        <f t="shared" si="58"/>
        <v>#REF!</v>
      </c>
      <c r="V1817" s="5" t="e">
        <f t="shared" si="59"/>
        <v>#REF!</v>
      </c>
    </row>
    <row r="1818" spans="1:22" x14ac:dyDescent="0.25">
      <c r="A1818" s="2">
        <v>46366</v>
      </c>
      <c r="B1818" s="2">
        <v>45632</v>
      </c>
      <c r="C1818" t="s">
        <v>478</v>
      </c>
      <c r="D1818">
        <v>50</v>
      </c>
      <c r="E1818" t="s">
        <v>1137</v>
      </c>
      <c r="F1818" t="s">
        <v>261</v>
      </c>
      <c r="G1818" t="s">
        <v>510</v>
      </c>
      <c r="H1818" t="s">
        <v>1138</v>
      </c>
      <c r="I1818" t="s">
        <v>122</v>
      </c>
      <c r="J1818" s="3" t="s">
        <v>512</v>
      </c>
      <c r="K1818" t="s">
        <v>513</v>
      </c>
      <c r="L1818" s="4">
        <v>4</v>
      </c>
      <c r="M1818" s="4">
        <v>0</v>
      </c>
      <c r="N1818">
        <v>4</v>
      </c>
      <c r="O1818" t="s">
        <v>1139</v>
      </c>
      <c r="P1818">
        <v>1394</v>
      </c>
      <c r="Q1818">
        <f>QtyRemaining*EstMfgMin/60</f>
        <v>92.933333333333337</v>
      </c>
      <c r="U1818" t="e">
        <f t="shared" si="58"/>
        <v>#REF!</v>
      </c>
      <c r="V1818" s="5" t="e">
        <f t="shared" si="59"/>
        <v>#REF!</v>
      </c>
    </row>
    <row r="1819" spans="1:22" x14ac:dyDescent="0.25">
      <c r="A1819" s="2">
        <v>46372</v>
      </c>
      <c r="B1819" s="2">
        <v>45840</v>
      </c>
      <c r="C1819" t="s">
        <v>523</v>
      </c>
      <c r="D1819">
        <v>51</v>
      </c>
      <c r="E1819" t="s">
        <v>1241</v>
      </c>
      <c r="F1819" t="s">
        <v>261</v>
      </c>
      <c r="G1819" t="s">
        <v>1242</v>
      </c>
      <c r="H1819" t="s">
        <v>1243</v>
      </c>
      <c r="I1819" t="s">
        <v>83</v>
      </c>
      <c r="J1819" s="3" t="s">
        <v>1244</v>
      </c>
      <c r="K1819" t="s">
        <v>1245</v>
      </c>
      <c r="L1819" s="4">
        <v>10</v>
      </c>
      <c r="M1819" s="4">
        <v>0</v>
      </c>
      <c r="N1819">
        <v>10</v>
      </c>
      <c r="O1819" t="s">
        <v>118</v>
      </c>
      <c r="P1819">
        <v>1050</v>
      </c>
      <c r="Q1819">
        <f>QtyRemaining*EstMfgMin/60</f>
        <v>175</v>
      </c>
      <c r="U1819" t="e">
        <f t="shared" si="58"/>
        <v>#REF!</v>
      </c>
      <c r="V1819" s="5" t="e">
        <f t="shared" si="59"/>
        <v>#REF!</v>
      </c>
    </row>
    <row r="1820" spans="1:22" x14ac:dyDescent="0.25">
      <c r="A1820" s="2">
        <v>46373</v>
      </c>
      <c r="B1820" s="2">
        <v>45636</v>
      </c>
      <c r="C1820" t="s">
        <v>570</v>
      </c>
      <c r="D1820">
        <v>51</v>
      </c>
      <c r="E1820" t="s">
        <v>597</v>
      </c>
      <c r="F1820" t="s">
        <v>261</v>
      </c>
      <c r="G1820" t="s">
        <v>510</v>
      </c>
      <c r="H1820" t="s">
        <v>598</v>
      </c>
      <c r="I1820" t="s">
        <v>83</v>
      </c>
      <c r="J1820" s="3" t="s">
        <v>3520</v>
      </c>
      <c r="K1820" t="s">
        <v>3521</v>
      </c>
      <c r="L1820" s="4">
        <v>1</v>
      </c>
      <c r="M1820" s="4">
        <v>0</v>
      </c>
      <c r="N1820">
        <v>1</v>
      </c>
      <c r="O1820" t="s">
        <v>86</v>
      </c>
      <c r="P1820">
        <v>14</v>
      </c>
      <c r="Q1820">
        <f>QtyRemaining*EstMfgMin/60</f>
        <v>0.23333333333333334</v>
      </c>
      <c r="U1820" t="e">
        <f t="shared" si="58"/>
        <v>#REF!</v>
      </c>
      <c r="V1820" s="5" t="e">
        <f t="shared" si="59"/>
        <v>#REF!</v>
      </c>
    </row>
    <row r="1821" spans="1:22" x14ac:dyDescent="0.25">
      <c r="A1821" s="2">
        <v>46373</v>
      </c>
      <c r="B1821" s="2">
        <v>45636</v>
      </c>
      <c r="C1821" t="s">
        <v>570</v>
      </c>
      <c r="D1821">
        <v>51</v>
      </c>
      <c r="E1821" t="s">
        <v>597</v>
      </c>
      <c r="F1821" t="s">
        <v>261</v>
      </c>
      <c r="G1821" t="s">
        <v>510</v>
      </c>
      <c r="H1821" t="s">
        <v>598</v>
      </c>
      <c r="I1821" t="s">
        <v>83</v>
      </c>
      <c r="J1821" s="3" t="s">
        <v>3522</v>
      </c>
      <c r="K1821" t="s">
        <v>3521</v>
      </c>
      <c r="L1821" s="4">
        <v>1</v>
      </c>
      <c r="M1821" s="4">
        <v>0</v>
      </c>
      <c r="N1821">
        <v>1</v>
      </c>
      <c r="O1821" t="s">
        <v>86</v>
      </c>
      <c r="P1821">
        <v>14</v>
      </c>
      <c r="Q1821">
        <f>QtyRemaining*EstMfgMin/60</f>
        <v>0.23333333333333334</v>
      </c>
      <c r="U1821" t="e">
        <f t="shared" si="58"/>
        <v>#REF!</v>
      </c>
      <c r="V1821" s="5" t="e">
        <f t="shared" si="59"/>
        <v>#REF!</v>
      </c>
    </row>
    <row r="1822" spans="1:22" x14ac:dyDescent="0.25">
      <c r="A1822" s="2">
        <v>46373</v>
      </c>
      <c r="B1822" s="2">
        <v>45636</v>
      </c>
      <c r="C1822" t="s">
        <v>570</v>
      </c>
      <c r="D1822">
        <v>51</v>
      </c>
      <c r="E1822" t="s">
        <v>597</v>
      </c>
      <c r="F1822" t="s">
        <v>261</v>
      </c>
      <c r="G1822" t="s">
        <v>510</v>
      </c>
      <c r="H1822" t="s">
        <v>598</v>
      </c>
      <c r="I1822" t="s">
        <v>83</v>
      </c>
      <c r="J1822" s="3" t="s">
        <v>3523</v>
      </c>
      <c r="K1822" t="s">
        <v>3524</v>
      </c>
      <c r="L1822" s="4">
        <v>1</v>
      </c>
      <c r="M1822" s="4">
        <v>0</v>
      </c>
      <c r="N1822">
        <v>1</v>
      </c>
      <c r="O1822" t="s">
        <v>146</v>
      </c>
      <c r="P1822">
        <v>28</v>
      </c>
      <c r="Q1822">
        <f>QtyRemaining*EstMfgMin/60</f>
        <v>0.46666666666666667</v>
      </c>
      <c r="U1822" t="e">
        <f t="shared" si="58"/>
        <v>#REF!</v>
      </c>
      <c r="V1822" s="5" t="e">
        <f t="shared" si="59"/>
        <v>#REF!</v>
      </c>
    </row>
    <row r="1823" spans="1:22" x14ac:dyDescent="0.25">
      <c r="A1823" s="2">
        <v>46373</v>
      </c>
      <c r="B1823" s="2">
        <v>45636</v>
      </c>
      <c r="C1823" t="s">
        <v>570</v>
      </c>
      <c r="D1823">
        <v>51</v>
      </c>
      <c r="E1823" t="s">
        <v>597</v>
      </c>
      <c r="F1823" t="s">
        <v>261</v>
      </c>
      <c r="G1823" t="s">
        <v>510</v>
      </c>
      <c r="H1823" t="s">
        <v>598</v>
      </c>
      <c r="I1823" t="s">
        <v>83</v>
      </c>
      <c r="J1823" s="3" t="s">
        <v>3525</v>
      </c>
      <c r="K1823" t="s">
        <v>3526</v>
      </c>
      <c r="L1823" s="4">
        <v>1</v>
      </c>
      <c r="M1823" s="4">
        <v>0</v>
      </c>
      <c r="N1823">
        <v>1</v>
      </c>
      <c r="O1823" t="s">
        <v>146</v>
      </c>
      <c r="P1823">
        <v>5</v>
      </c>
      <c r="Q1823">
        <f>QtyRemaining*EstMfgMin/60</f>
        <v>8.3333333333333329E-2</v>
      </c>
      <c r="U1823" t="e">
        <f t="shared" si="58"/>
        <v>#REF!</v>
      </c>
      <c r="V1823" s="5" t="e">
        <f t="shared" si="59"/>
        <v>#REF!</v>
      </c>
    </row>
    <row r="1824" spans="1:22" x14ac:dyDescent="0.25">
      <c r="A1824" s="2">
        <v>46373</v>
      </c>
      <c r="B1824" s="2">
        <v>45636</v>
      </c>
      <c r="C1824" t="s">
        <v>570</v>
      </c>
      <c r="D1824">
        <v>51</v>
      </c>
      <c r="E1824" t="s">
        <v>597</v>
      </c>
      <c r="F1824" t="s">
        <v>261</v>
      </c>
      <c r="G1824" t="s">
        <v>510</v>
      </c>
      <c r="H1824" t="s">
        <v>598</v>
      </c>
      <c r="I1824" t="s">
        <v>83</v>
      </c>
      <c r="J1824" s="3" t="s">
        <v>3527</v>
      </c>
      <c r="K1824" t="s">
        <v>3526</v>
      </c>
      <c r="L1824" s="4">
        <v>1</v>
      </c>
      <c r="M1824" s="4">
        <v>0</v>
      </c>
      <c r="N1824">
        <v>1</v>
      </c>
      <c r="O1824" t="s">
        <v>146</v>
      </c>
      <c r="P1824">
        <v>5</v>
      </c>
      <c r="Q1824">
        <f>QtyRemaining*EstMfgMin/60</f>
        <v>8.3333333333333329E-2</v>
      </c>
      <c r="U1824" t="e">
        <f t="shared" si="58"/>
        <v>#REF!</v>
      </c>
      <c r="V1824" s="5" t="e">
        <f t="shared" si="59"/>
        <v>#REF!</v>
      </c>
    </row>
    <row r="1825" spans="1:22" x14ac:dyDescent="0.25">
      <c r="A1825" s="2">
        <v>46373</v>
      </c>
      <c r="B1825" s="2">
        <v>45636</v>
      </c>
      <c r="C1825" t="s">
        <v>570</v>
      </c>
      <c r="D1825">
        <v>51</v>
      </c>
      <c r="E1825" t="s">
        <v>597</v>
      </c>
      <c r="F1825" t="s">
        <v>261</v>
      </c>
      <c r="G1825" t="s">
        <v>510</v>
      </c>
      <c r="H1825" t="s">
        <v>598</v>
      </c>
      <c r="I1825" t="s">
        <v>83</v>
      </c>
      <c r="J1825" s="3" t="s">
        <v>3528</v>
      </c>
      <c r="K1825" t="s">
        <v>3526</v>
      </c>
      <c r="L1825" s="4">
        <v>1</v>
      </c>
      <c r="M1825" s="4">
        <v>0</v>
      </c>
      <c r="N1825">
        <v>1</v>
      </c>
      <c r="O1825" t="s">
        <v>146</v>
      </c>
      <c r="P1825">
        <v>5</v>
      </c>
      <c r="Q1825">
        <f>QtyRemaining*EstMfgMin/60</f>
        <v>8.3333333333333329E-2</v>
      </c>
      <c r="U1825" t="e">
        <f t="shared" si="58"/>
        <v>#REF!</v>
      </c>
      <c r="V1825" s="5" t="e">
        <f t="shared" si="59"/>
        <v>#REF!</v>
      </c>
    </row>
    <row r="1826" spans="1:22" x14ac:dyDescent="0.25">
      <c r="A1826" s="2">
        <v>46373</v>
      </c>
      <c r="B1826" s="2">
        <v>45636</v>
      </c>
      <c r="C1826" t="s">
        <v>570</v>
      </c>
      <c r="D1826">
        <v>51</v>
      </c>
      <c r="E1826" t="s">
        <v>597</v>
      </c>
      <c r="F1826" t="s">
        <v>261</v>
      </c>
      <c r="G1826" t="s">
        <v>510</v>
      </c>
      <c r="H1826" t="s">
        <v>598</v>
      </c>
      <c r="I1826" t="s">
        <v>83</v>
      </c>
      <c r="J1826" s="3" t="s">
        <v>3529</v>
      </c>
      <c r="K1826" t="s">
        <v>3526</v>
      </c>
      <c r="L1826" s="4">
        <v>1</v>
      </c>
      <c r="M1826" s="4">
        <v>0</v>
      </c>
      <c r="N1826">
        <v>1</v>
      </c>
      <c r="O1826" t="s">
        <v>146</v>
      </c>
      <c r="P1826">
        <v>5</v>
      </c>
      <c r="Q1826">
        <f>QtyRemaining*EstMfgMin/60</f>
        <v>8.3333333333333329E-2</v>
      </c>
      <c r="U1826" t="e">
        <f t="shared" si="58"/>
        <v>#REF!</v>
      </c>
      <c r="V1826" s="5" t="e">
        <f t="shared" si="59"/>
        <v>#REF!</v>
      </c>
    </row>
    <row r="1827" spans="1:22" x14ac:dyDescent="0.25">
      <c r="A1827" s="2">
        <v>46373</v>
      </c>
      <c r="B1827" s="2">
        <v>45636</v>
      </c>
      <c r="C1827" t="s">
        <v>570</v>
      </c>
      <c r="D1827">
        <v>51</v>
      </c>
      <c r="E1827" t="s">
        <v>597</v>
      </c>
      <c r="F1827" t="s">
        <v>261</v>
      </c>
      <c r="G1827" t="s">
        <v>510</v>
      </c>
      <c r="H1827" t="s">
        <v>598</v>
      </c>
      <c r="I1827" t="s">
        <v>83</v>
      </c>
      <c r="J1827" s="3" t="s">
        <v>3530</v>
      </c>
      <c r="K1827" t="s">
        <v>3526</v>
      </c>
      <c r="L1827" s="4">
        <v>1</v>
      </c>
      <c r="M1827" s="4">
        <v>0</v>
      </c>
      <c r="N1827">
        <v>1</v>
      </c>
      <c r="O1827" t="s">
        <v>146</v>
      </c>
      <c r="P1827">
        <v>5</v>
      </c>
      <c r="Q1827">
        <f>QtyRemaining*EstMfgMin/60</f>
        <v>8.3333333333333329E-2</v>
      </c>
      <c r="U1827" t="e">
        <f t="shared" si="58"/>
        <v>#REF!</v>
      </c>
      <c r="V1827" s="5" t="e">
        <f t="shared" si="59"/>
        <v>#REF!</v>
      </c>
    </row>
    <row r="1828" spans="1:22" x14ac:dyDescent="0.25">
      <c r="A1828" s="2">
        <v>46373</v>
      </c>
      <c r="B1828" s="2">
        <v>45636</v>
      </c>
      <c r="C1828" t="s">
        <v>570</v>
      </c>
      <c r="D1828">
        <v>51</v>
      </c>
      <c r="E1828" t="s">
        <v>597</v>
      </c>
      <c r="F1828" t="s">
        <v>261</v>
      </c>
      <c r="G1828" t="s">
        <v>510</v>
      </c>
      <c r="H1828" t="s">
        <v>598</v>
      </c>
      <c r="I1828" t="s">
        <v>83</v>
      </c>
      <c r="J1828" s="3" t="s">
        <v>3531</v>
      </c>
      <c r="K1828" t="s">
        <v>3532</v>
      </c>
      <c r="L1828" s="4">
        <v>1</v>
      </c>
      <c r="M1828" s="4">
        <v>0</v>
      </c>
      <c r="N1828">
        <v>1</v>
      </c>
      <c r="O1828" t="s">
        <v>146</v>
      </c>
      <c r="P1828">
        <v>5</v>
      </c>
      <c r="Q1828">
        <f>QtyRemaining*EstMfgMin/60</f>
        <v>8.3333333333333329E-2</v>
      </c>
      <c r="U1828" t="e">
        <f t="shared" si="58"/>
        <v>#REF!</v>
      </c>
      <c r="V1828" s="5" t="e">
        <f t="shared" si="59"/>
        <v>#REF!</v>
      </c>
    </row>
    <row r="1829" spans="1:22" x14ac:dyDescent="0.25">
      <c r="A1829" s="2">
        <v>46373</v>
      </c>
      <c r="B1829" s="2">
        <v>45636</v>
      </c>
      <c r="C1829" t="s">
        <v>570</v>
      </c>
      <c r="D1829">
        <v>51</v>
      </c>
      <c r="E1829" t="s">
        <v>597</v>
      </c>
      <c r="F1829" t="s">
        <v>261</v>
      </c>
      <c r="G1829" t="s">
        <v>510</v>
      </c>
      <c r="H1829" t="s">
        <v>598</v>
      </c>
      <c r="I1829" t="s">
        <v>83</v>
      </c>
      <c r="J1829" s="3" t="s">
        <v>3533</v>
      </c>
      <c r="K1829" t="s">
        <v>3532</v>
      </c>
      <c r="L1829" s="4">
        <v>1</v>
      </c>
      <c r="M1829" s="4">
        <v>0</v>
      </c>
      <c r="N1829">
        <v>1</v>
      </c>
      <c r="O1829" t="s">
        <v>146</v>
      </c>
      <c r="P1829">
        <v>5</v>
      </c>
      <c r="Q1829">
        <f>QtyRemaining*EstMfgMin/60</f>
        <v>8.3333333333333329E-2</v>
      </c>
      <c r="U1829" t="e">
        <f t="shared" si="58"/>
        <v>#REF!</v>
      </c>
      <c r="V1829" s="5" t="e">
        <f t="shared" si="59"/>
        <v>#REF!</v>
      </c>
    </row>
    <row r="1830" spans="1:22" x14ac:dyDescent="0.25">
      <c r="A1830" s="2">
        <v>46373</v>
      </c>
      <c r="B1830" s="2">
        <v>45636</v>
      </c>
      <c r="C1830" t="s">
        <v>570</v>
      </c>
      <c r="D1830">
        <v>51</v>
      </c>
      <c r="E1830" t="s">
        <v>597</v>
      </c>
      <c r="F1830" t="s">
        <v>261</v>
      </c>
      <c r="G1830" t="s">
        <v>510</v>
      </c>
      <c r="H1830" t="s">
        <v>598</v>
      </c>
      <c r="I1830" t="s">
        <v>83</v>
      </c>
      <c r="J1830" s="3" t="s">
        <v>3534</v>
      </c>
      <c r="K1830" t="s">
        <v>612</v>
      </c>
      <c r="L1830" s="4">
        <v>1</v>
      </c>
      <c r="M1830" s="4">
        <v>0</v>
      </c>
      <c r="N1830">
        <v>1</v>
      </c>
      <c r="O1830" t="s">
        <v>146</v>
      </c>
      <c r="P1830">
        <v>14</v>
      </c>
      <c r="Q1830">
        <f>QtyRemaining*EstMfgMin/60</f>
        <v>0.23333333333333334</v>
      </c>
      <c r="U1830" t="e">
        <f t="shared" si="58"/>
        <v>#REF!</v>
      </c>
      <c r="V1830" s="5" t="e">
        <f t="shared" si="59"/>
        <v>#REF!</v>
      </c>
    </row>
    <row r="1831" spans="1:22" x14ac:dyDescent="0.25">
      <c r="A1831" s="2">
        <v>46373</v>
      </c>
      <c r="B1831" s="2">
        <v>45636</v>
      </c>
      <c r="C1831" t="s">
        <v>570</v>
      </c>
      <c r="D1831">
        <v>51</v>
      </c>
      <c r="E1831" t="s">
        <v>597</v>
      </c>
      <c r="F1831" t="s">
        <v>261</v>
      </c>
      <c r="G1831" t="s">
        <v>510</v>
      </c>
      <c r="H1831" t="s">
        <v>598</v>
      </c>
      <c r="I1831" t="s">
        <v>83</v>
      </c>
      <c r="J1831" s="3" t="s">
        <v>3535</v>
      </c>
      <c r="K1831" t="s">
        <v>612</v>
      </c>
      <c r="L1831" s="4">
        <v>1</v>
      </c>
      <c r="M1831" s="4">
        <v>0</v>
      </c>
      <c r="N1831">
        <v>1</v>
      </c>
      <c r="O1831" t="s">
        <v>146</v>
      </c>
      <c r="P1831">
        <v>14</v>
      </c>
      <c r="Q1831">
        <f>QtyRemaining*EstMfgMin/60</f>
        <v>0.23333333333333334</v>
      </c>
      <c r="U1831" t="e">
        <f t="shared" si="58"/>
        <v>#REF!</v>
      </c>
      <c r="V1831" s="5" t="e">
        <f t="shared" si="59"/>
        <v>#REF!</v>
      </c>
    </row>
    <row r="1832" spans="1:22" x14ac:dyDescent="0.25">
      <c r="A1832" s="2">
        <v>46373</v>
      </c>
      <c r="B1832" s="2">
        <v>45636</v>
      </c>
      <c r="C1832" t="s">
        <v>570</v>
      </c>
      <c r="D1832">
        <v>51</v>
      </c>
      <c r="E1832" t="s">
        <v>597</v>
      </c>
      <c r="F1832" t="s">
        <v>261</v>
      </c>
      <c r="G1832" t="s">
        <v>510</v>
      </c>
      <c r="H1832" t="s">
        <v>598</v>
      </c>
      <c r="I1832" t="s">
        <v>83</v>
      </c>
      <c r="J1832" s="3" t="s">
        <v>3536</v>
      </c>
      <c r="K1832" t="s">
        <v>612</v>
      </c>
      <c r="L1832" s="4">
        <v>1</v>
      </c>
      <c r="M1832" s="4">
        <v>0</v>
      </c>
      <c r="N1832">
        <v>1</v>
      </c>
      <c r="O1832" t="s">
        <v>146</v>
      </c>
      <c r="P1832">
        <v>14</v>
      </c>
      <c r="Q1832">
        <f>QtyRemaining*EstMfgMin/60</f>
        <v>0.23333333333333334</v>
      </c>
      <c r="U1832" t="e">
        <f t="shared" si="58"/>
        <v>#REF!</v>
      </c>
      <c r="V1832" s="5" t="e">
        <f t="shared" si="59"/>
        <v>#REF!</v>
      </c>
    </row>
    <row r="1833" spans="1:22" x14ac:dyDescent="0.25">
      <c r="A1833" s="2">
        <v>46373</v>
      </c>
      <c r="B1833" s="2">
        <v>45636</v>
      </c>
      <c r="C1833" t="s">
        <v>570</v>
      </c>
      <c r="D1833">
        <v>51</v>
      </c>
      <c r="E1833" t="s">
        <v>597</v>
      </c>
      <c r="F1833" t="s">
        <v>261</v>
      </c>
      <c r="G1833" t="s">
        <v>510</v>
      </c>
      <c r="H1833" t="s">
        <v>598</v>
      </c>
      <c r="I1833" t="s">
        <v>83</v>
      </c>
      <c r="J1833" s="3" t="s">
        <v>3537</v>
      </c>
      <c r="K1833" t="s">
        <v>3538</v>
      </c>
      <c r="L1833" s="4">
        <v>1</v>
      </c>
      <c r="M1833" s="4">
        <v>0</v>
      </c>
      <c r="N1833">
        <v>1</v>
      </c>
      <c r="O1833" t="s">
        <v>146</v>
      </c>
      <c r="P1833">
        <v>14</v>
      </c>
      <c r="Q1833">
        <f>QtyRemaining*EstMfgMin/60</f>
        <v>0.23333333333333334</v>
      </c>
      <c r="U1833" t="e">
        <f t="shared" si="58"/>
        <v>#REF!</v>
      </c>
      <c r="V1833" s="5" t="e">
        <f t="shared" si="59"/>
        <v>#REF!</v>
      </c>
    </row>
    <row r="1834" spans="1:22" x14ac:dyDescent="0.25">
      <c r="A1834" s="2">
        <v>46373</v>
      </c>
      <c r="B1834" s="2">
        <v>45636</v>
      </c>
      <c r="C1834" t="s">
        <v>570</v>
      </c>
      <c r="D1834">
        <v>51</v>
      </c>
      <c r="E1834" t="s">
        <v>597</v>
      </c>
      <c r="F1834" t="s">
        <v>261</v>
      </c>
      <c r="G1834" t="s">
        <v>510</v>
      </c>
      <c r="H1834" t="s">
        <v>598</v>
      </c>
      <c r="I1834" t="s">
        <v>83</v>
      </c>
      <c r="J1834" s="3" t="s">
        <v>3539</v>
      </c>
      <c r="K1834" t="s">
        <v>612</v>
      </c>
      <c r="L1834" s="4">
        <v>1</v>
      </c>
      <c r="M1834" s="4">
        <v>0</v>
      </c>
      <c r="N1834">
        <v>1</v>
      </c>
      <c r="O1834" t="s">
        <v>146</v>
      </c>
      <c r="P1834">
        <v>14</v>
      </c>
      <c r="Q1834">
        <f>QtyRemaining*EstMfgMin/60</f>
        <v>0.23333333333333334</v>
      </c>
      <c r="U1834" t="e">
        <f t="shared" si="58"/>
        <v>#REF!</v>
      </c>
      <c r="V1834" s="5" t="e">
        <f t="shared" si="59"/>
        <v>#REF!</v>
      </c>
    </row>
    <row r="1835" spans="1:22" x14ac:dyDescent="0.25">
      <c r="A1835" s="2">
        <v>46373</v>
      </c>
      <c r="B1835" s="2">
        <v>45636</v>
      </c>
      <c r="C1835" t="s">
        <v>570</v>
      </c>
      <c r="D1835">
        <v>51</v>
      </c>
      <c r="E1835" t="s">
        <v>597</v>
      </c>
      <c r="F1835" t="s">
        <v>261</v>
      </c>
      <c r="G1835" t="s">
        <v>510</v>
      </c>
      <c r="H1835" t="s">
        <v>598</v>
      </c>
      <c r="I1835" t="s">
        <v>83</v>
      </c>
      <c r="J1835" s="3" t="s">
        <v>3540</v>
      </c>
      <c r="K1835" t="s">
        <v>600</v>
      </c>
      <c r="L1835" s="4">
        <v>1</v>
      </c>
      <c r="M1835" s="4">
        <v>0</v>
      </c>
      <c r="N1835">
        <v>1</v>
      </c>
      <c r="O1835" t="s">
        <v>146</v>
      </c>
      <c r="P1835">
        <v>15</v>
      </c>
      <c r="Q1835">
        <f>QtyRemaining*EstMfgMin/60</f>
        <v>0.25</v>
      </c>
      <c r="U1835" t="e">
        <f t="shared" si="58"/>
        <v>#REF!</v>
      </c>
      <c r="V1835" s="5" t="e">
        <f t="shared" si="59"/>
        <v>#REF!</v>
      </c>
    </row>
    <row r="1836" spans="1:22" x14ac:dyDescent="0.25">
      <c r="A1836" s="2">
        <v>46373</v>
      </c>
      <c r="B1836" s="2">
        <v>45636</v>
      </c>
      <c r="C1836" t="s">
        <v>570</v>
      </c>
      <c r="D1836">
        <v>51</v>
      </c>
      <c r="E1836" t="s">
        <v>597</v>
      </c>
      <c r="F1836" t="s">
        <v>261</v>
      </c>
      <c r="G1836" t="s">
        <v>510</v>
      </c>
      <c r="H1836" t="s">
        <v>598</v>
      </c>
      <c r="I1836" t="s">
        <v>83</v>
      </c>
      <c r="J1836" s="3" t="s">
        <v>3541</v>
      </c>
      <c r="K1836" t="s">
        <v>600</v>
      </c>
      <c r="L1836" s="4">
        <v>1</v>
      </c>
      <c r="M1836" s="4">
        <v>0</v>
      </c>
      <c r="N1836">
        <v>1</v>
      </c>
      <c r="O1836" t="s">
        <v>146</v>
      </c>
      <c r="P1836">
        <v>15</v>
      </c>
      <c r="Q1836">
        <f>QtyRemaining*EstMfgMin/60</f>
        <v>0.25</v>
      </c>
      <c r="U1836" t="e">
        <f t="shared" si="58"/>
        <v>#REF!</v>
      </c>
      <c r="V1836" s="5" t="e">
        <f t="shared" si="59"/>
        <v>#REF!</v>
      </c>
    </row>
    <row r="1837" spans="1:22" x14ac:dyDescent="0.25">
      <c r="A1837" s="2">
        <v>46373</v>
      </c>
      <c r="B1837" s="2">
        <v>45636</v>
      </c>
      <c r="C1837" t="s">
        <v>570</v>
      </c>
      <c r="D1837">
        <v>51</v>
      </c>
      <c r="E1837" t="s">
        <v>597</v>
      </c>
      <c r="F1837" t="s">
        <v>261</v>
      </c>
      <c r="G1837" t="s">
        <v>510</v>
      </c>
      <c r="H1837" t="s">
        <v>598</v>
      </c>
      <c r="I1837" t="s">
        <v>83</v>
      </c>
      <c r="J1837" s="3" t="s">
        <v>3542</v>
      </c>
      <c r="K1837" t="s">
        <v>3526</v>
      </c>
      <c r="L1837" s="4">
        <v>1</v>
      </c>
      <c r="M1837" s="4">
        <v>0</v>
      </c>
      <c r="N1837">
        <v>1</v>
      </c>
      <c r="O1837" t="s">
        <v>146</v>
      </c>
      <c r="P1837">
        <v>5</v>
      </c>
      <c r="Q1837">
        <f>QtyRemaining*EstMfgMin/60</f>
        <v>8.3333333333333329E-2</v>
      </c>
      <c r="U1837" t="e">
        <f t="shared" si="58"/>
        <v>#REF!</v>
      </c>
      <c r="V1837" s="5" t="e">
        <f t="shared" si="59"/>
        <v>#REF!</v>
      </c>
    </row>
    <row r="1838" spans="1:22" x14ac:dyDescent="0.25">
      <c r="A1838" s="2">
        <v>46373</v>
      </c>
      <c r="B1838" s="2">
        <v>45636</v>
      </c>
      <c r="C1838" t="s">
        <v>570</v>
      </c>
      <c r="D1838">
        <v>51</v>
      </c>
      <c r="E1838" t="s">
        <v>597</v>
      </c>
      <c r="F1838" t="s">
        <v>261</v>
      </c>
      <c r="G1838" t="s">
        <v>510</v>
      </c>
      <c r="H1838" t="s">
        <v>598</v>
      </c>
      <c r="I1838" t="s">
        <v>83</v>
      </c>
      <c r="J1838" s="3" t="s">
        <v>3543</v>
      </c>
      <c r="K1838" t="s">
        <v>612</v>
      </c>
      <c r="L1838" s="4">
        <v>1</v>
      </c>
      <c r="M1838" s="4">
        <v>0</v>
      </c>
      <c r="N1838">
        <v>1</v>
      </c>
      <c r="O1838" t="s">
        <v>146</v>
      </c>
      <c r="P1838">
        <v>14</v>
      </c>
      <c r="Q1838">
        <f>QtyRemaining*EstMfgMin/60</f>
        <v>0.23333333333333334</v>
      </c>
      <c r="U1838" t="e">
        <f t="shared" si="58"/>
        <v>#REF!</v>
      </c>
      <c r="V1838" s="5" t="e">
        <f t="shared" si="59"/>
        <v>#REF!</v>
      </c>
    </row>
    <row r="1839" spans="1:22" x14ac:dyDescent="0.25">
      <c r="A1839" s="2">
        <v>46373</v>
      </c>
      <c r="B1839" s="2">
        <v>45636</v>
      </c>
      <c r="C1839" t="s">
        <v>570</v>
      </c>
      <c r="D1839">
        <v>51</v>
      </c>
      <c r="E1839" t="s">
        <v>597</v>
      </c>
      <c r="F1839" t="s">
        <v>261</v>
      </c>
      <c r="G1839" t="s">
        <v>510</v>
      </c>
      <c r="H1839" t="s">
        <v>598</v>
      </c>
      <c r="I1839" t="s">
        <v>83</v>
      </c>
      <c r="J1839" s="3" t="s">
        <v>3544</v>
      </c>
      <c r="K1839" t="s">
        <v>600</v>
      </c>
      <c r="L1839" s="4">
        <v>1</v>
      </c>
      <c r="M1839" s="4">
        <v>0</v>
      </c>
      <c r="N1839">
        <v>1</v>
      </c>
      <c r="O1839" t="s">
        <v>146</v>
      </c>
      <c r="P1839">
        <v>15</v>
      </c>
      <c r="Q1839">
        <f>QtyRemaining*EstMfgMin/60</f>
        <v>0.25</v>
      </c>
      <c r="U1839" t="e">
        <f t="shared" si="58"/>
        <v>#REF!</v>
      </c>
      <c r="V1839" s="5" t="e">
        <f t="shared" si="59"/>
        <v>#REF!</v>
      </c>
    </row>
    <row r="1840" spans="1:22" x14ac:dyDescent="0.25">
      <c r="A1840" s="2">
        <v>46373</v>
      </c>
      <c r="B1840" s="2">
        <v>45636</v>
      </c>
      <c r="C1840" t="s">
        <v>570</v>
      </c>
      <c r="D1840">
        <v>51</v>
      </c>
      <c r="E1840" t="s">
        <v>597</v>
      </c>
      <c r="F1840" t="s">
        <v>261</v>
      </c>
      <c r="G1840" t="s">
        <v>510</v>
      </c>
      <c r="H1840" t="s">
        <v>598</v>
      </c>
      <c r="I1840" t="s">
        <v>83</v>
      </c>
      <c r="J1840" s="3" t="s">
        <v>3545</v>
      </c>
      <c r="K1840" t="s">
        <v>3546</v>
      </c>
      <c r="L1840" s="4">
        <v>1</v>
      </c>
      <c r="M1840" s="4">
        <v>0</v>
      </c>
      <c r="N1840">
        <v>1</v>
      </c>
      <c r="O1840" t="s">
        <v>146</v>
      </c>
      <c r="P1840">
        <v>5</v>
      </c>
      <c r="Q1840">
        <f>QtyRemaining*EstMfgMin/60</f>
        <v>8.3333333333333329E-2</v>
      </c>
      <c r="U1840" t="e">
        <f t="shared" si="58"/>
        <v>#REF!</v>
      </c>
      <c r="V1840" s="5" t="e">
        <f t="shared" si="59"/>
        <v>#REF!</v>
      </c>
    </row>
    <row r="1841" spans="1:22" x14ac:dyDescent="0.25">
      <c r="A1841" s="2">
        <v>46373</v>
      </c>
      <c r="B1841" s="2">
        <v>45636</v>
      </c>
      <c r="C1841" t="s">
        <v>570</v>
      </c>
      <c r="D1841">
        <v>51</v>
      </c>
      <c r="E1841" t="s">
        <v>597</v>
      </c>
      <c r="F1841" t="s">
        <v>261</v>
      </c>
      <c r="G1841" t="s">
        <v>510</v>
      </c>
      <c r="H1841" t="s">
        <v>598</v>
      </c>
      <c r="I1841" t="s">
        <v>83</v>
      </c>
      <c r="J1841" s="3" t="s">
        <v>3547</v>
      </c>
      <c r="K1841" t="s">
        <v>600</v>
      </c>
      <c r="L1841" s="4">
        <v>1</v>
      </c>
      <c r="M1841" s="4">
        <v>0</v>
      </c>
      <c r="N1841">
        <v>1</v>
      </c>
      <c r="O1841" t="s">
        <v>146</v>
      </c>
      <c r="P1841">
        <v>24</v>
      </c>
      <c r="Q1841">
        <f>QtyRemaining*EstMfgMin/60</f>
        <v>0.4</v>
      </c>
      <c r="U1841" t="e">
        <f t="shared" si="58"/>
        <v>#REF!</v>
      </c>
      <c r="V1841" s="5" t="e">
        <f t="shared" si="59"/>
        <v>#REF!</v>
      </c>
    </row>
    <row r="1842" spans="1:22" x14ac:dyDescent="0.25">
      <c r="A1842" s="2">
        <v>46373</v>
      </c>
      <c r="B1842" s="2">
        <v>45636</v>
      </c>
      <c r="C1842" t="s">
        <v>570</v>
      </c>
      <c r="D1842">
        <v>51</v>
      </c>
      <c r="E1842" t="s">
        <v>597</v>
      </c>
      <c r="F1842" t="s">
        <v>261</v>
      </c>
      <c r="G1842" t="s">
        <v>510</v>
      </c>
      <c r="H1842" t="s">
        <v>598</v>
      </c>
      <c r="I1842" t="s">
        <v>83</v>
      </c>
      <c r="J1842" s="3" t="s">
        <v>3548</v>
      </c>
      <c r="K1842" t="s">
        <v>600</v>
      </c>
      <c r="L1842" s="4">
        <v>1</v>
      </c>
      <c r="M1842" s="4">
        <v>0</v>
      </c>
      <c r="N1842">
        <v>1</v>
      </c>
      <c r="O1842" t="s">
        <v>146</v>
      </c>
      <c r="P1842">
        <v>24</v>
      </c>
      <c r="Q1842">
        <f>QtyRemaining*EstMfgMin/60</f>
        <v>0.4</v>
      </c>
      <c r="U1842" t="e">
        <f t="shared" si="58"/>
        <v>#REF!</v>
      </c>
      <c r="V1842" s="5" t="e">
        <f t="shared" si="59"/>
        <v>#REF!</v>
      </c>
    </row>
    <row r="1843" spans="1:22" x14ac:dyDescent="0.25">
      <c r="A1843" s="2">
        <v>46373</v>
      </c>
      <c r="B1843" s="2">
        <v>45636</v>
      </c>
      <c r="C1843" t="s">
        <v>570</v>
      </c>
      <c r="D1843">
        <v>51</v>
      </c>
      <c r="E1843" t="s">
        <v>597</v>
      </c>
      <c r="F1843" t="s">
        <v>261</v>
      </c>
      <c r="G1843" t="s">
        <v>510</v>
      </c>
      <c r="H1843" t="s">
        <v>598</v>
      </c>
      <c r="I1843" t="s">
        <v>83</v>
      </c>
      <c r="J1843" s="3" t="s">
        <v>3549</v>
      </c>
      <c r="K1843" t="s">
        <v>600</v>
      </c>
      <c r="L1843" s="4">
        <v>1</v>
      </c>
      <c r="M1843" s="4">
        <v>0</v>
      </c>
      <c r="N1843">
        <v>1</v>
      </c>
      <c r="O1843" t="s">
        <v>146</v>
      </c>
      <c r="P1843">
        <v>24</v>
      </c>
      <c r="Q1843">
        <f>QtyRemaining*EstMfgMin/60</f>
        <v>0.4</v>
      </c>
      <c r="U1843" t="e">
        <f t="shared" si="58"/>
        <v>#REF!</v>
      </c>
      <c r="V1843" s="5" t="e">
        <f t="shared" si="59"/>
        <v>#REF!</v>
      </c>
    </row>
    <row r="1844" spans="1:22" x14ac:dyDescent="0.25">
      <c r="A1844" s="2">
        <v>46373</v>
      </c>
      <c r="B1844" s="2">
        <v>45636</v>
      </c>
      <c r="C1844" t="s">
        <v>570</v>
      </c>
      <c r="D1844">
        <v>51</v>
      </c>
      <c r="E1844" t="s">
        <v>597</v>
      </c>
      <c r="F1844" t="s">
        <v>261</v>
      </c>
      <c r="G1844" t="s">
        <v>510</v>
      </c>
      <c r="H1844" t="s">
        <v>598</v>
      </c>
      <c r="I1844" t="s">
        <v>83</v>
      </c>
      <c r="J1844" s="3" t="s">
        <v>3550</v>
      </c>
      <c r="K1844" t="s">
        <v>600</v>
      </c>
      <c r="L1844" s="4">
        <v>1</v>
      </c>
      <c r="M1844" s="4">
        <v>0</v>
      </c>
      <c r="N1844">
        <v>1</v>
      </c>
      <c r="O1844" t="s">
        <v>146</v>
      </c>
      <c r="P1844">
        <v>24</v>
      </c>
      <c r="Q1844">
        <f>QtyRemaining*EstMfgMin/60</f>
        <v>0.4</v>
      </c>
      <c r="U1844" t="e">
        <f t="shared" si="58"/>
        <v>#REF!</v>
      </c>
      <c r="V1844" s="5" t="e">
        <f t="shared" si="59"/>
        <v>#REF!</v>
      </c>
    </row>
    <row r="1845" spans="1:22" x14ac:dyDescent="0.25">
      <c r="A1845" s="2">
        <v>46373</v>
      </c>
      <c r="B1845" s="2">
        <v>45636</v>
      </c>
      <c r="C1845" t="s">
        <v>570</v>
      </c>
      <c r="D1845">
        <v>51</v>
      </c>
      <c r="E1845" t="s">
        <v>597</v>
      </c>
      <c r="F1845" t="s">
        <v>261</v>
      </c>
      <c r="G1845" t="s">
        <v>510</v>
      </c>
      <c r="H1845" t="s">
        <v>598</v>
      </c>
      <c r="I1845" t="s">
        <v>83</v>
      </c>
      <c r="J1845" s="3" t="s">
        <v>3551</v>
      </c>
      <c r="K1845" t="s">
        <v>600</v>
      </c>
      <c r="L1845" s="4">
        <v>1</v>
      </c>
      <c r="M1845" s="4">
        <v>0</v>
      </c>
      <c r="N1845">
        <v>1</v>
      </c>
      <c r="O1845" t="s">
        <v>146</v>
      </c>
      <c r="P1845">
        <v>24</v>
      </c>
      <c r="Q1845">
        <f>QtyRemaining*EstMfgMin/60</f>
        <v>0.4</v>
      </c>
      <c r="U1845" t="e">
        <f t="shared" si="58"/>
        <v>#REF!</v>
      </c>
      <c r="V1845" s="5" t="e">
        <f t="shared" si="59"/>
        <v>#REF!</v>
      </c>
    </row>
    <row r="1846" spans="1:22" x14ac:dyDescent="0.25">
      <c r="A1846" s="2">
        <v>46373</v>
      </c>
      <c r="B1846" s="2">
        <v>45636</v>
      </c>
      <c r="C1846" t="s">
        <v>570</v>
      </c>
      <c r="D1846">
        <v>51</v>
      </c>
      <c r="E1846" t="s">
        <v>597</v>
      </c>
      <c r="F1846" t="s">
        <v>261</v>
      </c>
      <c r="G1846" t="s">
        <v>510</v>
      </c>
      <c r="H1846" t="s">
        <v>598</v>
      </c>
      <c r="I1846" t="s">
        <v>83</v>
      </c>
      <c r="J1846" s="3" t="s">
        <v>3552</v>
      </c>
      <c r="K1846" t="s">
        <v>600</v>
      </c>
      <c r="L1846" s="4">
        <v>1</v>
      </c>
      <c r="M1846" s="4">
        <v>0</v>
      </c>
      <c r="N1846">
        <v>1</v>
      </c>
      <c r="O1846" t="s">
        <v>146</v>
      </c>
      <c r="P1846">
        <v>24</v>
      </c>
      <c r="Q1846">
        <f>QtyRemaining*EstMfgMin/60</f>
        <v>0.4</v>
      </c>
      <c r="U1846" t="e">
        <f t="shared" si="58"/>
        <v>#REF!</v>
      </c>
      <c r="V1846" s="5" t="e">
        <f t="shared" si="59"/>
        <v>#REF!</v>
      </c>
    </row>
    <row r="1847" spans="1:22" x14ac:dyDescent="0.25">
      <c r="A1847" s="2">
        <v>46373</v>
      </c>
      <c r="B1847" s="2">
        <v>45636</v>
      </c>
      <c r="C1847" t="s">
        <v>570</v>
      </c>
      <c r="D1847">
        <v>51</v>
      </c>
      <c r="E1847" t="s">
        <v>597</v>
      </c>
      <c r="F1847" t="s">
        <v>261</v>
      </c>
      <c r="G1847" t="s">
        <v>510</v>
      </c>
      <c r="H1847" t="s">
        <v>598</v>
      </c>
      <c r="I1847" t="s">
        <v>83</v>
      </c>
      <c r="J1847" s="3" t="s">
        <v>3553</v>
      </c>
      <c r="K1847" t="s">
        <v>600</v>
      </c>
      <c r="L1847" s="4">
        <v>1</v>
      </c>
      <c r="M1847" s="4">
        <v>0</v>
      </c>
      <c r="N1847">
        <v>1</v>
      </c>
      <c r="O1847" t="s">
        <v>146</v>
      </c>
      <c r="P1847">
        <v>20</v>
      </c>
      <c r="Q1847">
        <f>QtyRemaining*EstMfgMin/60</f>
        <v>0.33333333333333331</v>
      </c>
      <c r="U1847" t="e">
        <f t="shared" si="58"/>
        <v>#REF!</v>
      </c>
      <c r="V1847" s="5" t="e">
        <f t="shared" si="59"/>
        <v>#REF!</v>
      </c>
    </row>
    <row r="1848" spans="1:22" x14ac:dyDescent="0.25">
      <c r="A1848" s="2">
        <v>46373</v>
      </c>
      <c r="B1848" s="2">
        <v>45636</v>
      </c>
      <c r="C1848" t="s">
        <v>570</v>
      </c>
      <c r="D1848">
        <v>51</v>
      </c>
      <c r="E1848" t="s">
        <v>597</v>
      </c>
      <c r="F1848" t="s">
        <v>261</v>
      </c>
      <c r="G1848" t="s">
        <v>510</v>
      </c>
      <c r="H1848" t="s">
        <v>598</v>
      </c>
      <c r="I1848" t="s">
        <v>83</v>
      </c>
      <c r="J1848" s="3" t="s">
        <v>3554</v>
      </c>
      <c r="K1848" t="s">
        <v>3555</v>
      </c>
      <c r="L1848" s="4">
        <v>1</v>
      </c>
      <c r="M1848" s="4">
        <v>0</v>
      </c>
      <c r="N1848">
        <v>1</v>
      </c>
      <c r="O1848" t="s">
        <v>146</v>
      </c>
      <c r="P1848">
        <v>14</v>
      </c>
      <c r="Q1848">
        <f>QtyRemaining*EstMfgMin/60</f>
        <v>0.23333333333333334</v>
      </c>
      <c r="U1848" t="e">
        <f t="shared" si="58"/>
        <v>#REF!</v>
      </c>
      <c r="V1848" s="5" t="e">
        <f t="shared" si="59"/>
        <v>#REF!</v>
      </c>
    </row>
    <row r="1849" spans="1:22" x14ac:dyDescent="0.25">
      <c r="A1849" s="2">
        <v>46373</v>
      </c>
      <c r="B1849" s="2">
        <v>45636</v>
      </c>
      <c r="C1849" t="s">
        <v>570</v>
      </c>
      <c r="D1849">
        <v>51</v>
      </c>
      <c r="E1849" t="s">
        <v>597</v>
      </c>
      <c r="F1849" t="s">
        <v>261</v>
      </c>
      <c r="G1849" t="s">
        <v>510</v>
      </c>
      <c r="H1849" t="s">
        <v>598</v>
      </c>
      <c r="I1849" t="s">
        <v>83</v>
      </c>
      <c r="J1849" s="3" t="s">
        <v>3556</v>
      </c>
      <c r="K1849" t="s">
        <v>3557</v>
      </c>
      <c r="L1849" s="4">
        <v>1</v>
      </c>
      <c r="M1849" s="4">
        <v>0</v>
      </c>
      <c r="N1849">
        <v>1</v>
      </c>
      <c r="O1849" t="s">
        <v>146</v>
      </c>
      <c r="P1849">
        <v>14</v>
      </c>
      <c r="Q1849">
        <f>QtyRemaining*EstMfgMin/60</f>
        <v>0.23333333333333334</v>
      </c>
      <c r="U1849" t="e">
        <f t="shared" si="58"/>
        <v>#REF!</v>
      </c>
      <c r="V1849" s="5" t="e">
        <f t="shared" si="59"/>
        <v>#REF!</v>
      </c>
    </row>
    <row r="1850" spans="1:22" x14ac:dyDescent="0.25">
      <c r="A1850" s="2">
        <v>46373</v>
      </c>
      <c r="B1850" s="2">
        <v>45636</v>
      </c>
      <c r="C1850" t="s">
        <v>570</v>
      </c>
      <c r="D1850">
        <v>51</v>
      </c>
      <c r="E1850" t="s">
        <v>597</v>
      </c>
      <c r="F1850" t="s">
        <v>261</v>
      </c>
      <c r="G1850" t="s">
        <v>510</v>
      </c>
      <c r="H1850" t="s">
        <v>598</v>
      </c>
      <c r="I1850" t="s">
        <v>83</v>
      </c>
      <c r="J1850" s="3" t="s">
        <v>3558</v>
      </c>
      <c r="K1850" t="s">
        <v>600</v>
      </c>
      <c r="L1850" s="4">
        <v>1</v>
      </c>
      <c r="M1850" s="4">
        <v>0</v>
      </c>
      <c r="N1850">
        <v>1</v>
      </c>
      <c r="O1850" t="s">
        <v>146</v>
      </c>
      <c r="P1850">
        <v>24</v>
      </c>
      <c r="Q1850">
        <f>QtyRemaining*EstMfgMin/60</f>
        <v>0.4</v>
      </c>
      <c r="U1850" t="e">
        <f t="shared" si="58"/>
        <v>#REF!</v>
      </c>
      <c r="V1850" s="5" t="e">
        <f t="shared" si="59"/>
        <v>#REF!</v>
      </c>
    </row>
    <row r="1851" spans="1:22" x14ac:dyDescent="0.25">
      <c r="A1851" s="2">
        <v>46373</v>
      </c>
      <c r="B1851" s="2">
        <v>45636</v>
      </c>
      <c r="C1851" t="s">
        <v>570</v>
      </c>
      <c r="D1851">
        <v>51</v>
      </c>
      <c r="E1851" t="s">
        <v>597</v>
      </c>
      <c r="F1851" t="s">
        <v>261</v>
      </c>
      <c r="G1851" t="s">
        <v>510</v>
      </c>
      <c r="H1851" t="s">
        <v>598</v>
      </c>
      <c r="I1851" t="s">
        <v>83</v>
      </c>
      <c r="J1851" s="3" t="s">
        <v>3559</v>
      </c>
      <c r="K1851" t="s">
        <v>600</v>
      </c>
      <c r="L1851" s="4">
        <v>1</v>
      </c>
      <c r="M1851" s="4">
        <v>0</v>
      </c>
      <c r="N1851">
        <v>1</v>
      </c>
      <c r="O1851" t="s">
        <v>146</v>
      </c>
      <c r="P1851">
        <v>20</v>
      </c>
      <c r="Q1851">
        <f>QtyRemaining*EstMfgMin/60</f>
        <v>0.33333333333333331</v>
      </c>
      <c r="U1851" t="e">
        <f t="shared" si="58"/>
        <v>#REF!</v>
      </c>
      <c r="V1851" s="5" t="e">
        <f t="shared" si="59"/>
        <v>#REF!</v>
      </c>
    </row>
    <row r="1852" spans="1:22" x14ac:dyDescent="0.25">
      <c r="A1852" s="2">
        <v>46373</v>
      </c>
      <c r="B1852" s="2">
        <v>45636</v>
      </c>
      <c r="C1852" t="s">
        <v>570</v>
      </c>
      <c r="D1852">
        <v>51</v>
      </c>
      <c r="E1852" t="s">
        <v>597</v>
      </c>
      <c r="F1852" t="s">
        <v>261</v>
      </c>
      <c r="G1852" t="s">
        <v>510</v>
      </c>
      <c r="H1852" t="s">
        <v>598</v>
      </c>
      <c r="I1852" t="s">
        <v>83</v>
      </c>
      <c r="J1852" s="3" t="s">
        <v>3560</v>
      </c>
      <c r="K1852" t="s">
        <v>600</v>
      </c>
      <c r="L1852" s="4">
        <v>1</v>
      </c>
      <c r="M1852" s="4">
        <v>0</v>
      </c>
      <c r="N1852">
        <v>1</v>
      </c>
      <c r="O1852" t="s">
        <v>146</v>
      </c>
      <c r="P1852">
        <v>20</v>
      </c>
      <c r="Q1852">
        <f>QtyRemaining*EstMfgMin/60</f>
        <v>0.33333333333333331</v>
      </c>
      <c r="U1852" t="e">
        <f t="shared" si="58"/>
        <v>#REF!</v>
      </c>
      <c r="V1852" s="5" t="e">
        <f t="shared" si="59"/>
        <v>#REF!</v>
      </c>
    </row>
    <row r="1853" spans="1:22" x14ac:dyDescent="0.25">
      <c r="A1853" s="2">
        <v>46373</v>
      </c>
      <c r="B1853" s="2">
        <v>45636</v>
      </c>
      <c r="C1853" t="s">
        <v>570</v>
      </c>
      <c r="D1853">
        <v>51</v>
      </c>
      <c r="E1853" t="s">
        <v>597</v>
      </c>
      <c r="F1853" t="s">
        <v>261</v>
      </c>
      <c r="G1853" t="s">
        <v>510</v>
      </c>
      <c r="H1853" t="s">
        <v>598</v>
      </c>
      <c r="I1853" t="s">
        <v>83</v>
      </c>
      <c r="J1853" s="3" t="s">
        <v>3561</v>
      </c>
      <c r="K1853" t="s">
        <v>600</v>
      </c>
      <c r="L1853" s="4">
        <v>1</v>
      </c>
      <c r="M1853" s="4">
        <v>0</v>
      </c>
      <c r="N1853">
        <v>1</v>
      </c>
      <c r="O1853" t="s">
        <v>146</v>
      </c>
      <c r="P1853">
        <v>20</v>
      </c>
      <c r="Q1853">
        <f>QtyRemaining*EstMfgMin/60</f>
        <v>0.33333333333333331</v>
      </c>
      <c r="U1853" t="e">
        <f t="shared" si="58"/>
        <v>#REF!</v>
      </c>
      <c r="V1853" s="5" t="e">
        <f t="shared" si="59"/>
        <v>#REF!</v>
      </c>
    </row>
    <row r="1854" spans="1:22" x14ac:dyDescent="0.25">
      <c r="A1854" s="2">
        <v>46373</v>
      </c>
      <c r="B1854" s="2">
        <v>45636</v>
      </c>
      <c r="C1854" t="s">
        <v>570</v>
      </c>
      <c r="D1854">
        <v>51</v>
      </c>
      <c r="E1854" t="s">
        <v>597</v>
      </c>
      <c r="F1854" t="s">
        <v>261</v>
      </c>
      <c r="G1854" t="s">
        <v>510</v>
      </c>
      <c r="H1854" t="s">
        <v>598</v>
      </c>
      <c r="I1854" t="s">
        <v>83</v>
      </c>
      <c r="J1854" s="3" t="s">
        <v>3562</v>
      </c>
      <c r="K1854" t="s">
        <v>600</v>
      </c>
      <c r="L1854" s="4">
        <v>1</v>
      </c>
      <c r="M1854" s="4">
        <v>0</v>
      </c>
      <c r="N1854">
        <v>1</v>
      </c>
      <c r="O1854" t="s">
        <v>146</v>
      </c>
      <c r="P1854">
        <v>20</v>
      </c>
      <c r="Q1854">
        <f>QtyRemaining*EstMfgMin/60</f>
        <v>0.33333333333333331</v>
      </c>
      <c r="U1854" t="e">
        <f t="shared" si="58"/>
        <v>#REF!</v>
      </c>
      <c r="V1854" s="5" t="e">
        <f t="shared" si="59"/>
        <v>#REF!</v>
      </c>
    </row>
    <row r="1855" spans="1:22" x14ac:dyDescent="0.25">
      <c r="A1855" s="2">
        <v>46373</v>
      </c>
      <c r="B1855" s="2">
        <v>45636</v>
      </c>
      <c r="C1855" t="s">
        <v>570</v>
      </c>
      <c r="D1855">
        <v>51</v>
      </c>
      <c r="E1855" t="s">
        <v>597</v>
      </c>
      <c r="F1855" t="s">
        <v>261</v>
      </c>
      <c r="G1855" t="s">
        <v>510</v>
      </c>
      <c r="H1855" t="s">
        <v>598</v>
      </c>
      <c r="I1855" t="s">
        <v>83</v>
      </c>
      <c r="J1855" s="3" t="s">
        <v>3563</v>
      </c>
      <c r="K1855" t="s">
        <v>600</v>
      </c>
      <c r="L1855" s="4">
        <v>1</v>
      </c>
      <c r="M1855" s="4">
        <v>0</v>
      </c>
      <c r="N1855">
        <v>1</v>
      </c>
      <c r="O1855" t="s">
        <v>146</v>
      </c>
      <c r="P1855">
        <v>15</v>
      </c>
      <c r="Q1855">
        <f>QtyRemaining*EstMfgMin/60</f>
        <v>0.25</v>
      </c>
      <c r="U1855" t="e">
        <f t="shared" si="58"/>
        <v>#REF!</v>
      </c>
      <c r="V1855" s="5" t="e">
        <f t="shared" si="59"/>
        <v>#REF!</v>
      </c>
    </row>
    <row r="1856" spans="1:22" x14ac:dyDescent="0.25">
      <c r="A1856" s="2">
        <v>46373</v>
      </c>
      <c r="B1856" s="2">
        <v>45636</v>
      </c>
      <c r="C1856" t="s">
        <v>570</v>
      </c>
      <c r="D1856">
        <v>51</v>
      </c>
      <c r="E1856" t="s">
        <v>597</v>
      </c>
      <c r="F1856" t="s">
        <v>261</v>
      </c>
      <c r="G1856" t="s">
        <v>510</v>
      </c>
      <c r="H1856" t="s">
        <v>598</v>
      </c>
      <c r="I1856" t="s">
        <v>83</v>
      </c>
      <c r="J1856" s="3" t="s">
        <v>3564</v>
      </c>
      <c r="K1856" t="s">
        <v>600</v>
      </c>
      <c r="L1856" s="4">
        <v>1</v>
      </c>
      <c r="M1856" s="4">
        <v>0</v>
      </c>
      <c r="N1856">
        <v>1</v>
      </c>
      <c r="O1856" t="s">
        <v>146</v>
      </c>
      <c r="P1856">
        <v>24</v>
      </c>
      <c r="Q1856">
        <f>QtyRemaining*EstMfgMin/60</f>
        <v>0.4</v>
      </c>
      <c r="U1856" t="e">
        <f t="shared" si="58"/>
        <v>#REF!</v>
      </c>
      <c r="V1856" s="5" t="e">
        <f t="shared" si="59"/>
        <v>#REF!</v>
      </c>
    </row>
    <row r="1857" spans="1:22" x14ac:dyDescent="0.25">
      <c r="A1857" s="2">
        <v>46373</v>
      </c>
      <c r="B1857" s="2">
        <v>45636</v>
      </c>
      <c r="C1857" t="s">
        <v>570</v>
      </c>
      <c r="D1857">
        <v>51</v>
      </c>
      <c r="E1857" t="s">
        <v>597</v>
      </c>
      <c r="F1857" t="s">
        <v>261</v>
      </c>
      <c r="G1857" t="s">
        <v>510</v>
      </c>
      <c r="H1857" t="s">
        <v>598</v>
      </c>
      <c r="I1857" t="s">
        <v>83</v>
      </c>
      <c r="J1857" s="3" t="s">
        <v>3565</v>
      </c>
      <c r="K1857" t="s">
        <v>600</v>
      </c>
      <c r="L1857" s="4">
        <v>1</v>
      </c>
      <c r="M1857" s="4">
        <v>0</v>
      </c>
      <c r="N1857">
        <v>1</v>
      </c>
      <c r="O1857" t="s">
        <v>146</v>
      </c>
      <c r="P1857">
        <v>24</v>
      </c>
      <c r="Q1857">
        <f>QtyRemaining*EstMfgMin/60</f>
        <v>0.4</v>
      </c>
      <c r="U1857" t="e">
        <f t="shared" si="58"/>
        <v>#REF!</v>
      </c>
      <c r="V1857" s="5" t="e">
        <f t="shared" si="59"/>
        <v>#REF!</v>
      </c>
    </row>
    <row r="1858" spans="1:22" x14ac:dyDescent="0.25">
      <c r="A1858" s="2">
        <v>46373</v>
      </c>
      <c r="B1858" s="2">
        <v>45636</v>
      </c>
      <c r="C1858" t="s">
        <v>570</v>
      </c>
      <c r="D1858">
        <v>51</v>
      </c>
      <c r="E1858" t="s">
        <v>597</v>
      </c>
      <c r="F1858" t="s">
        <v>261</v>
      </c>
      <c r="G1858" t="s">
        <v>510</v>
      </c>
      <c r="H1858" t="s">
        <v>598</v>
      </c>
      <c r="I1858" t="s">
        <v>83</v>
      </c>
      <c r="J1858" s="3" t="s">
        <v>3566</v>
      </c>
      <c r="K1858" t="s">
        <v>600</v>
      </c>
      <c r="L1858" s="4">
        <v>1</v>
      </c>
      <c r="M1858" s="4">
        <v>0</v>
      </c>
      <c r="N1858">
        <v>1</v>
      </c>
      <c r="O1858" t="s">
        <v>146</v>
      </c>
      <c r="P1858">
        <v>24</v>
      </c>
      <c r="Q1858">
        <f>QtyRemaining*EstMfgMin/60</f>
        <v>0.4</v>
      </c>
      <c r="U1858" t="e">
        <f t="shared" si="58"/>
        <v>#REF!</v>
      </c>
      <c r="V1858" s="5" t="e">
        <f t="shared" si="59"/>
        <v>#REF!</v>
      </c>
    </row>
    <row r="1859" spans="1:22" x14ac:dyDescent="0.25">
      <c r="A1859" s="2">
        <v>46373</v>
      </c>
      <c r="B1859" s="2">
        <v>45636</v>
      </c>
      <c r="C1859" t="s">
        <v>570</v>
      </c>
      <c r="D1859">
        <v>51</v>
      </c>
      <c r="E1859" t="s">
        <v>597</v>
      </c>
      <c r="F1859" t="s">
        <v>261</v>
      </c>
      <c r="G1859" t="s">
        <v>510</v>
      </c>
      <c r="H1859" t="s">
        <v>598</v>
      </c>
      <c r="I1859" t="s">
        <v>83</v>
      </c>
      <c r="J1859" s="3" t="s">
        <v>3567</v>
      </c>
      <c r="K1859" t="s">
        <v>600</v>
      </c>
      <c r="L1859" s="4">
        <v>1</v>
      </c>
      <c r="M1859" s="4">
        <v>0</v>
      </c>
      <c r="N1859">
        <v>1</v>
      </c>
      <c r="O1859" t="s">
        <v>146</v>
      </c>
      <c r="P1859">
        <v>24</v>
      </c>
      <c r="Q1859">
        <f>QtyRemaining*EstMfgMin/60</f>
        <v>0.4</v>
      </c>
      <c r="U1859" t="e">
        <f t="shared" ref="U1859:U1922" si="60">VLOOKUP(A1859,Calendar,13,FALSE)</f>
        <v>#REF!</v>
      </c>
      <c r="V1859" s="5" t="e">
        <f t="shared" ref="V1859:V1922" si="61">VLOOKUP(A1859,Calendar,14,FALSE)</f>
        <v>#REF!</v>
      </c>
    </row>
    <row r="1860" spans="1:22" x14ac:dyDescent="0.25">
      <c r="A1860" s="2">
        <v>46373</v>
      </c>
      <c r="B1860" s="2">
        <v>45636</v>
      </c>
      <c r="C1860" t="s">
        <v>570</v>
      </c>
      <c r="D1860">
        <v>51</v>
      </c>
      <c r="E1860" t="s">
        <v>597</v>
      </c>
      <c r="F1860" t="s">
        <v>261</v>
      </c>
      <c r="G1860" t="s">
        <v>510</v>
      </c>
      <c r="H1860" t="s">
        <v>598</v>
      </c>
      <c r="I1860" t="s">
        <v>83</v>
      </c>
      <c r="J1860" s="3" t="s">
        <v>3568</v>
      </c>
      <c r="K1860" t="s">
        <v>3569</v>
      </c>
      <c r="L1860" s="4">
        <v>1</v>
      </c>
      <c r="M1860" s="4">
        <v>0</v>
      </c>
      <c r="N1860">
        <v>1</v>
      </c>
      <c r="O1860" t="s">
        <v>146</v>
      </c>
      <c r="P1860">
        <v>14</v>
      </c>
      <c r="Q1860">
        <f>QtyRemaining*EstMfgMin/60</f>
        <v>0.23333333333333334</v>
      </c>
      <c r="U1860" t="e">
        <f t="shared" si="60"/>
        <v>#REF!</v>
      </c>
      <c r="V1860" s="5" t="e">
        <f t="shared" si="61"/>
        <v>#REF!</v>
      </c>
    </row>
    <row r="1861" spans="1:22" x14ac:dyDescent="0.25">
      <c r="A1861" s="2">
        <v>46373</v>
      </c>
      <c r="B1861" s="2">
        <v>45636</v>
      </c>
      <c r="C1861" t="s">
        <v>570</v>
      </c>
      <c r="D1861">
        <v>51</v>
      </c>
      <c r="E1861" t="s">
        <v>597</v>
      </c>
      <c r="F1861" t="s">
        <v>261</v>
      </c>
      <c r="G1861" t="s">
        <v>510</v>
      </c>
      <c r="H1861" t="s">
        <v>598</v>
      </c>
      <c r="I1861" t="s">
        <v>83</v>
      </c>
      <c r="J1861" s="3" t="s">
        <v>3570</v>
      </c>
      <c r="K1861" t="s">
        <v>3571</v>
      </c>
      <c r="L1861" s="4">
        <v>1</v>
      </c>
      <c r="M1861" s="4">
        <v>0</v>
      </c>
      <c r="N1861">
        <v>1</v>
      </c>
      <c r="O1861" t="s">
        <v>146</v>
      </c>
      <c r="P1861">
        <v>5</v>
      </c>
      <c r="Q1861">
        <f>QtyRemaining*EstMfgMin/60</f>
        <v>8.3333333333333329E-2</v>
      </c>
      <c r="U1861" t="e">
        <f t="shared" si="60"/>
        <v>#REF!</v>
      </c>
      <c r="V1861" s="5" t="e">
        <f t="shared" si="61"/>
        <v>#REF!</v>
      </c>
    </row>
    <row r="1862" spans="1:22" x14ac:dyDescent="0.25">
      <c r="A1862" s="2">
        <v>46373</v>
      </c>
      <c r="B1862" s="2">
        <v>45636</v>
      </c>
      <c r="C1862" t="s">
        <v>570</v>
      </c>
      <c r="D1862">
        <v>51</v>
      </c>
      <c r="E1862" t="s">
        <v>597</v>
      </c>
      <c r="F1862" t="s">
        <v>261</v>
      </c>
      <c r="G1862" t="s">
        <v>510</v>
      </c>
      <c r="H1862" t="s">
        <v>598</v>
      </c>
      <c r="I1862" t="s">
        <v>83</v>
      </c>
      <c r="J1862" s="3" t="s">
        <v>3572</v>
      </c>
      <c r="K1862" t="s">
        <v>3571</v>
      </c>
      <c r="L1862" s="4">
        <v>1</v>
      </c>
      <c r="M1862" s="4">
        <v>0</v>
      </c>
      <c r="N1862">
        <v>1</v>
      </c>
      <c r="O1862" t="s">
        <v>146</v>
      </c>
      <c r="P1862">
        <v>5</v>
      </c>
      <c r="Q1862">
        <f>QtyRemaining*EstMfgMin/60</f>
        <v>8.3333333333333329E-2</v>
      </c>
      <c r="U1862" t="e">
        <f t="shared" si="60"/>
        <v>#REF!</v>
      </c>
      <c r="V1862" s="5" t="e">
        <f t="shared" si="61"/>
        <v>#REF!</v>
      </c>
    </row>
    <row r="1863" spans="1:22" x14ac:dyDescent="0.25">
      <c r="A1863" s="2">
        <v>46373</v>
      </c>
      <c r="B1863" s="2">
        <v>45636</v>
      </c>
      <c r="C1863" t="s">
        <v>570</v>
      </c>
      <c r="D1863">
        <v>51</v>
      </c>
      <c r="E1863" t="s">
        <v>597</v>
      </c>
      <c r="F1863" t="s">
        <v>261</v>
      </c>
      <c r="G1863" t="s">
        <v>510</v>
      </c>
      <c r="H1863" t="s">
        <v>598</v>
      </c>
      <c r="I1863" t="s">
        <v>83</v>
      </c>
      <c r="J1863" s="3" t="s">
        <v>3573</v>
      </c>
      <c r="K1863" t="s">
        <v>3526</v>
      </c>
      <c r="L1863" s="4">
        <v>1</v>
      </c>
      <c r="M1863" s="4">
        <v>0</v>
      </c>
      <c r="N1863">
        <v>1</v>
      </c>
      <c r="O1863" t="s">
        <v>146</v>
      </c>
      <c r="P1863">
        <v>5</v>
      </c>
      <c r="Q1863">
        <f>QtyRemaining*EstMfgMin/60</f>
        <v>8.3333333333333329E-2</v>
      </c>
      <c r="U1863" t="e">
        <f t="shared" si="60"/>
        <v>#REF!</v>
      </c>
      <c r="V1863" s="5" t="e">
        <f t="shared" si="61"/>
        <v>#REF!</v>
      </c>
    </row>
    <row r="1864" spans="1:22" x14ac:dyDescent="0.25">
      <c r="A1864" s="2">
        <v>46373</v>
      </c>
      <c r="B1864" s="2">
        <v>45636</v>
      </c>
      <c r="C1864" t="s">
        <v>570</v>
      </c>
      <c r="D1864">
        <v>51</v>
      </c>
      <c r="E1864" t="s">
        <v>597</v>
      </c>
      <c r="F1864" t="s">
        <v>261</v>
      </c>
      <c r="G1864" t="s">
        <v>510</v>
      </c>
      <c r="H1864" t="s">
        <v>598</v>
      </c>
      <c r="I1864" t="s">
        <v>83</v>
      </c>
      <c r="J1864" s="3" t="s">
        <v>3574</v>
      </c>
      <c r="K1864" t="s">
        <v>3575</v>
      </c>
      <c r="L1864" s="4">
        <v>1</v>
      </c>
      <c r="M1864" s="4">
        <v>0</v>
      </c>
      <c r="N1864">
        <v>1</v>
      </c>
      <c r="O1864" t="s">
        <v>146</v>
      </c>
      <c r="P1864">
        <v>5</v>
      </c>
      <c r="Q1864">
        <f>QtyRemaining*EstMfgMin/60</f>
        <v>8.3333333333333329E-2</v>
      </c>
      <c r="U1864" t="e">
        <f t="shared" si="60"/>
        <v>#REF!</v>
      </c>
      <c r="V1864" s="5" t="e">
        <f t="shared" si="61"/>
        <v>#REF!</v>
      </c>
    </row>
    <row r="1865" spans="1:22" x14ac:dyDescent="0.25">
      <c r="A1865" s="2">
        <v>46373</v>
      </c>
      <c r="B1865" s="2">
        <v>45636</v>
      </c>
      <c r="C1865" t="s">
        <v>570</v>
      </c>
      <c r="D1865">
        <v>51</v>
      </c>
      <c r="E1865" t="s">
        <v>597</v>
      </c>
      <c r="F1865" t="s">
        <v>261</v>
      </c>
      <c r="G1865" t="s">
        <v>510</v>
      </c>
      <c r="H1865" t="s">
        <v>598</v>
      </c>
      <c r="I1865" t="s">
        <v>83</v>
      </c>
      <c r="J1865" s="3" t="s">
        <v>3576</v>
      </c>
      <c r="K1865" t="s">
        <v>3575</v>
      </c>
      <c r="L1865" s="4">
        <v>1</v>
      </c>
      <c r="M1865" s="4">
        <v>0</v>
      </c>
      <c r="N1865">
        <v>1</v>
      </c>
      <c r="O1865" t="s">
        <v>146</v>
      </c>
      <c r="P1865">
        <v>5</v>
      </c>
      <c r="Q1865">
        <f>QtyRemaining*EstMfgMin/60</f>
        <v>8.3333333333333329E-2</v>
      </c>
      <c r="U1865" t="e">
        <f t="shared" si="60"/>
        <v>#REF!</v>
      </c>
      <c r="V1865" s="5" t="e">
        <f t="shared" si="61"/>
        <v>#REF!</v>
      </c>
    </row>
    <row r="1866" spans="1:22" x14ac:dyDescent="0.25">
      <c r="A1866" s="2">
        <v>46373</v>
      </c>
      <c r="B1866" s="2">
        <v>45636</v>
      </c>
      <c r="C1866" t="s">
        <v>570</v>
      </c>
      <c r="D1866">
        <v>51</v>
      </c>
      <c r="E1866" t="s">
        <v>597</v>
      </c>
      <c r="F1866" t="s">
        <v>261</v>
      </c>
      <c r="G1866" t="s">
        <v>510</v>
      </c>
      <c r="H1866" t="s">
        <v>598</v>
      </c>
      <c r="I1866" t="s">
        <v>83</v>
      </c>
      <c r="J1866" s="3" t="s">
        <v>3577</v>
      </c>
      <c r="K1866" t="s">
        <v>3575</v>
      </c>
      <c r="L1866" s="4">
        <v>1</v>
      </c>
      <c r="M1866" s="4">
        <v>0</v>
      </c>
      <c r="N1866">
        <v>1</v>
      </c>
      <c r="O1866" t="s">
        <v>146</v>
      </c>
      <c r="P1866">
        <v>5</v>
      </c>
      <c r="Q1866">
        <f>QtyRemaining*EstMfgMin/60</f>
        <v>8.3333333333333329E-2</v>
      </c>
      <c r="U1866" t="e">
        <f t="shared" si="60"/>
        <v>#REF!</v>
      </c>
      <c r="V1866" s="5" t="e">
        <f t="shared" si="61"/>
        <v>#REF!</v>
      </c>
    </row>
    <row r="1867" spans="1:22" x14ac:dyDescent="0.25">
      <c r="A1867" s="2">
        <v>46373</v>
      </c>
      <c r="B1867" s="2">
        <v>45636</v>
      </c>
      <c r="C1867" t="s">
        <v>570</v>
      </c>
      <c r="D1867">
        <v>51</v>
      </c>
      <c r="E1867" t="s">
        <v>597</v>
      </c>
      <c r="F1867" t="s">
        <v>261</v>
      </c>
      <c r="G1867" t="s">
        <v>510</v>
      </c>
      <c r="H1867" t="s">
        <v>598</v>
      </c>
      <c r="I1867" t="s">
        <v>83</v>
      </c>
      <c r="J1867" s="3" t="s">
        <v>3578</v>
      </c>
      <c r="K1867" t="s">
        <v>3526</v>
      </c>
      <c r="L1867" s="4">
        <v>1</v>
      </c>
      <c r="M1867" s="4">
        <v>0</v>
      </c>
      <c r="N1867">
        <v>1</v>
      </c>
      <c r="O1867" t="s">
        <v>146</v>
      </c>
      <c r="P1867">
        <v>5</v>
      </c>
      <c r="Q1867">
        <f>QtyRemaining*EstMfgMin/60</f>
        <v>8.3333333333333329E-2</v>
      </c>
      <c r="U1867" t="e">
        <f t="shared" si="60"/>
        <v>#REF!</v>
      </c>
      <c r="V1867" s="5" t="e">
        <f t="shared" si="61"/>
        <v>#REF!</v>
      </c>
    </row>
    <row r="1868" spans="1:22" x14ac:dyDescent="0.25">
      <c r="A1868" s="2">
        <v>46373</v>
      </c>
      <c r="B1868" s="2">
        <v>45636</v>
      </c>
      <c r="C1868" t="s">
        <v>570</v>
      </c>
      <c r="D1868">
        <v>51</v>
      </c>
      <c r="E1868" t="s">
        <v>597</v>
      </c>
      <c r="F1868" t="s">
        <v>261</v>
      </c>
      <c r="G1868" t="s">
        <v>510</v>
      </c>
      <c r="H1868" t="s">
        <v>598</v>
      </c>
      <c r="I1868" t="s">
        <v>83</v>
      </c>
      <c r="J1868" s="3" t="s">
        <v>3579</v>
      </c>
      <c r="K1868" t="s">
        <v>3580</v>
      </c>
      <c r="L1868" s="4">
        <v>1</v>
      </c>
      <c r="M1868" s="4">
        <v>0</v>
      </c>
      <c r="N1868">
        <v>1</v>
      </c>
      <c r="O1868" t="s">
        <v>146</v>
      </c>
      <c r="P1868">
        <v>14</v>
      </c>
      <c r="Q1868">
        <f>QtyRemaining*EstMfgMin/60</f>
        <v>0.23333333333333334</v>
      </c>
      <c r="U1868" t="e">
        <f t="shared" si="60"/>
        <v>#REF!</v>
      </c>
      <c r="V1868" s="5" t="e">
        <f t="shared" si="61"/>
        <v>#REF!</v>
      </c>
    </row>
    <row r="1869" spans="1:22" x14ac:dyDescent="0.25">
      <c r="A1869" s="2">
        <v>46373</v>
      </c>
      <c r="B1869" s="2">
        <v>45636</v>
      </c>
      <c r="C1869" t="s">
        <v>570</v>
      </c>
      <c r="D1869">
        <v>51</v>
      </c>
      <c r="E1869" t="s">
        <v>597</v>
      </c>
      <c r="F1869" t="s">
        <v>261</v>
      </c>
      <c r="G1869" t="s">
        <v>510</v>
      </c>
      <c r="H1869" t="s">
        <v>598</v>
      </c>
      <c r="I1869" t="s">
        <v>83</v>
      </c>
      <c r="J1869" s="3" t="s">
        <v>3581</v>
      </c>
      <c r="K1869" t="s">
        <v>3580</v>
      </c>
      <c r="L1869" s="4">
        <v>1</v>
      </c>
      <c r="M1869" s="4">
        <v>0</v>
      </c>
      <c r="N1869">
        <v>1</v>
      </c>
      <c r="O1869" t="s">
        <v>146</v>
      </c>
      <c r="P1869">
        <v>14</v>
      </c>
      <c r="Q1869">
        <f>QtyRemaining*EstMfgMin/60</f>
        <v>0.23333333333333334</v>
      </c>
      <c r="U1869" t="e">
        <f t="shared" si="60"/>
        <v>#REF!</v>
      </c>
      <c r="V1869" s="5" t="e">
        <f t="shared" si="61"/>
        <v>#REF!</v>
      </c>
    </row>
    <row r="1870" spans="1:22" x14ac:dyDescent="0.25">
      <c r="A1870" s="2">
        <v>46373</v>
      </c>
      <c r="B1870" s="2">
        <v>45636</v>
      </c>
      <c r="C1870" t="s">
        <v>570</v>
      </c>
      <c r="D1870">
        <v>51</v>
      </c>
      <c r="E1870" t="s">
        <v>597</v>
      </c>
      <c r="F1870" t="s">
        <v>261</v>
      </c>
      <c r="G1870" t="s">
        <v>510</v>
      </c>
      <c r="H1870" t="s">
        <v>598</v>
      </c>
      <c r="I1870" t="s">
        <v>83</v>
      </c>
      <c r="J1870" s="3" t="s">
        <v>3582</v>
      </c>
      <c r="K1870" t="s">
        <v>3583</v>
      </c>
      <c r="L1870" s="4">
        <v>1</v>
      </c>
      <c r="M1870" s="4">
        <v>0</v>
      </c>
      <c r="N1870">
        <v>1</v>
      </c>
      <c r="O1870" t="s">
        <v>146</v>
      </c>
      <c r="P1870">
        <v>14</v>
      </c>
      <c r="Q1870">
        <f>QtyRemaining*EstMfgMin/60</f>
        <v>0.23333333333333334</v>
      </c>
      <c r="U1870" t="e">
        <f t="shared" si="60"/>
        <v>#REF!</v>
      </c>
      <c r="V1870" s="5" t="e">
        <f t="shared" si="61"/>
        <v>#REF!</v>
      </c>
    </row>
    <row r="1871" spans="1:22" x14ac:dyDescent="0.25">
      <c r="A1871" s="2">
        <v>46373</v>
      </c>
      <c r="B1871" s="2">
        <v>45636</v>
      </c>
      <c r="C1871" t="s">
        <v>570</v>
      </c>
      <c r="D1871">
        <v>51</v>
      </c>
      <c r="E1871" t="s">
        <v>597</v>
      </c>
      <c r="F1871" t="s">
        <v>261</v>
      </c>
      <c r="G1871" t="s">
        <v>510</v>
      </c>
      <c r="H1871" t="s">
        <v>598</v>
      </c>
      <c r="I1871" t="s">
        <v>83</v>
      </c>
      <c r="J1871" s="3" t="s">
        <v>3584</v>
      </c>
      <c r="K1871" t="s">
        <v>600</v>
      </c>
      <c r="L1871" s="4">
        <v>1</v>
      </c>
      <c r="M1871" s="4">
        <v>0</v>
      </c>
      <c r="N1871">
        <v>1</v>
      </c>
      <c r="O1871" t="s">
        <v>146</v>
      </c>
      <c r="P1871">
        <v>24</v>
      </c>
      <c r="Q1871">
        <f>QtyRemaining*EstMfgMin/60</f>
        <v>0.4</v>
      </c>
      <c r="U1871" t="e">
        <f t="shared" si="60"/>
        <v>#REF!</v>
      </c>
      <c r="V1871" s="5" t="e">
        <f t="shared" si="61"/>
        <v>#REF!</v>
      </c>
    </row>
    <row r="1872" spans="1:22" x14ac:dyDescent="0.25">
      <c r="A1872" s="2">
        <v>46373</v>
      </c>
      <c r="B1872" s="2">
        <v>45636</v>
      </c>
      <c r="C1872" t="s">
        <v>570</v>
      </c>
      <c r="D1872">
        <v>51</v>
      </c>
      <c r="E1872" t="s">
        <v>597</v>
      </c>
      <c r="F1872" t="s">
        <v>261</v>
      </c>
      <c r="G1872" t="s">
        <v>510</v>
      </c>
      <c r="H1872" t="s">
        <v>598</v>
      </c>
      <c r="I1872" t="s">
        <v>83</v>
      </c>
      <c r="J1872" s="3" t="s">
        <v>3585</v>
      </c>
      <c r="K1872" t="s">
        <v>3580</v>
      </c>
      <c r="L1872" s="4">
        <v>1</v>
      </c>
      <c r="M1872" s="4">
        <v>0</v>
      </c>
      <c r="N1872">
        <v>1</v>
      </c>
      <c r="O1872" t="s">
        <v>146</v>
      </c>
      <c r="P1872">
        <v>14</v>
      </c>
      <c r="Q1872">
        <f>QtyRemaining*EstMfgMin/60</f>
        <v>0.23333333333333334</v>
      </c>
      <c r="U1872" t="e">
        <f t="shared" si="60"/>
        <v>#REF!</v>
      </c>
      <c r="V1872" s="5" t="e">
        <f t="shared" si="61"/>
        <v>#REF!</v>
      </c>
    </row>
    <row r="1873" spans="1:22" x14ac:dyDescent="0.25">
      <c r="A1873" s="2">
        <v>46373</v>
      </c>
      <c r="B1873" s="2">
        <v>45636</v>
      </c>
      <c r="C1873" t="s">
        <v>570</v>
      </c>
      <c r="D1873">
        <v>51</v>
      </c>
      <c r="E1873" t="s">
        <v>597</v>
      </c>
      <c r="F1873" t="s">
        <v>261</v>
      </c>
      <c r="G1873" t="s">
        <v>510</v>
      </c>
      <c r="H1873" t="s">
        <v>598</v>
      </c>
      <c r="I1873" t="s">
        <v>83</v>
      </c>
      <c r="J1873" s="3" t="s">
        <v>3586</v>
      </c>
      <c r="K1873" t="s">
        <v>3580</v>
      </c>
      <c r="L1873" s="4">
        <v>1</v>
      </c>
      <c r="M1873" s="4">
        <v>0</v>
      </c>
      <c r="N1873">
        <v>1</v>
      </c>
      <c r="O1873" t="s">
        <v>146</v>
      </c>
      <c r="P1873">
        <v>14</v>
      </c>
      <c r="Q1873">
        <f>QtyRemaining*EstMfgMin/60</f>
        <v>0.23333333333333334</v>
      </c>
      <c r="U1873" t="e">
        <f t="shared" si="60"/>
        <v>#REF!</v>
      </c>
      <c r="V1873" s="5" t="e">
        <f t="shared" si="61"/>
        <v>#REF!</v>
      </c>
    </row>
    <row r="1874" spans="1:22" x14ac:dyDescent="0.25">
      <c r="A1874" s="2">
        <v>46373</v>
      </c>
      <c r="B1874" s="2">
        <v>45636</v>
      </c>
      <c r="C1874" t="s">
        <v>570</v>
      </c>
      <c r="D1874">
        <v>51</v>
      </c>
      <c r="E1874" t="s">
        <v>597</v>
      </c>
      <c r="F1874" t="s">
        <v>261</v>
      </c>
      <c r="G1874" t="s">
        <v>510</v>
      </c>
      <c r="H1874" t="s">
        <v>598</v>
      </c>
      <c r="I1874" t="s">
        <v>83</v>
      </c>
      <c r="J1874" s="3" t="s">
        <v>3587</v>
      </c>
      <c r="K1874" t="s">
        <v>612</v>
      </c>
      <c r="L1874" s="4">
        <v>1</v>
      </c>
      <c r="M1874" s="4">
        <v>0</v>
      </c>
      <c r="N1874">
        <v>1</v>
      </c>
      <c r="O1874" t="s">
        <v>146</v>
      </c>
      <c r="P1874">
        <v>14</v>
      </c>
      <c r="Q1874">
        <f>QtyRemaining*EstMfgMin/60</f>
        <v>0.23333333333333334</v>
      </c>
      <c r="U1874" t="e">
        <f t="shared" si="60"/>
        <v>#REF!</v>
      </c>
      <c r="V1874" s="5" t="e">
        <f t="shared" si="61"/>
        <v>#REF!</v>
      </c>
    </row>
    <row r="1875" spans="1:22" x14ac:dyDescent="0.25">
      <c r="A1875" s="2">
        <v>46373</v>
      </c>
      <c r="B1875" s="2">
        <v>45636</v>
      </c>
      <c r="C1875" t="s">
        <v>570</v>
      </c>
      <c r="D1875">
        <v>51</v>
      </c>
      <c r="E1875" t="s">
        <v>597</v>
      </c>
      <c r="F1875" t="s">
        <v>261</v>
      </c>
      <c r="G1875" t="s">
        <v>510</v>
      </c>
      <c r="H1875" t="s">
        <v>598</v>
      </c>
      <c r="I1875" t="s">
        <v>83</v>
      </c>
      <c r="J1875" s="3" t="s">
        <v>3588</v>
      </c>
      <c r="K1875" t="s">
        <v>3580</v>
      </c>
      <c r="L1875" s="4">
        <v>1</v>
      </c>
      <c r="M1875" s="4">
        <v>0</v>
      </c>
      <c r="N1875">
        <v>1</v>
      </c>
      <c r="O1875" t="s">
        <v>146</v>
      </c>
      <c r="P1875">
        <v>14</v>
      </c>
      <c r="Q1875">
        <f>QtyRemaining*EstMfgMin/60</f>
        <v>0.23333333333333334</v>
      </c>
      <c r="U1875" t="e">
        <f t="shared" si="60"/>
        <v>#REF!</v>
      </c>
      <c r="V1875" s="5" t="e">
        <f t="shared" si="61"/>
        <v>#REF!</v>
      </c>
    </row>
    <row r="1876" spans="1:22" x14ac:dyDescent="0.25">
      <c r="A1876" s="2">
        <v>46373</v>
      </c>
      <c r="B1876" s="2">
        <v>45636</v>
      </c>
      <c r="C1876" t="s">
        <v>570</v>
      </c>
      <c r="D1876">
        <v>51</v>
      </c>
      <c r="E1876" t="s">
        <v>597</v>
      </c>
      <c r="F1876" t="s">
        <v>261</v>
      </c>
      <c r="G1876" t="s">
        <v>510</v>
      </c>
      <c r="H1876" t="s">
        <v>598</v>
      </c>
      <c r="I1876" t="s">
        <v>83</v>
      </c>
      <c r="J1876" s="3" t="s">
        <v>3589</v>
      </c>
      <c r="K1876" t="s">
        <v>600</v>
      </c>
      <c r="L1876" s="4">
        <v>1</v>
      </c>
      <c r="M1876" s="4">
        <v>0</v>
      </c>
      <c r="N1876">
        <v>1</v>
      </c>
      <c r="O1876" t="s">
        <v>146</v>
      </c>
      <c r="P1876">
        <v>15</v>
      </c>
      <c r="Q1876">
        <f>QtyRemaining*EstMfgMin/60</f>
        <v>0.25</v>
      </c>
      <c r="U1876" t="e">
        <f t="shared" si="60"/>
        <v>#REF!</v>
      </c>
      <c r="V1876" s="5" t="e">
        <f t="shared" si="61"/>
        <v>#REF!</v>
      </c>
    </row>
    <row r="1877" spans="1:22" x14ac:dyDescent="0.25">
      <c r="A1877" s="2">
        <v>46373</v>
      </c>
      <c r="B1877" s="2">
        <v>45636</v>
      </c>
      <c r="C1877" t="s">
        <v>570</v>
      </c>
      <c r="D1877">
        <v>51</v>
      </c>
      <c r="E1877" t="s">
        <v>597</v>
      </c>
      <c r="F1877" t="s">
        <v>261</v>
      </c>
      <c r="G1877" t="s">
        <v>510</v>
      </c>
      <c r="H1877" t="s">
        <v>598</v>
      </c>
      <c r="I1877" t="s">
        <v>83</v>
      </c>
      <c r="J1877" s="3" t="s">
        <v>3590</v>
      </c>
      <c r="K1877" t="s">
        <v>3591</v>
      </c>
      <c r="L1877" s="4">
        <v>1</v>
      </c>
      <c r="M1877" s="4">
        <v>0</v>
      </c>
      <c r="N1877">
        <v>1</v>
      </c>
      <c r="O1877" t="s">
        <v>146</v>
      </c>
      <c r="P1877">
        <v>14</v>
      </c>
      <c r="Q1877">
        <f>QtyRemaining*EstMfgMin/60</f>
        <v>0.23333333333333334</v>
      </c>
      <c r="U1877" t="e">
        <f t="shared" si="60"/>
        <v>#REF!</v>
      </c>
      <c r="V1877" s="5" t="e">
        <f t="shared" si="61"/>
        <v>#REF!</v>
      </c>
    </row>
    <row r="1878" spans="1:22" x14ac:dyDescent="0.25">
      <c r="A1878" s="2">
        <v>46373</v>
      </c>
      <c r="B1878" s="2">
        <v>45636</v>
      </c>
      <c r="C1878" t="s">
        <v>570</v>
      </c>
      <c r="D1878">
        <v>51</v>
      </c>
      <c r="E1878" t="s">
        <v>597</v>
      </c>
      <c r="F1878" t="s">
        <v>261</v>
      </c>
      <c r="G1878" t="s">
        <v>510</v>
      </c>
      <c r="H1878" t="s">
        <v>598</v>
      </c>
      <c r="I1878" t="s">
        <v>83</v>
      </c>
      <c r="J1878" s="3" t="s">
        <v>3592</v>
      </c>
      <c r="K1878" t="s">
        <v>612</v>
      </c>
      <c r="L1878" s="4">
        <v>1</v>
      </c>
      <c r="M1878" s="4">
        <v>0</v>
      </c>
      <c r="N1878">
        <v>1</v>
      </c>
      <c r="O1878" t="s">
        <v>146</v>
      </c>
      <c r="P1878">
        <v>14</v>
      </c>
      <c r="Q1878">
        <f>QtyRemaining*EstMfgMin/60</f>
        <v>0.23333333333333334</v>
      </c>
      <c r="U1878" t="e">
        <f t="shared" si="60"/>
        <v>#REF!</v>
      </c>
      <c r="V1878" s="5" t="e">
        <f t="shared" si="61"/>
        <v>#REF!</v>
      </c>
    </row>
    <row r="1879" spans="1:22" x14ac:dyDescent="0.25">
      <c r="A1879" s="2">
        <v>46373</v>
      </c>
      <c r="B1879" s="2">
        <v>45636</v>
      </c>
      <c r="C1879" t="s">
        <v>570</v>
      </c>
      <c r="D1879">
        <v>51</v>
      </c>
      <c r="E1879" t="s">
        <v>597</v>
      </c>
      <c r="F1879" t="s">
        <v>261</v>
      </c>
      <c r="G1879" t="s">
        <v>510</v>
      </c>
      <c r="H1879" t="s">
        <v>598</v>
      </c>
      <c r="I1879" t="s">
        <v>83</v>
      </c>
      <c r="J1879" s="3" t="s">
        <v>3593</v>
      </c>
      <c r="K1879" t="s">
        <v>612</v>
      </c>
      <c r="L1879" s="4">
        <v>1</v>
      </c>
      <c r="M1879" s="4">
        <v>0</v>
      </c>
      <c r="N1879">
        <v>1</v>
      </c>
      <c r="O1879" t="s">
        <v>146</v>
      </c>
      <c r="P1879">
        <v>14</v>
      </c>
      <c r="Q1879">
        <f>QtyRemaining*EstMfgMin/60</f>
        <v>0.23333333333333334</v>
      </c>
      <c r="U1879" t="e">
        <f t="shared" si="60"/>
        <v>#REF!</v>
      </c>
      <c r="V1879" s="5" t="e">
        <f t="shared" si="61"/>
        <v>#REF!</v>
      </c>
    </row>
    <row r="1880" spans="1:22" x14ac:dyDescent="0.25">
      <c r="A1880" s="2">
        <v>46373</v>
      </c>
      <c r="B1880" s="2">
        <v>45636</v>
      </c>
      <c r="C1880" t="s">
        <v>570</v>
      </c>
      <c r="D1880">
        <v>51</v>
      </c>
      <c r="E1880" t="s">
        <v>597</v>
      </c>
      <c r="F1880" t="s">
        <v>261</v>
      </c>
      <c r="G1880" t="s">
        <v>510</v>
      </c>
      <c r="H1880" t="s">
        <v>598</v>
      </c>
      <c r="I1880" t="s">
        <v>83</v>
      </c>
      <c r="J1880" s="3" t="s">
        <v>3594</v>
      </c>
      <c r="K1880" t="s">
        <v>612</v>
      </c>
      <c r="L1880" s="4">
        <v>1</v>
      </c>
      <c r="M1880" s="4">
        <v>0</v>
      </c>
      <c r="N1880">
        <v>1</v>
      </c>
      <c r="O1880" t="s">
        <v>146</v>
      </c>
      <c r="P1880">
        <v>14</v>
      </c>
      <c r="Q1880">
        <f>QtyRemaining*EstMfgMin/60</f>
        <v>0.23333333333333334</v>
      </c>
      <c r="U1880" t="e">
        <f t="shared" si="60"/>
        <v>#REF!</v>
      </c>
      <c r="V1880" s="5" t="e">
        <f t="shared" si="61"/>
        <v>#REF!</v>
      </c>
    </row>
    <row r="1881" spans="1:22" x14ac:dyDescent="0.25">
      <c r="A1881" s="2">
        <v>46373</v>
      </c>
      <c r="B1881" s="2">
        <v>45636</v>
      </c>
      <c r="C1881" t="s">
        <v>570</v>
      </c>
      <c r="D1881">
        <v>51</v>
      </c>
      <c r="E1881" t="s">
        <v>597</v>
      </c>
      <c r="F1881" t="s">
        <v>261</v>
      </c>
      <c r="G1881" t="s">
        <v>510</v>
      </c>
      <c r="H1881" t="s">
        <v>598</v>
      </c>
      <c r="I1881" t="s">
        <v>83</v>
      </c>
      <c r="J1881" s="3" t="s">
        <v>3595</v>
      </c>
      <c r="K1881" t="s">
        <v>600</v>
      </c>
      <c r="L1881" s="4">
        <v>1</v>
      </c>
      <c r="M1881" s="4">
        <v>0</v>
      </c>
      <c r="N1881">
        <v>1</v>
      </c>
      <c r="O1881" t="s">
        <v>146</v>
      </c>
      <c r="P1881">
        <v>15</v>
      </c>
      <c r="Q1881">
        <f>QtyRemaining*EstMfgMin/60</f>
        <v>0.25</v>
      </c>
      <c r="U1881" t="e">
        <f t="shared" si="60"/>
        <v>#REF!</v>
      </c>
      <c r="V1881" s="5" t="e">
        <f t="shared" si="61"/>
        <v>#REF!</v>
      </c>
    </row>
    <row r="1882" spans="1:22" x14ac:dyDescent="0.25">
      <c r="A1882" s="2">
        <v>46373</v>
      </c>
      <c r="B1882" s="2">
        <v>45636</v>
      </c>
      <c r="C1882" t="s">
        <v>570</v>
      </c>
      <c r="D1882">
        <v>51</v>
      </c>
      <c r="E1882" t="s">
        <v>597</v>
      </c>
      <c r="F1882" t="s">
        <v>261</v>
      </c>
      <c r="G1882" t="s">
        <v>510</v>
      </c>
      <c r="H1882" t="s">
        <v>598</v>
      </c>
      <c r="I1882" t="s">
        <v>83</v>
      </c>
      <c r="J1882" s="3" t="s">
        <v>3596</v>
      </c>
      <c r="K1882" t="s">
        <v>3583</v>
      </c>
      <c r="L1882" s="4">
        <v>1</v>
      </c>
      <c r="M1882" s="4">
        <v>0</v>
      </c>
      <c r="N1882">
        <v>1</v>
      </c>
      <c r="O1882" t="s">
        <v>146</v>
      </c>
      <c r="P1882">
        <v>14</v>
      </c>
      <c r="Q1882">
        <f>QtyRemaining*EstMfgMin/60</f>
        <v>0.23333333333333334</v>
      </c>
      <c r="U1882" t="e">
        <f t="shared" si="60"/>
        <v>#REF!</v>
      </c>
      <c r="V1882" s="5" t="e">
        <f t="shared" si="61"/>
        <v>#REF!</v>
      </c>
    </row>
    <row r="1883" spans="1:22" x14ac:dyDescent="0.25">
      <c r="A1883" s="2">
        <v>46373</v>
      </c>
      <c r="B1883" s="2">
        <v>45636</v>
      </c>
      <c r="C1883" t="s">
        <v>570</v>
      </c>
      <c r="D1883">
        <v>51</v>
      </c>
      <c r="E1883" t="s">
        <v>597</v>
      </c>
      <c r="F1883" t="s">
        <v>261</v>
      </c>
      <c r="G1883" t="s">
        <v>510</v>
      </c>
      <c r="H1883" t="s">
        <v>598</v>
      </c>
      <c r="I1883" t="s">
        <v>83</v>
      </c>
      <c r="J1883" s="3" t="s">
        <v>3597</v>
      </c>
      <c r="K1883" t="s">
        <v>3583</v>
      </c>
      <c r="L1883" s="4">
        <v>1</v>
      </c>
      <c r="M1883" s="4">
        <v>0</v>
      </c>
      <c r="N1883">
        <v>1</v>
      </c>
      <c r="O1883" t="s">
        <v>146</v>
      </c>
      <c r="P1883">
        <v>14</v>
      </c>
      <c r="Q1883">
        <f>QtyRemaining*EstMfgMin/60</f>
        <v>0.23333333333333334</v>
      </c>
      <c r="U1883" t="e">
        <f t="shared" si="60"/>
        <v>#REF!</v>
      </c>
      <c r="V1883" s="5" t="e">
        <f t="shared" si="61"/>
        <v>#REF!</v>
      </c>
    </row>
    <row r="1884" spans="1:22" x14ac:dyDescent="0.25">
      <c r="A1884" s="2">
        <v>46373</v>
      </c>
      <c r="B1884" s="2">
        <v>45636</v>
      </c>
      <c r="C1884" t="s">
        <v>570</v>
      </c>
      <c r="D1884">
        <v>51</v>
      </c>
      <c r="E1884" t="s">
        <v>597</v>
      </c>
      <c r="F1884" t="s">
        <v>261</v>
      </c>
      <c r="G1884" t="s">
        <v>510</v>
      </c>
      <c r="H1884" t="s">
        <v>598</v>
      </c>
      <c r="I1884" t="s">
        <v>83</v>
      </c>
      <c r="J1884" s="3" t="s">
        <v>3598</v>
      </c>
      <c r="K1884" t="s">
        <v>3599</v>
      </c>
      <c r="L1884" s="4">
        <v>1</v>
      </c>
      <c r="M1884" s="4">
        <v>0</v>
      </c>
      <c r="N1884">
        <v>1</v>
      </c>
      <c r="O1884" t="s">
        <v>146</v>
      </c>
      <c r="P1884">
        <v>14</v>
      </c>
      <c r="Q1884">
        <f>QtyRemaining*EstMfgMin/60</f>
        <v>0.23333333333333334</v>
      </c>
      <c r="U1884" t="e">
        <f t="shared" si="60"/>
        <v>#REF!</v>
      </c>
      <c r="V1884" s="5" t="e">
        <f t="shared" si="61"/>
        <v>#REF!</v>
      </c>
    </row>
    <row r="1885" spans="1:22" x14ac:dyDescent="0.25">
      <c r="A1885" s="2">
        <v>46373</v>
      </c>
      <c r="B1885" s="2">
        <v>45636</v>
      </c>
      <c r="C1885" t="s">
        <v>570</v>
      </c>
      <c r="D1885">
        <v>51</v>
      </c>
      <c r="E1885" t="s">
        <v>597</v>
      </c>
      <c r="F1885" t="s">
        <v>261</v>
      </c>
      <c r="G1885" t="s">
        <v>510</v>
      </c>
      <c r="H1885" t="s">
        <v>598</v>
      </c>
      <c r="I1885" t="s">
        <v>874</v>
      </c>
      <c r="J1885" s="3" t="s">
        <v>875</v>
      </c>
      <c r="K1885" t="s">
        <v>1049</v>
      </c>
      <c r="L1885" s="4">
        <v>1</v>
      </c>
      <c r="M1885" s="4">
        <v>0</v>
      </c>
      <c r="N1885">
        <v>1</v>
      </c>
      <c r="P1885">
        <v>0</v>
      </c>
      <c r="Q1885">
        <f>QtyRemaining*EstMfgMin/60</f>
        <v>0</v>
      </c>
      <c r="U1885" t="e">
        <f t="shared" si="60"/>
        <v>#REF!</v>
      </c>
      <c r="V1885" s="5" t="e">
        <f t="shared" si="61"/>
        <v>#REF!</v>
      </c>
    </row>
    <row r="1886" spans="1:22" x14ac:dyDescent="0.25">
      <c r="A1886" s="2">
        <v>46373</v>
      </c>
      <c r="B1886" s="2">
        <v>45636</v>
      </c>
      <c r="C1886" t="s">
        <v>570</v>
      </c>
      <c r="D1886">
        <v>51</v>
      </c>
      <c r="E1886" t="s">
        <v>597</v>
      </c>
      <c r="F1886" t="s">
        <v>261</v>
      </c>
      <c r="G1886" t="s">
        <v>510</v>
      </c>
      <c r="H1886" t="s">
        <v>598</v>
      </c>
      <c r="I1886" t="s">
        <v>874</v>
      </c>
      <c r="J1886" s="3" t="s">
        <v>875</v>
      </c>
      <c r="K1886" t="s">
        <v>1049</v>
      </c>
      <c r="L1886" s="4">
        <v>1</v>
      </c>
      <c r="M1886" s="4">
        <v>0</v>
      </c>
      <c r="N1886">
        <v>1</v>
      </c>
      <c r="P1886">
        <v>0</v>
      </c>
      <c r="Q1886">
        <f>QtyRemaining*EstMfgMin/60</f>
        <v>0</v>
      </c>
      <c r="U1886" t="e">
        <f t="shared" si="60"/>
        <v>#REF!</v>
      </c>
      <c r="V1886" s="5" t="e">
        <f t="shared" si="61"/>
        <v>#REF!</v>
      </c>
    </row>
    <row r="1887" spans="1:22" x14ac:dyDescent="0.25">
      <c r="A1887" s="2">
        <v>46373</v>
      </c>
      <c r="B1887" s="2">
        <v>45636</v>
      </c>
      <c r="C1887" t="s">
        <v>570</v>
      </c>
      <c r="D1887">
        <v>51</v>
      </c>
      <c r="E1887" t="s">
        <v>597</v>
      </c>
      <c r="F1887" t="s">
        <v>261</v>
      </c>
      <c r="G1887" t="s">
        <v>510</v>
      </c>
      <c r="H1887" t="s">
        <v>598</v>
      </c>
      <c r="I1887" t="s">
        <v>874</v>
      </c>
      <c r="J1887" s="3" t="s">
        <v>875</v>
      </c>
      <c r="K1887" t="s">
        <v>1049</v>
      </c>
      <c r="L1887" s="4">
        <v>1</v>
      </c>
      <c r="M1887" s="4">
        <v>0</v>
      </c>
      <c r="N1887">
        <v>1</v>
      </c>
      <c r="P1887">
        <v>0</v>
      </c>
      <c r="Q1887">
        <f>QtyRemaining*EstMfgMin/60</f>
        <v>0</v>
      </c>
      <c r="U1887" t="e">
        <f t="shared" si="60"/>
        <v>#REF!</v>
      </c>
      <c r="V1887" s="5" t="e">
        <f t="shared" si="61"/>
        <v>#REF!</v>
      </c>
    </row>
    <row r="1888" spans="1:22" x14ac:dyDescent="0.25">
      <c r="A1888" s="2">
        <v>46373</v>
      </c>
      <c r="B1888" s="2">
        <v>45636</v>
      </c>
      <c r="C1888" t="s">
        <v>570</v>
      </c>
      <c r="D1888">
        <v>51</v>
      </c>
      <c r="E1888" t="s">
        <v>597</v>
      </c>
      <c r="F1888" t="s">
        <v>261</v>
      </c>
      <c r="G1888" t="s">
        <v>510</v>
      </c>
      <c r="H1888" t="s">
        <v>598</v>
      </c>
      <c r="I1888" t="s">
        <v>874</v>
      </c>
      <c r="J1888" s="3" t="s">
        <v>875</v>
      </c>
      <c r="K1888" t="s">
        <v>1049</v>
      </c>
      <c r="L1888" s="4">
        <v>1</v>
      </c>
      <c r="M1888" s="4">
        <v>0</v>
      </c>
      <c r="N1888">
        <v>1</v>
      </c>
      <c r="P1888">
        <v>0</v>
      </c>
      <c r="Q1888">
        <f>QtyRemaining*EstMfgMin/60</f>
        <v>0</v>
      </c>
      <c r="U1888" t="e">
        <f t="shared" si="60"/>
        <v>#REF!</v>
      </c>
      <c r="V1888" s="5" t="e">
        <f t="shared" si="61"/>
        <v>#REF!</v>
      </c>
    </row>
    <row r="1889" spans="1:22" x14ac:dyDescent="0.25">
      <c r="A1889" s="2">
        <v>46373</v>
      </c>
      <c r="B1889" s="2">
        <v>45636</v>
      </c>
      <c r="C1889" t="s">
        <v>570</v>
      </c>
      <c r="D1889">
        <v>51</v>
      </c>
      <c r="E1889" t="s">
        <v>597</v>
      </c>
      <c r="F1889" t="s">
        <v>261</v>
      </c>
      <c r="G1889" t="s">
        <v>510</v>
      </c>
      <c r="H1889" t="s">
        <v>598</v>
      </c>
      <c r="I1889" t="s">
        <v>874</v>
      </c>
      <c r="J1889" s="3" t="s">
        <v>875</v>
      </c>
      <c r="K1889" t="s">
        <v>1049</v>
      </c>
      <c r="L1889" s="4">
        <v>1</v>
      </c>
      <c r="M1889" s="4">
        <v>0</v>
      </c>
      <c r="N1889">
        <v>1</v>
      </c>
      <c r="P1889">
        <v>0</v>
      </c>
      <c r="Q1889">
        <f>QtyRemaining*EstMfgMin/60</f>
        <v>0</v>
      </c>
      <c r="U1889" t="e">
        <f t="shared" si="60"/>
        <v>#REF!</v>
      </c>
      <c r="V1889" s="5" t="e">
        <f t="shared" si="61"/>
        <v>#REF!</v>
      </c>
    </row>
    <row r="1890" spans="1:22" x14ac:dyDescent="0.25">
      <c r="A1890" s="2">
        <v>46373</v>
      </c>
      <c r="B1890" s="2">
        <v>45636</v>
      </c>
      <c r="C1890" t="s">
        <v>570</v>
      </c>
      <c r="D1890">
        <v>51</v>
      </c>
      <c r="E1890" t="s">
        <v>597</v>
      </c>
      <c r="F1890" t="s">
        <v>261</v>
      </c>
      <c r="G1890" t="s">
        <v>510</v>
      </c>
      <c r="H1890" t="s">
        <v>598</v>
      </c>
      <c r="I1890" t="s">
        <v>874</v>
      </c>
      <c r="J1890" s="3" t="s">
        <v>875</v>
      </c>
      <c r="K1890" t="s">
        <v>1049</v>
      </c>
      <c r="L1890" s="4">
        <v>1</v>
      </c>
      <c r="M1890" s="4">
        <v>0</v>
      </c>
      <c r="N1890">
        <v>1</v>
      </c>
      <c r="P1890">
        <v>0</v>
      </c>
      <c r="Q1890">
        <f>QtyRemaining*EstMfgMin/60</f>
        <v>0</v>
      </c>
      <c r="U1890" t="e">
        <f t="shared" si="60"/>
        <v>#REF!</v>
      </c>
      <c r="V1890" s="5" t="e">
        <f t="shared" si="61"/>
        <v>#REF!</v>
      </c>
    </row>
    <row r="1891" spans="1:22" x14ac:dyDescent="0.25">
      <c r="A1891" s="2">
        <v>46373</v>
      </c>
      <c r="B1891" s="2">
        <v>45636</v>
      </c>
      <c r="C1891" t="s">
        <v>570</v>
      </c>
      <c r="D1891">
        <v>51</v>
      </c>
      <c r="E1891" t="s">
        <v>597</v>
      </c>
      <c r="F1891" t="s">
        <v>261</v>
      </c>
      <c r="G1891" t="s">
        <v>510</v>
      </c>
      <c r="H1891" t="s">
        <v>598</v>
      </c>
      <c r="I1891" t="s">
        <v>874</v>
      </c>
      <c r="J1891" s="3" t="s">
        <v>875</v>
      </c>
      <c r="K1891" t="s">
        <v>1049</v>
      </c>
      <c r="L1891" s="4">
        <v>1</v>
      </c>
      <c r="M1891" s="4">
        <v>0</v>
      </c>
      <c r="N1891">
        <v>1</v>
      </c>
      <c r="P1891">
        <v>0</v>
      </c>
      <c r="Q1891">
        <f>QtyRemaining*EstMfgMin/60</f>
        <v>0</v>
      </c>
      <c r="U1891" t="e">
        <f t="shared" si="60"/>
        <v>#REF!</v>
      </c>
      <c r="V1891" s="5" t="e">
        <f t="shared" si="61"/>
        <v>#REF!</v>
      </c>
    </row>
    <row r="1892" spans="1:22" x14ac:dyDescent="0.25">
      <c r="A1892" s="2">
        <v>46373</v>
      </c>
      <c r="B1892" s="2">
        <v>45636</v>
      </c>
      <c r="C1892" t="s">
        <v>570</v>
      </c>
      <c r="D1892">
        <v>51</v>
      </c>
      <c r="E1892" t="s">
        <v>597</v>
      </c>
      <c r="F1892" t="s">
        <v>261</v>
      </c>
      <c r="G1892" t="s">
        <v>510</v>
      </c>
      <c r="H1892" t="s">
        <v>598</v>
      </c>
      <c r="I1892" t="s">
        <v>874</v>
      </c>
      <c r="J1892" s="3" t="s">
        <v>875</v>
      </c>
      <c r="K1892" t="s">
        <v>1049</v>
      </c>
      <c r="L1892" s="4">
        <v>1</v>
      </c>
      <c r="M1892" s="4">
        <v>0</v>
      </c>
      <c r="N1892">
        <v>1</v>
      </c>
      <c r="P1892">
        <v>0</v>
      </c>
      <c r="Q1892">
        <f>QtyRemaining*EstMfgMin/60</f>
        <v>0</v>
      </c>
      <c r="U1892" t="e">
        <f t="shared" si="60"/>
        <v>#REF!</v>
      </c>
      <c r="V1892" s="5" t="e">
        <f t="shared" si="61"/>
        <v>#REF!</v>
      </c>
    </row>
    <row r="1893" spans="1:22" x14ac:dyDescent="0.25">
      <c r="A1893" s="2">
        <v>46373</v>
      </c>
      <c r="B1893" s="2">
        <v>45636</v>
      </c>
      <c r="C1893" t="s">
        <v>570</v>
      </c>
      <c r="D1893">
        <v>51</v>
      </c>
      <c r="E1893" t="s">
        <v>597</v>
      </c>
      <c r="F1893" t="s">
        <v>261</v>
      </c>
      <c r="G1893" t="s">
        <v>510</v>
      </c>
      <c r="H1893" t="s">
        <v>598</v>
      </c>
      <c r="I1893" t="s">
        <v>874</v>
      </c>
      <c r="J1893" s="3" t="s">
        <v>875</v>
      </c>
      <c r="K1893" t="s">
        <v>1049</v>
      </c>
      <c r="L1893" s="4">
        <v>1</v>
      </c>
      <c r="M1893" s="4">
        <v>0</v>
      </c>
      <c r="N1893">
        <v>1</v>
      </c>
      <c r="P1893">
        <v>0</v>
      </c>
      <c r="Q1893">
        <f>QtyRemaining*EstMfgMin/60</f>
        <v>0</v>
      </c>
      <c r="U1893" t="e">
        <f t="shared" si="60"/>
        <v>#REF!</v>
      </c>
      <c r="V1893" s="5" t="e">
        <f t="shared" si="61"/>
        <v>#REF!</v>
      </c>
    </row>
    <row r="1894" spans="1:22" x14ac:dyDescent="0.25">
      <c r="A1894" s="2">
        <v>46373</v>
      </c>
      <c r="B1894" s="2">
        <v>45636</v>
      </c>
      <c r="C1894" t="s">
        <v>570</v>
      </c>
      <c r="D1894">
        <v>51</v>
      </c>
      <c r="E1894" t="s">
        <v>597</v>
      </c>
      <c r="F1894" t="s">
        <v>261</v>
      </c>
      <c r="G1894" t="s">
        <v>510</v>
      </c>
      <c r="H1894" t="s">
        <v>598</v>
      </c>
      <c r="I1894" t="s">
        <v>874</v>
      </c>
      <c r="J1894" s="3" t="s">
        <v>875</v>
      </c>
      <c r="K1894" t="s">
        <v>1049</v>
      </c>
      <c r="L1894" s="4">
        <v>1</v>
      </c>
      <c r="M1894" s="4">
        <v>0</v>
      </c>
      <c r="N1894">
        <v>1</v>
      </c>
      <c r="P1894">
        <v>0</v>
      </c>
      <c r="Q1894">
        <f>QtyRemaining*EstMfgMin/60</f>
        <v>0</v>
      </c>
      <c r="U1894" t="e">
        <f t="shared" si="60"/>
        <v>#REF!</v>
      </c>
      <c r="V1894" s="5" t="e">
        <f t="shared" si="61"/>
        <v>#REF!</v>
      </c>
    </row>
    <row r="1895" spans="1:22" x14ac:dyDescent="0.25">
      <c r="A1895" s="2">
        <v>46373</v>
      </c>
      <c r="B1895" s="2">
        <v>45636</v>
      </c>
      <c r="C1895" t="s">
        <v>570</v>
      </c>
      <c r="D1895">
        <v>51</v>
      </c>
      <c r="E1895" t="s">
        <v>597</v>
      </c>
      <c r="F1895" t="s">
        <v>261</v>
      </c>
      <c r="G1895" t="s">
        <v>510</v>
      </c>
      <c r="H1895" t="s">
        <v>598</v>
      </c>
      <c r="I1895" t="s">
        <v>874</v>
      </c>
      <c r="J1895" s="3" t="s">
        <v>875</v>
      </c>
      <c r="K1895" t="s">
        <v>1049</v>
      </c>
      <c r="L1895" s="4">
        <v>1</v>
      </c>
      <c r="M1895" s="4">
        <v>0</v>
      </c>
      <c r="N1895">
        <v>1</v>
      </c>
      <c r="P1895">
        <v>0</v>
      </c>
      <c r="Q1895">
        <f>QtyRemaining*EstMfgMin/60</f>
        <v>0</v>
      </c>
      <c r="U1895" t="e">
        <f t="shared" si="60"/>
        <v>#REF!</v>
      </c>
      <c r="V1895" s="5" t="e">
        <f t="shared" si="61"/>
        <v>#REF!</v>
      </c>
    </row>
    <row r="1896" spans="1:22" x14ac:dyDescent="0.25">
      <c r="A1896" s="2">
        <v>46373</v>
      </c>
      <c r="B1896" s="2">
        <v>45636</v>
      </c>
      <c r="C1896" t="s">
        <v>570</v>
      </c>
      <c r="D1896">
        <v>51</v>
      </c>
      <c r="E1896" t="s">
        <v>597</v>
      </c>
      <c r="F1896" t="s">
        <v>261</v>
      </c>
      <c r="G1896" t="s">
        <v>510</v>
      </c>
      <c r="H1896" t="s">
        <v>598</v>
      </c>
      <c r="I1896" t="s">
        <v>874</v>
      </c>
      <c r="J1896" s="3" t="s">
        <v>875</v>
      </c>
      <c r="K1896" t="s">
        <v>1049</v>
      </c>
      <c r="L1896" s="4">
        <v>1</v>
      </c>
      <c r="M1896" s="4">
        <v>0</v>
      </c>
      <c r="N1896">
        <v>1</v>
      </c>
      <c r="P1896">
        <v>0</v>
      </c>
      <c r="Q1896">
        <f>QtyRemaining*EstMfgMin/60</f>
        <v>0</v>
      </c>
      <c r="U1896" t="e">
        <f t="shared" si="60"/>
        <v>#REF!</v>
      </c>
      <c r="V1896" s="5" t="e">
        <f t="shared" si="61"/>
        <v>#REF!</v>
      </c>
    </row>
    <row r="1897" spans="1:22" x14ac:dyDescent="0.25">
      <c r="A1897" s="2">
        <v>46373</v>
      </c>
      <c r="B1897" s="2">
        <v>45636</v>
      </c>
      <c r="C1897" t="s">
        <v>570</v>
      </c>
      <c r="D1897">
        <v>51</v>
      </c>
      <c r="E1897" t="s">
        <v>597</v>
      </c>
      <c r="F1897" t="s">
        <v>261</v>
      </c>
      <c r="G1897" t="s">
        <v>510</v>
      </c>
      <c r="H1897" t="s">
        <v>598</v>
      </c>
      <c r="I1897" t="s">
        <v>874</v>
      </c>
      <c r="J1897" s="3" t="s">
        <v>875</v>
      </c>
      <c r="K1897" t="s">
        <v>1049</v>
      </c>
      <c r="L1897" s="4">
        <v>1</v>
      </c>
      <c r="M1897" s="4">
        <v>0</v>
      </c>
      <c r="N1897">
        <v>1</v>
      </c>
      <c r="P1897">
        <v>0</v>
      </c>
      <c r="Q1897">
        <f>QtyRemaining*EstMfgMin/60</f>
        <v>0</v>
      </c>
      <c r="U1897" t="e">
        <f t="shared" si="60"/>
        <v>#REF!</v>
      </c>
      <c r="V1897" s="5" t="e">
        <f t="shared" si="61"/>
        <v>#REF!</v>
      </c>
    </row>
    <row r="1898" spans="1:22" x14ac:dyDescent="0.25">
      <c r="A1898" s="2">
        <v>46373</v>
      </c>
      <c r="B1898" s="2">
        <v>45636</v>
      </c>
      <c r="C1898" t="s">
        <v>570</v>
      </c>
      <c r="D1898">
        <v>51</v>
      </c>
      <c r="E1898" t="s">
        <v>597</v>
      </c>
      <c r="F1898" t="s">
        <v>261</v>
      </c>
      <c r="G1898" t="s">
        <v>510</v>
      </c>
      <c r="H1898" t="s">
        <v>598</v>
      </c>
      <c r="I1898" t="s">
        <v>874</v>
      </c>
      <c r="J1898" s="3" t="s">
        <v>875</v>
      </c>
      <c r="K1898" t="s">
        <v>1049</v>
      </c>
      <c r="L1898" s="4">
        <v>1</v>
      </c>
      <c r="M1898" s="4">
        <v>0</v>
      </c>
      <c r="N1898">
        <v>1</v>
      </c>
      <c r="P1898">
        <v>0</v>
      </c>
      <c r="Q1898">
        <f>QtyRemaining*EstMfgMin/60</f>
        <v>0</v>
      </c>
      <c r="U1898" t="e">
        <f t="shared" si="60"/>
        <v>#REF!</v>
      </c>
      <c r="V1898" s="5" t="e">
        <f t="shared" si="61"/>
        <v>#REF!</v>
      </c>
    </row>
    <row r="1899" spans="1:22" x14ac:dyDescent="0.25">
      <c r="A1899" s="2">
        <v>46373</v>
      </c>
      <c r="B1899" s="2">
        <v>45636</v>
      </c>
      <c r="C1899" t="s">
        <v>570</v>
      </c>
      <c r="D1899">
        <v>51</v>
      </c>
      <c r="E1899" t="s">
        <v>597</v>
      </c>
      <c r="F1899" t="s">
        <v>261</v>
      </c>
      <c r="G1899" t="s">
        <v>510</v>
      </c>
      <c r="H1899" t="s">
        <v>598</v>
      </c>
      <c r="I1899" t="s">
        <v>874</v>
      </c>
      <c r="J1899" s="3" t="s">
        <v>875</v>
      </c>
      <c r="K1899" t="s">
        <v>1049</v>
      </c>
      <c r="L1899" s="4">
        <v>1</v>
      </c>
      <c r="M1899" s="4">
        <v>0</v>
      </c>
      <c r="N1899">
        <v>1</v>
      </c>
      <c r="P1899">
        <v>0</v>
      </c>
      <c r="Q1899">
        <f>QtyRemaining*EstMfgMin/60</f>
        <v>0</v>
      </c>
      <c r="U1899" t="e">
        <f t="shared" si="60"/>
        <v>#REF!</v>
      </c>
      <c r="V1899" s="5" t="e">
        <f t="shared" si="61"/>
        <v>#REF!</v>
      </c>
    </row>
    <row r="1900" spans="1:22" x14ac:dyDescent="0.25">
      <c r="A1900" s="2">
        <v>46373</v>
      </c>
      <c r="B1900" s="2">
        <v>45636</v>
      </c>
      <c r="C1900" t="s">
        <v>570</v>
      </c>
      <c r="D1900">
        <v>51</v>
      </c>
      <c r="E1900" t="s">
        <v>597</v>
      </c>
      <c r="F1900" t="s">
        <v>261</v>
      </c>
      <c r="G1900" t="s">
        <v>510</v>
      </c>
      <c r="H1900" t="s">
        <v>598</v>
      </c>
      <c r="I1900" t="s">
        <v>874</v>
      </c>
      <c r="J1900" s="3" t="s">
        <v>875</v>
      </c>
      <c r="K1900" t="s">
        <v>1049</v>
      </c>
      <c r="L1900" s="4">
        <v>1</v>
      </c>
      <c r="M1900" s="4">
        <v>0</v>
      </c>
      <c r="N1900">
        <v>1</v>
      </c>
      <c r="P1900">
        <v>0</v>
      </c>
      <c r="Q1900">
        <f>QtyRemaining*EstMfgMin/60</f>
        <v>0</v>
      </c>
      <c r="U1900" t="e">
        <f t="shared" si="60"/>
        <v>#REF!</v>
      </c>
      <c r="V1900" s="5" t="e">
        <f t="shared" si="61"/>
        <v>#REF!</v>
      </c>
    </row>
    <row r="1901" spans="1:22" x14ac:dyDescent="0.25">
      <c r="A1901" s="2">
        <v>46373</v>
      </c>
      <c r="B1901" s="2">
        <v>45636</v>
      </c>
      <c r="C1901" t="s">
        <v>570</v>
      </c>
      <c r="D1901">
        <v>51</v>
      </c>
      <c r="E1901" t="s">
        <v>597</v>
      </c>
      <c r="F1901" t="s">
        <v>261</v>
      </c>
      <c r="G1901" t="s">
        <v>510</v>
      </c>
      <c r="H1901" t="s">
        <v>598</v>
      </c>
      <c r="I1901" t="s">
        <v>874</v>
      </c>
      <c r="J1901" s="3" t="s">
        <v>875</v>
      </c>
      <c r="K1901" t="s">
        <v>1049</v>
      </c>
      <c r="L1901" s="4">
        <v>1</v>
      </c>
      <c r="M1901" s="4">
        <v>0</v>
      </c>
      <c r="N1901">
        <v>1</v>
      </c>
      <c r="P1901">
        <v>0</v>
      </c>
      <c r="Q1901">
        <f>QtyRemaining*EstMfgMin/60</f>
        <v>0</v>
      </c>
      <c r="U1901" t="e">
        <f t="shared" si="60"/>
        <v>#REF!</v>
      </c>
      <c r="V1901" s="5" t="e">
        <f t="shared" si="61"/>
        <v>#REF!</v>
      </c>
    </row>
    <row r="1902" spans="1:22" x14ac:dyDescent="0.25">
      <c r="A1902" s="2">
        <v>46373</v>
      </c>
      <c r="B1902" s="2">
        <v>45636</v>
      </c>
      <c r="C1902" t="s">
        <v>570</v>
      </c>
      <c r="D1902">
        <v>51</v>
      </c>
      <c r="E1902" t="s">
        <v>597</v>
      </c>
      <c r="F1902" t="s">
        <v>261</v>
      </c>
      <c r="G1902" t="s">
        <v>510</v>
      </c>
      <c r="H1902" t="s">
        <v>598</v>
      </c>
      <c r="I1902" t="s">
        <v>874</v>
      </c>
      <c r="J1902" s="3" t="s">
        <v>875</v>
      </c>
      <c r="K1902" t="s">
        <v>1049</v>
      </c>
      <c r="L1902" s="4">
        <v>1</v>
      </c>
      <c r="M1902" s="4">
        <v>0</v>
      </c>
      <c r="N1902">
        <v>1</v>
      </c>
      <c r="P1902">
        <v>0</v>
      </c>
      <c r="Q1902">
        <f>QtyRemaining*EstMfgMin/60</f>
        <v>0</v>
      </c>
      <c r="U1902" t="e">
        <f t="shared" si="60"/>
        <v>#REF!</v>
      </c>
      <c r="V1902" s="5" t="e">
        <f t="shared" si="61"/>
        <v>#REF!</v>
      </c>
    </row>
    <row r="1903" spans="1:22" x14ac:dyDescent="0.25">
      <c r="A1903" s="2">
        <v>46373</v>
      </c>
      <c r="B1903" s="2">
        <v>45636</v>
      </c>
      <c r="C1903" t="s">
        <v>570</v>
      </c>
      <c r="D1903">
        <v>51</v>
      </c>
      <c r="E1903" t="s">
        <v>597</v>
      </c>
      <c r="F1903" t="s">
        <v>261</v>
      </c>
      <c r="G1903" t="s">
        <v>510</v>
      </c>
      <c r="H1903" t="s">
        <v>598</v>
      </c>
      <c r="I1903" t="s">
        <v>874</v>
      </c>
      <c r="J1903" s="3" t="s">
        <v>875</v>
      </c>
      <c r="K1903" t="s">
        <v>1049</v>
      </c>
      <c r="L1903" s="4">
        <v>1</v>
      </c>
      <c r="M1903" s="4">
        <v>0</v>
      </c>
      <c r="N1903">
        <v>1</v>
      </c>
      <c r="P1903">
        <v>0</v>
      </c>
      <c r="Q1903">
        <f>QtyRemaining*EstMfgMin/60</f>
        <v>0</v>
      </c>
      <c r="U1903" t="e">
        <f t="shared" si="60"/>
        <v>#REF!</v>
      </c>
      <c r="V1903" s="5" t="e">
        <f t="shared" si="61"/>
        <v>#REF!</v>
      </c>
    </row>
    <row r="1904" spans="1:22" x14ac:dyDescent="0.25">
      <c r="A1904" s="2">
        <v>46373</v>
      </c>
      <c r="B1904" s="2">
        <v>45636</v>
      </c>
      <c r="C1904" t="s">
        <v>570</v>
      </c>
      <c r="D1904">
        <v>51</v>
      </c>
      <c r="E1904" t="s">
        <v>597</v>
      </c>
      <c r="F1904" t="s">
        <v>261</v>
      </c>
      <c r="G1904" t="s">
        <v>510</v>
      </c>
      <c r="H1904" t="s">
        <v>598</v>
      </c>
      <c r="I1904" t="s">
        <v>874</v>
      </c>
      <c r="J1904" s="3" t="s">
        <v>875</v>
      </c>
      <c r="K1904" t="s">
        <v>1049</v>
      </c>
      <c r="L1904" s="4">
        <v>1</v>
      </c>
      <c r="M1904" s="4">
        <v>0</v>
      </c>
      <c r="N1904">
        <v>1</v>
      </c>
      <c r="P1904">
        <v>0</v>
      </c>
      <c r="Q1904">
        <f>QtyRemaining*EstMfgMin/60</f>
        <v>0</v>
      </c>
      <c r="U1904" t="e">
        <f t="shared" si="60"/>
        <v>#REF!</v>
      </c>
      <c r="V1904" s="5" t="e">
        <f t="shared" si="61"/>
        <v>#REF!</v>
      </c>
    </row>
    <row r="1905" spans="1:22" x14ac:dyDescent="0.25">
      <c r="A1905" s="2">
        <v>46373</v>
      </c>
      <c r="B1905" s="2">
        <v>45636</v>
      </c>
      <c r="C1905" t="s">
        <v>570</v>
      </c>
      <c r="D1905">
        <v>51</v>
      </c>
      <c r="E1905" t="s">
        <v>597</v>
      </c>
      <c r="F1905" t="s">
        <v>261</v>
      </c>
      <c r="G1905" t="s">
        <v>510</v>
      </c>
      <c r="H1905" t="s">
        <v>598</v>
      </c>
      <c r="I1905" t="s">
        <v>874</v>
      </c>
      <c r="J1905" s="3" t="s">
        <v>875</v>
      </c>
      <c r="K1905" t="s">
        <v>1049</v>
      </c>
      <c r="L1905" s="4">
        <v>1</v>
      </c>
      <c r="M1905" s="4">
        <v>0</v>
      </c>
      <c r="N1905">
        <v>1</v>
      </c>
      <c r="P1905">
        <v>0</v>
      </c>
      <c r="Q1905">
        <f>QtyRemaining*EstMfgMin/60</f>
        <v>0</v>
      </c>
      <c r="U1905" t="e">
        <f t="shared" si="60"/>
        <v>#REF!</v>
      </c>
      <c r="V1905" s="5" t="e">
        <f t="shared" si="61"/>
        <v>#REF!</v>
      </c>
    </row>
    <row r="1906" spans="1:22" x14ac:dyDescent="0.25">
      <c r="A1906" s="2">
        <v>46373</v>
      </c>
      <c r="B1906" s="2">
        <v>45636</v>
      </c>
      <c r="C1906" t="s">
        <v>570</v>
      </c>
      <c r="D1906">
        <v>51</v>
      </c>
      <c r="E1906" t="s">
        <v>597</v>
      </c>
      <c r="F1906" t="s">
        <v>261</v>
      </c>
      <c r="G1906" t="s">
        <v>510</v>
      </c>
      <c r="H1906" t="s">
        <v>598</v>
      </c>
      <c r="I1906" t="s">
        <v>874</v>
      </c>
      <c r="J1906" s="3" t="s">
        <v>875</v>
      </c>
      <c r="K1906" t="s">
        <v>1049</v>
      </c>
      <c r="L1906" s="4">
        <v>1</v>
      </c>
      <c r="M1906" s="4">
        <v>0</v>
      </c>
      <c r="N1906">
        <v>1</v>
      </c>
      <c r="P1906">
        <v>0</v>
      </c>
      <c r="Q1906">
        <f>QtyRemaining*EstMfgMin/60</f>
        <v>0</v>
      </c>
      <c r="U1906" t="e">
        <f t="shared" si="60"/>
        <v>#REF!</v>
      </c>
      <c r="V1906" s="5" t="e">
        <f t="shared" si="61"/>
        <v>#REF!</v>
      </c>
    </row>
    <row r="1907" spans="1:22" x14ac:dyDescent="0.25">
      <c r="A1907" s="2">
        <v>46373</v>
      </c>
      <c r="B1907" s="2">
        <v>45636</v>
      </c>
      <c r="C1907" t="s">
        <v>570</v>
      </c>
      <c r="D1907">
        <v>51</v>
      </c>
      <c r="E1907" t="s">
        <v>597</v>
      </c>
      <c r="F1907" t="s">
        <v>261</v>
      </c>
      <c r="G1907" t="s">
        <v>510</v>
      </c>
      <c r="H1907" t="s">
        <v>598</v>
      </c>
      <c r="I1907" t="s">
        <v>874</v>
      </c>
      <c r="J1907" s="3" t="s">
        <v>875</v>
      </c>
      <c r="K1907" t="s">
        <v>1049</v>
      </c>
      <c r="L1907" s="4">
        <v>1</v>
      </c>
      <c r="M1907" s="4">
        <v>0</v>
      </c>
      <c r="N1907">
        <v>1</v>
      </c>
      <c r="P1907">
        <v>0</v>
      </c>
      <c r="Q1907">
        <f>QtyRemaining*EstMfgMin/60</f>
        <v>0</v>
      </c>
      <c r="U1907" t="e">
        <f t="shared" si="60"/>
        <v>#REF!</v>
      </c>
      <c r="V1907" s="5" t="e">
        <f t="shared" si="61"/>
        <v>#REF!</v>
      </c>
    </row>
    <row r="1908" spans="1:22" x14ac:dyDescent="0.25">
      <c r="A1908" s="2">
        <v>46373</v>
      </c>
      <c r="B1908" s="2">
        <v>45636</v>
      </c>
      <c r="C1908" t="s">
        <v>570</v>
      </c>
      <c r="D1908">
        <v>51</v>
      </c>
      <c r="E1908" t="s">
        <v>597</v>
      </c>
      <c r="F1908" t="s">
        <v>261</v>
      </c>
      <c r="G1908" t="s">
        <v>510</v>
      </c>
      <c r="H1908" t="s">
        <v>598</v>
      </c>
      <c r="I1908" t="s">
        <v>874</v>
      </c>
      <c r="J1908" s="3" t="s">
        <v>875</v>
      </c>
      <c r="K1908" t="s">
        <v>1049</v>
      </c>
      <c r="L1908" s="4">
        <v>1</v>
      </c>
      <c r="M1908" s="4">
        <v>0</v>
      </c>
      <c r="N1908">
        <v>1</v>
      </c>
      <c r="P1908">
        <v>0</v>
      </c>
      <c r="Q1908">
        <f>QtyRemaining*EstMfgMin/60</f>
        <v>0</v>
      </c>
      <c r="U1908" t="e">
        <f t="shared" si="60"/>
        <v>#REF!</v>
      </c>
      <c r="V1908" s="5" t="e">
        <f t="shared" si="61"/>
        <v>#REF!</v>
      </c>
    </row>
    <row r="1909" spans="1:22" x14ac:dyDescent="0.25">
      <c r="A1909" s="2">
        <v>46373</v>
      </c>
      <c r="B1909" s="2">
        <v>45636</v>
      </c>
      <c r="C1909" t="s">
        <v>570</v>
      </c>
      <c r="D1909">
        <v>51</v>
      </c>
      <c r="E1909" t="s">
        <v>597</v>
      </c>
      <c r="F1909" t="s">
        <v>261</v>
      </c>
      <c r="G1909" t="s">
        <v>510</v>
      </c>
      <c r="H1909" t="s">
        <v>598</v>
      </c>
      <c r="I1909" t="s">
        <v>874</v>
      </c>
      <c r="J1909" s="3" t="s">
        <v>875</v>
      </c>
      <c r="K1909" t="s">
        <v>1049</v>
      </c>
      <c r="L1909" s="4">
        <v>1</v>
      </c>
      <c r="M1909" s="4">
        <v>0</v>
      </c>
      <c r="N1909">
        <v>1</v>
      </c>
      <c r="P1909">
        <v>0</v>
      </c>
      <c r="Q1909">
        <f>QtyRemaining*EstMfgMin/60</f>
        <v>0</v>
      </c>
      <c r="U1909" t="e">
        <f t="shared" si="60"/>
        <v>#REF!</v>
      </c>
      <c r="V1909" s="5" t="e">
        <f t="shared" si="61"/>
        <v>#REF!</v>
      </c>
    </row>
    <row r="1910" spans="1:22" x14ac:dyDescent="0.25">
      <c r="A1910" s="2">
        <v>46373</v>
      </c>
      <c r="B1910" s="2">
        <v>45636</v>
      </c>
      <c r="C1910" t="s">
        <v>570</v>
      </c>
      <c r="D1910">
        <v>51</v>
      </c>
      <c r="E1910" t="s">
        <v>597</v>
      </c>
      <c r="F1910" t="s">
        <v>261</v>
      </c>
      <c r="G1910" t="s">
        <v>510</v>
      </c>
      <c r="H1910" t="s">
        <v>598</v>
      </c>
      <c r="I1910" t="s">
        <v>874</v>
      </c>
      <c r="J1910" s="3" t="s">
        <v>875</v>
      </c>
      <c r="K1910" t="s">
        <v>1049</v>
      </c>
      <c r="L1910" s="4">
        <v>1</v>
      </c>
      <c r="M1910" s="4">
        <v>0</v>
      </c>
      <c r="N1910">
        <v>1</v>
      </c>
      <c r="P1910">
        <v>0</v>
      </c>
      <c r="Q1910">
        <f>QtyRemaining*EstMfgMin/60</f>
        <v>0</v>
      </c>
      <c r="U1910" t="e">
        <f t="shared" si="60"/>
        <v>#REF!</v>
      </c>
      <c r="V1910" s="5" t="e">
        <f t="shared" si="61"/>
        <v>#REF!</v>
      </c>
    </row>
    <row r="1911" spans="1:22" x14ac:dyDescent="0.25">
      <c r="A1911" s="2">
        <v>46373</v>
      </c>
      <c r="B1911" s="2">
        <v>45636</v>
      </c>
      <c r="C1911" t="s">
        <v>570</v>
      </c>
      <c r="D1911">
        <v>51</v>
      </c>
      <c r="E1911" t="s">
        <v>597</v>
      </c>
      <c r="F1911" t="s">
        <v>261</v>
      </c>
      <c r="G1911" t="s">
        <v>510</v>
      </c>
      <c r="H1911" t="s">
        <v>598</v>
      </c>
      <c r="I1911" t="s">
        <v>874</v>
      </c>
      <c r="J1911" s="3" t="s">
        <v>875</v>
      </c>
      <c r="K1911" t="s">
        <v>1049</v>
      </c>
      <c r="L1911" s="4">
        <v>1</v>
      </c>
      <c r="M1911" s="4">
        <v>0</v>
      </c>
      <c r="N1911">
        <v>1</v>
      </c>
      <c r="P1911">
        <v>0</v>
      </c>
      <c r="Q1911">
        <f>QtyRemaining*EstMfgMin/60</f>
        <v>0</v>
      </c>
      <c r="U1911" t="e">
        <f t="shared" si="60"/>
        <v>#REF!</v>
      </c>
      <c r="V1911" s="5" t="e">
        <f t="shared" si="61"/>
        <v>#REF!</v>
      </c>
    </row>
    <row r="1912" spans="1:22" x14ac:dyDescent="0.25">
      <c r="A1912" s="2">
        <v>46373</v>
      </c>
      <c r="B1912" s="2">
        <v>45636</v>
      </c>
      <c r="C1912" t="s">
        <v>570</v>
      </c>
      <c r="D1912">
        <v>51</v>
      </c>
      <c r="E1912" t="s">
        <v>597</v>
      </c>
      <c r="F1912" t="s">
        <v>261</v>
      </c>
      <c r="G1912" t="s">
        <v>510</v>
      </c>
      <c r="H1912" t="s">
        <v>598</v>
      </c>
      <c r="I1912" t="s">
        <v>874</v>
      </c>
      <c r="J1912" s="3" t="s">
        <v>875</v>
      </c>
      <c r="K1912" t="s">
        <v>1049</v>
      </c>
      <c r="L1912" s="4">
        <v>1</v>
      </c>
      <c r="M1912" s="4">
        <v>0</v>
      </c>
      <c r="N1912">
        <v>1</v>
      </c>
      <c r="P1912">
        <v>0</v>
      </c>
      <c r="Q1912">
        <f>QtyRemaining*EstMfgMin/60</f>
        <v>0</v>
      </c>
      <c r="U1912" t="e">
        <f t="shared" si="60"/>
        <v>#REF!</v>
      </c>
      <c r="V1912" s="5" t="e">
        <f t="shared" si="61"/>
        <v>#REF!</v>
      </c>
    </row>
    <row r="1913" spans="1:22" x14ac:dyDescent="0.25">
      <c r="A1913" s="2">
        <v>46373</v>
      </c>
      <c r="B1913" s="2">
        <v>45636</v>
      </c>
      <c r="C1913" t="s">
        <v>570</v>
      </c>
      <c r="D1913">
        <v>51</v>
      </c>
      <c r="E1913" t="s">
        <v>597</v>
      </c>
      <c r="F1913" t="s">
        <v>261</v>
      </c>
      <c r="G1913" t="s">
        <v>510</v>
      </c>
      <c r="H1913" t="s">
        <v>598</v>
      </c>
      <c r="I1913" t="s">
        <v>874</v>
      </c>
      <c r="J1913" s="3" t="s">
        <v>875</v>
      </c>
      <c r="K1913" t="s">
        <v>1049</v>
      </c>
      <c r="L1913" s="4">
        <v>1</v>
      </c>
      <c r="M1913" s="4">
        <v>0</v>
      </c>
      <c r="N1913">
        <v>1</v>
      </c>
      <c r="P1913">
        <v>0</v>
      </c>
      <c r="Q1913">
        <f>QtyRemaining*EstMfgMin/60</f>
        <v>0</v>
      </c>
      <c r="U1913" t="e">
        <f t="shared" si="60"/>
        <v>#REF!</v>
      </c>
      <c r="V1913" s="5" t="e">
        <f t="shared" si="61"/>
        <v>#REF!</v>
      </c>
    </row>
    <row r="1914" spans="1:22" x14ac:dyDescent="0.25">
      <c r="A1914" s="2">
        <v>46373</v>
      </c>
      <c r="B1914" s="2">
        <v>45636</v>
      </c>
      <c r="C1914" t="s">
        <v>570</v>
      </c>
      <c r="D1914">
        <v>51</v>
      </c>
      <c r="E1914" t="s">
        <v>597</v>
      </c>
      <c r="F1914" t="s">
        <v>261</v>
      </c>
      <c r="G1914" t="s">
        <v>510</v>
      </c>
      <c r="H1914" t="s">
        <v>598</v>
      </c>
      <c r="I1914" t="s">
        <v>874</v>
      </c>
      <c r="J1914" s="3" t="s">
        <v>875</v>
      </c>
      <c r="K1914" t="s">
        <v>1049</v>
      </c>
      <c r="L1914" s="4">
        <v>1</v>
      </c>
      <c r="M1914" s="4">
        <v>0</v>
      </c>
      <c r="N1914">
        <v>1</v>
      </c>
      <c r="P1914">
        <v>0</v>
      </c>
      <c r="Q1914">
        <f>QtyRemaining*EstMfgMin/60</f>
        <v>0</v>
      </c>
      <c r="U1914" t="e">
        <f t="shared" si="60"/>
        <v>#REF!</v>
      </c>
      <c r="V1914" s="5" t="e">
        <f t="shared" si="61"/>
        <v>#REF!</v>
      </c>
    </row>
    <row r="1915" spans="1:22" x14ac:dyDescent="0.25">
      <c r="A1915" s="2">
        <v>46373</v>
      </c>
      <c r="B1915" s="2">
        <v>45636</v>
      </c>
      <c r="C1915" t="s">
        <v>570</v>
      </c>
      <c r="D1915">
        <v>51</v>
      </c>
      <c r="E1915" t="s">
        <v>597</v>
      </c>
      <c r="F1915" t="s">
        <v>261</v>
      </c>
      <c r="G1915" t="s">
        <v>510</v>
      </c>
      <c r="H1915" t="s">
        <v>598</v>
      </c>
      <c r="I1915" t="s">
        <v>874</v>
      </c>
      <c r="J1915" s="3" t="s">
        <v>875</v>
      </c>
      <c r="K1915" t="s">
        <v>1049</v>
      </c>
      <c r="L1915" s="4">
        <v>1</v>
      </c>
      <c r="M1915" s="4">
        <v>0</v>
      </c>
      <c r="N1915">
        <v>1</v>
      </c>
      <c r="P1915">
        <v>0</v>
      </c>
      <c r="Q1915">
        <f>QtyRemaining*EstMfgMin/60</f>
        <v>0</v>
      </c>
      <c r="U1915" t="e">
        <f t="shared" si="60"/>
        <v>#REF!</v>
      </c>
      <c r="V1915" s="5" t="e">
        <f t="shared" si="61"/>
        <v>#REF!</v>
      </c>
    </row>
    <row r="1916" spans="1:22" x14ac:dyDescent="0.25">
      <c r="A1916" s="2">
        <v>46373</v>
      </c>
      <c r="B1916" s="2">
        <v>45636</v>
      </c>
      <c r="C1916" t="s">
        <v>570</v>
      </c>
      <c r="D1916">
        <v>51</v>
      </c>
      <c r="E1916" t="s">
        <v>597</v>
      </c>
      <c r="F1916" t="s">
        <v>261</v>
      </c>
      <c r="G1916" t="s">
        <v>510</v>
      </c>
      <c r="H1916" t="s">
        <v>598</v>
      </c>
      <c r="I1916" t="s">
        <v>874</v>
      </c>
      <c r="J1916" s="3" t="s">
        <v>875</v>
      </c>
      <c r="K1916" t="s">
        <v>1049</v>
      </c>
      <c r="L1916" s="4">
        <v>1</v>
      </c>
      <c r="M1916" s="4">
        <v>0</v>
      </c>
      <c r="N1916">
        <v>1</v>
      </c>
      <c r="P1916">
        <v>0</v>
      </c>
      <c r="Q1916">
        <f>QtyRemaining*EstMfgMin/60</f>
        <v>0</v>
      </c>
      <c r="U1916" t="e">
        <f t="shared" si="60"/>
        <v>#REF!</v>
      </c>
      <c r="V1916" s="5" t="e">
        <f t="shared" si="61"/>
        <v>#REF!</v>
      </c>
    </row>
    <row r="1917" spans="1:22" x14ac:dyDescent="0.25">
      <c r="A1917" s="2">
        <v>46373</v>
      </c>
      <c r="B1917" s="2">
        <v>45636</v>
      </c>
      <c r="C1917" t="s">
        <v>570</v>
      </c>
      <c r="D1917">
        <v>51</v>
      </c>
      <c r="E1917" t="s">
        <v>597</v>
      </c>
      <c r="F1917" t="s">
        <v>261</v>
      </c>
      <c r="G1917" t="s">
        <v>510</v>
      </c>
      <c r="H1917" t="s">
        <v>598</v>
      </c>
      <c r="I1917" t="s">
        <v>874</v>
      </c>
      <c r="J1917" s="3" t="s">
        <v>875</v>
      </c>
      <c r="K1917" t="s">
        <v>1049</v>
      </c>
      <c r="L1917" s="4">
        <v>1</v>
      </c>
      <c r="M1917" s="4">
        <v>0</v>
      </c>
      <c r="N1917">
        <v>1</v>
      </c>
      <c r="P1917">
        <v>0</v>
      </c>
      <c r="Q1917">
        <f>QtyRemaining*EstMfgMin/60</f>
        <v>0</v>
      </c>
      <c r="U1917" t="e">
        <f t="shared" si="60"/>
        <v>#REF!</v>
      </c>
      <c r="V1917" s="5" t="e">
        <f t="shared" si="61"/>
        <v>#REF!</v>
      </c>
    </row>
    <row r="1918" spans="1:22" x14ac:dyDescent="0.25">
      <c r="A1918" s="2">
        <v>46373</v>
      </c>
      <c r="B1918" s="2">
        <v>45636</v>
      </c>
      <c r="C1918" t="s">
        <v>570</v>
      </c>
      <c r="D1918">
        <v>51</v>
      </c>
      <c r="E1918" t="s">
        <v>597</v>
      </c>
      <c r="F1918" t="s">
        <v>261</v>
      </c>
      <c r="G1918" t="s">
        <v>510</v>
      </c>
      <c r="H1918" t="s">
        <v>598</v>
      </c>
      <c r="I1918" t="s">
        <v>874</v>
      </c>
      <c r="J1918" s="3" t="s">
        <v>875</v>
      </c>
      <c r="K1918" t="s">
        <v>1049</v>
      </c>
      <c r="L1918" s="4">
        <v>1</v>
      </c>
      <c r="M1918" s="4">
        <v>0</v>
      </c>
      <c r="N1918">
        <v>1</v>
      </c>
      <c r="P1918">
        <v>0</v>
      </c>
      <c r="Q1918">
        <f>QtyRemaining*EstMfgMin/60</f>
        <v>0</v>
      </c>
      <c r="U1918" t="e">
        <f t="shared" si="60"/>
        <v>#REF!</v>
      </c>
      <c r="V1918" s="5" t="e">
        <f t="shared" si="61"/>
        <v>#REF!</v>
      </c>
    </row>
    <row r="1919" spans="1:22" x14ac:dyDescent="0.25">
      <c r="A1919" s="2">
        <v>46373</v>
      </c>
      <c r="B1919" s="2">
        <v>45636</v>
      </c>
      <c r="C1919" t="s">
        <v>570</v>
      </c>
      <c r="D1919">
        <v>51</v>
      </c>
      <c r="E1919" t="s">
        <v>597</v>
      </c>
      <c r="F1919" t="s">
        <v>261</v>
      </c>
      <c r="G1919" t="s">
        <v>510</v>
      </c>
      <c r="H1919" t="s">
        <v>598</v>
      </c>
      <c r="I1919" t="s">
        <v>874</v>
      </c>
      <c r="J1919" s="3" t="s">
        <v>875</v>
      </c>
      <c r="K1919" t="s">
        <v>1049</v>
      </c>
      <c r="L1919" s="4">
        <v>1</v>
      </c>
      <c r="M1919" s="4">
        <v>0</v>
      </c>
      <c r="N1919">
        <v>1</v>
      </c>
      <c r="P1919">
        <v>0</v>
      </c>
      <c r="Q1919">
        <f>QtyRemaining*EstMfgMin/60</f>
        <v>0</v>
      </c>
      <c r="U1919" t="e">
        <f t="shared" si="60"/>
        <v>#REF!</v>
      </c>
      <c r="V1919" s="5" t="e">
        <f t="shared" si="61"/>
        <v>#REF!</v>
      </c>
    </row>
    <row r="1920" spans="1:22" x14ac:dyDescent="0.25">
      <c r="A1920" s="2">
        <v>46373</v>
      </c>
      <c r="B1920" s="2">
        <v>45636</v>
      </c>
      <c r="C1920" t="s">
        <v>570</v>
      </c>
      <c r="D1920">
        <v>51</v>
      </c>
      <c r="E1920" t="s">
        <v>597</v>
      </c>
      <c r="F1920" t="s">
        <v>261</v>
      </c>
      <c r="G1920" t="s">
        <v>510</v>
      </c>
      <c r="H1920" t="s">
        <v>598</v>
      </c>
      <c r="I1920" t="s">
        <v>874</v>
      </c>
      <c r="J1920" s="3" t="s">
        <v>875</v>
      </c>
      <c r="K1920" t="s">
        <v>1049</v>
      </c>
      <c r="L1920" s="4">
        <v>1</v>
      </c>
      <c r="M1920" s="4">
        <v>0</v>
      </c>
      <c r="N1920">
        <v>1</v>
      </c>
      <c r="P1920">
        <v>0</v>
      </c>
      <c r="Q1920">
        <f>QtyRemaining*EstMfgMin/60</f>
        <v>0</v>
      </c>
      <c r="U1920" t="e">
        <f t="shared" si="60"/>
        <v>#REF!</v>
      </c>
      <c r="V1920" s="5" t="e">
        <f t="shared" si="61"/>
        <v>#REF!</v>
      </c>
    </row>
    <row r="1921" spans="1:22" x14ac:dyDescent="0.25">
      <c r="A1921" s="2">
        <v>46373</v>
      </c>
      <c r="B1921" s="2">
        <v>45636</v>
      </c>
      <c r="C1921" t="s">
        <v>570</v>
      </c>
      <c r="D1921">
        <v>51</v>
      </c>
      <c r="E1921" t="s">
        <v>597</v>
      </c>
      <c r="F1921" t="s">
        <v>261</v>
      </c>
      <c r="G1921" t="s">
        <v>510</v>
      </c>
      <c r="H1921" t="s">
        <v>598</v>
      </c>
      <c r="I1921" t="s">
        <v>874</v>
      </c>
      <c r="J1921" s="3" t="s">
        <v>875</v>
      </c>
      <c r="K1921" t="s">
        <v>1049</v>
      </c>
      <c r="L1921" s="4">
        <v>1</v>
      </c>
      <c r="M1921" s="4">
        <v>0</v>
      </c>
      <c r="N1921">
        <v>1</v>
      </c>
      <c r="P1921">
        <v>0</v>
      </c>
      <c r="Q1921">
        <f>QtyRemaining*EstMfgMin/60</f>
        <v>0</v>
      </c>
      <c r="U1921" t="e">
        <f t="shared" si="60"/>
        <v>#REF!</v>
      </c>
      <c r="V1921" s="5" t="e">
        <f t="shared" si="61"/>
        <v>#REF!</v>
      </c>
    </row>
    <row r="1922" spans="1:22" x14ac:dyDescent="0.25">
      <c r="A1922" s="2">
        <v>46373</v>
      </c>
      <c r="B1922" s="2">
        <v>45636</v>
      </c>
      <c r="C1922" t="s">
        <v>570</v>
      </c>
      <c r="D1922">
        <v>51</v>
      </c>
      <c r="E1922" t="s">
        <v>597</v>
      </c>
      <c r="F1922" t="s">
        <v>261</v>
      </c>
      <c r="G1922" t="s">
        <v>510</v>
      </c>
      <c r="H1922" t="s">
        <v>598</v>
      </c>
      <c r="I1922" t="s">
        <v>874</v>
      </c>
      <c r="J1922" s="3" t="s">
        <v>875</v>
      </c>
      <c r="K1922" t="s">
        <v>1049</v>
      </c>
      <c r="L1922" s="4">
        <v>1</v>
      </c>
      <c r="M1922" s="4">
        <v>0</v>
      </c>
      <c r="N1922">
        <v>1</v>
      </c>
      <c r="P1922">
        <v>0</v>
      </c>
      <c r="Q1922">
        <f>QtyRemaining*EstMfgMin/60</f>
        <v>0</v>
      </c>
      <c r="U1922" t="e">
        <f t="shared" si="60"/>
        <v>#REF!</v>
      </c>
      <c r="V1922" s="5" t="e">
        <f t="shared" si="61"/>
        <v>#REF!</v>
      </c>
    </row>
    <row r="1923" spans="1:22" x14ac:dyDescent="0.25">
      <c r="A1923" s="2">
        <v>46373</v>
      </c>
      <c r="B1923" s="2">
        <v>45636</v>
      </c>
      <c r="C1923" t="s">
        <v>570</v>
      </c>
      <c r="D1923">
        <v>51</v>
      </c>
      <c r="E1923" t="s">
        <v>597</v>
      </c>
      <c r="F1923" t="s">
        <v>261</v>
      </c>
      <c r="G1923" t="s">
        <v>510</v>
      </c>
      <c r="H1923" t="s">
        <v>598</v>
      </c>
      <c r="I1923" t="s">
        <v>874</v>
      </c>
      <c r="J1923" s="3" t="s">
        <v>875</v>
      </c>
      <c r="K1923" t="s">
        <v>1049</v>
      </c>
      <c r="L1923" s="4">
        <v>1</v>
      </c>
      <c r="M1923" s="4">
        <v>0</v>
      </c>
      <c r="N1923">
        <v>1</v>
      </c>
      <c r="P1923">
        <v>0</v>
      </c>
      <c r="Q1923">
        <f>QtyRemaining*EstMfgMin/60</f>
        <v>0</v>
      </c>
      <c r="U1923" t="e">
        <f t="shared" ref="U1923:U1986" si="62">VLOOKUP(A1923,Calendar,13,FALSE)</f>
        <v>#REF!</v>
      </c>
      <c r="V1923" s="5" t="e">
        <f t="shared" ref="V1923:V1986" si="63">VLOOKUP(A1923,Calendar,14,FALSE)</f>
        <v>#REF!</v>
      </c>
    </row>
    <row r="1924" spans="1:22" x14ac:dyDescent="0.25">
      <c r="A1924" s="2">
        <v>46373</v>
      </c>
      <c r="B1924" s="2">
        <v>45636</v>
      </c>
      <c r="C1924" t="s">
        <v>570</v>
      </c>
      <c r="D1924">
        <v>51</v>
      </c>
      <c r="E1924" t="s">
        <v>597</v>
      </c>
      <c r="F1924" t="s">
        <v>261</v>
      </c>
      <c r="G1924" t="s">
        <v>510</v>
      </c>
      <c r="H1924" t="s">
        <v>598</v>
      </c>
      <c r="I1924" t="s">
        <v>874</v>
      </c>
      <c r="J1924" s="3" t="s">
        <v>875</v>
      </c>
      <c r="K1924" t="s">
        <v>1049</v>
      </c>
      <c r="L1924" s="4">
        <v>1</v>
      </c>
      <c r="M1924" s="4">
        <v>0</v>
      </c>
      <c r="N1924">
        <v>1</v>
      </c>
      <c r="P1924">
        <v>0</v>
      </c>
      <c r="Q1924">
        <f>QtyRemaining*EstMfgMin/60</f>
        <v>0</v>
      </c>
      <c r="U1924" t="e">
        <f t="shared" si="62"/>
        <v>#REF!</v>
      </c>
      <c r="V1924" s="5" t="e">
        <f t="shared" si="63"/>
        <v>#REF!</v>
      </c>
    </row>
    <row r="1925" spans="1:22" x14ac:dyDescent="0.25">
      <c r="A1925" s="2">
        <v>46373</v>
      </c>
      <c r="B1925" s="2">
        <v>45636</v>
      </c>
      <c r="C1925" t="s">
        <v>570</v>
      </c>
      <c r="D1925">
        <v>51</v>
      </c>
      <c r="E1925" t="s">
        <v>597</v>
      </c>
      <c r="F1925" t="s">
        <v>261</v>
      </c>
      <c r="G1925" t="s">
        <v>510</v>
      </c>
      <c r="H1925" t="s">
        <v>598</v>
      </c>
      <c r="I1925" t="s">
        <v>874</v>
      </c>
      <c r="J1925" s="3" t="s">
        <v>875</v>
      </c>
      <c r="K1925" t="s">
        <v>1049</v>
      </c>
      <c r="L1925" s="4">
        <v>1</v>
      </c>
      <c r="M1925" s="4">
        <v>0</v>
      </c>
      <c r="N1925">
        <v>1</v>
      </c>
      <c r="P1925">
        <v>0</v>
      </c>
      <c r="Q1925">
        <f>QtyRemaining*EstMfgMin/60</f>
        <v>0</v>
      </c>
      <c r="U1925" t="e">
        <f t="shared" si="62"/>
        <v>#REF!</v>
      </c>
      <c r="V1925" s="5" t="e">
        <f t="shared" si="63"/>
        <v>#REF!</v>
      </c>
    </row>
    <row r="1926" spans="1:22" x14ac:dyDescent="0.25">
      <c r="A1926" s="2">
        <v>46373</v>
      </c>
      <c r="B1926" s="2">
        <v>45636</v>
      </c>
      <c r="C1926" t="s">
        <v>570</v>
      </c>
      <c r="D1926">
        <v>51</v>
      </c>
      <c r="E1926" t="s">
        <v>597</v>
      </c>
      <c r="F1926" t="s">
        <v>261</v>
      </c>
      <c r="G1926" t="s">
        <v>510</v>
      </c>
      <c r="H1926" t="s">
        <v>598</v>
      </c>
      <c r="I1926" t="s">
        <v>874</v>
      </c>
      <c r="J1926" s="3" t="s">
        <v>875</v>
      </c>
      <c r="K1926" t="s">
        <v>1049</v>
      </c>
      <c r="L1926" s="4">
        <v>1</v>
      </c>
      <c r="M1926" s="4">
        <v>0</v>
      </c>
      <c r="N1926">
        <v>1</v>
      </c>
      <c r="P1926">
        <v>0</v>
      </c>
      <c r="Q1926">
        <f>QtyRemaining*EstMfgMin/60</f>
        <v>0</v>
      </c>
      <c r="U1926" t="e">
        <f t="shared" si="62"/>
        <v>#REF!</v>
      </c>
      <c r="V1926" s="5" t="e">
        <f t="shared" si="63"/>
        <v>#REF!</v>
      </c>
    </row>
    <row r="1927" spans="1:22" x14ac:dyDescent="0.25">
      <c r="A1927" s="2">
        <v>46373</v>
      </c>
      <c r="B1927" s="2">
        <v>45636</v>
      </c>
      <c r="C1927" t="s">
        <v>570</v>
      </c>
      <c r="D1927">
        <v>51</v>
      </c>
      <c r="E1927" t="s">
        <v>597</v>
      </c>
      <c r="F1927" t="s">
        <v>261</v>
      </c>
      <c r="G1927" t="s">
        <v>510</v>
      </c>
      <c r="H1927" t="s">
        <v>598</v>
      </c>
      <c r="I1927" t="s">
        <v>874</v>
      </c>
      <c r="J1927" s="3" t="s">
        <v>875</v>
      </c>
      <c r="K1927" t="s">
        <v>1049</v>
      </c>
      <c r="L1927" s="4">
        <v>1</v>
      </c>
      <c r="M1927" s="4">
        <v>0</v>
      </c>
      <c r="N1927">
        <v>1</v>
      </c>
      <c r="P1927">
        <v>0</v>
      </c>
      <c r="Q1927">
        <f>QtyRemaining*EstMfgMin/60</f>
        <v>0</v>
      </c>
      <c r="U1927" t="e">
        <f t="shared" si="62"/>
        <v>#REF!</v>
      </c>
      <c r="V1927" s="5" t="e">
        <f t="shared" si="63"/>
        <v>#REF!</v>
      </c>
    </row>
    <row r="1928" spans="1:22" x14ac:dyDescent="0.25">
      <c r="A1928" s="2">
        <v>46373</v>
      </c>
      <c r="B1928" s="2">
        <v>45636</v>
      </c>
      <c r="C1928" t="s">
        <v>570</v>
      </c>
      <c r="D1928">
        <v>51</v>
      </c>
      <c r="E1928" t="s">
        <v>597</v>
      </c>
      <c r="F1928" t="s">
        <v>261</v>
      </c>
      <c r="G1928" t="s">
        <v>510</v>
      </c>
      <c r="H1928" t="s">
        <v>598</v>
      </c>
      <c r="I1928" t="s">
        <v>874</v>
      </c>
      <c r="J1928" s="3" t="s">
        <v>875</v>
      </c>
      <c r="K1928" t="s">
        <v>1049</v>
      </c>
      <c r="L1928" s="4">
        <v>1</v>
      </c>
      <c r="M1928" s="4">
        <v>0</v>
      </c>
      <c r="N1928">
        <v>1</v>
      </c>
      <c r="P1928">
        <v>0</v>
      </c>
      <c r="Q1928">
        <f>QtyRemaining*EstMfgMin/60</f>
        <v>0</v>
      </c>
      <c r="U1928" t="e">
        <f t="shared" si="62"/>
        <v>#REF!</v>
      </c>
      <c r="V1928" s="5" t="e">
        <f t="shared" si="63"/>
        <v>#REF!</v>
      </c>
    </row>
    <row r="1929" spans="1:22" x14ac:dyDescent="0.25">
      <c r="A1929" s="2">
        <v>46373</v>
      </c>
      <c r="B1929" s="2">
        <v>45636</v>
      </c>
      <c r="C1929" t="s">
        <v>570</v>
      </c>
      <c r="D1929">
        <v>51</v>
      </c>
      <c r="E1929" t="s">
        <v>597</v>
      </c>
      <c r="F1929" t="s">
        <v>261</v>
      </c>
      <c r="G1929" t="s">
        <v>510</v>
      </c>
      <c r="H1929" t="s">
        <v>598</v>
      </c>
      <c r="I1929" t="s">
        <v>874</v>
      </c>
      <c r="J1929" s="3" t="s">
        <v>875</v>
      </c>
      <c r="K1929" t="s">
        <v>1049</v>
      </c>
      <c r="L1929" s="4">
        <v>1</v>
      </c>
      <c r="M1929" s="4">
        <v>0</v>
      </c>
      <c r="N1929">
        <v>1</v>
      </c>
      <c r="P1929">
        <v>0</v>
      </c>
      <c r="Q1929">
        <f>QtyRemaining*EstMfgMin/60</f>
        <v>0</v>
      </c>
      <c r="U1929" t="e">
        <f t="shared" si="62"/>
        <v>#REF!</v>
      </c>
      <c r="V1929" s="5" t="e">
        <f t="shared" si="63"/>
        <v>#REF!</v>
      </c>
    </row>
    <row r="1930" spans="1:22" x14ac:dyDescent="0.25">
      <c r="A1930" s="2">
        <v>46373</v>
      </c>
      <c r="B1930" s="2">
        <v>45636</v>
      </c>
      <c r="C1930" t="s">
        <v>570</v>
      </c>
      <c r="D1930">
        <v>51</v>
      </c>
      <c r="E1930" t="s">
        <v>597</v>
      </c>
      <c r="F1930" t="s">
        <v>261</v>
      </c>
      <c r="G1930" t="s">
        <v>510</v>
      </c>
      <c r="H1930" t="s">
        <v>598</v>
      </c>
      <c r="I1930" t="s">
        <v>874</v>
      </c>
      <c r="J1930" s="3" t="s">
        <v>875</v>
      </c>
      <c r="K1930" t="s">
        <v>1049</v>
      </c>
      <c r="L1930" s="4">
        <v>1</v>
      </c>
      <c r="M1930" s="4">
        <v>0</v>
      </c>
      <c r="N1930">
        <v>1</v>
      </c>
      <c r="P1930">
        <v>0</v>
      </c>
      <c r="Q1930">
        <f>QtyRemaining*EstMfgMin/60</f>
        <v>0</v>
      </c>
      <c r="U1930" t="e">
        <f t="shared" si="62"/>
        <v>#REF!</v>
      </c>
      <c r="V1930" s="5" t="e">
        <f t="shared" si="63"/>
        <v>#REF!</v>
      </c>
    </row>
    <row r="1931" spans="1:22" x14ac:dyDescent="0.25">
      <c r="A1931" s="2">
        <v>46373</v>
      </c>
      <c r="B1931" s="2">
        <v>45636</v>
      </c>
      <c r="C1931" t="s">
        <v>570</v>
      </c>
      <c r="D1931">
        <v>51</v>
      </c>
      <c r="E1931" t="s">
        <v>597</v>
      </c>
      <c r="F1931" t="s">
        <v>261</v>
      </c>
      <c r="G1931" t="s">
        <v>510</v>
      </c>
      <c r="H1931" t="s">
        <v>598</v>
      </c>
      <c r="I1931" t="s">
        <v>874</v>
      </c>
      <c r="J1931" s="3" t="s">
        <v>875</v>
      </c>
      <c r="K1931" t="s">
        <v>1049</v>
      </c>
      <c r="L1931" s="4">
        <v>1</v>
      </c>
      <c r="M1931" s="4">
        <v>0</v>
      </c>
      <c r="N1931">
        <v>1</v>
      </c>
      <c r="P1931">
        <v>0</v>
      </c>
      <c r="Q1931">
        <f>QtyRemaining*EstMfgMin/60</f>
        <v>0</v>
      </c>
      <c r="U1931" t="e">
        <f t="shared" si="62"/>
        <v>#REF!</v>
      </c>
      <c r="V1931" s="5" t="e">
        <f t="shared" si="63"/>
        <v>#REF!</v>
      </c>
    </row>
    <row r="1932" spans="1:22" x14ac:dyDescent="0.25">
      <c r="A1932" s="2">
        <v>46373</v>
      </c>
      <c r="B1932" s="2">
        <v>45636</v>
      </c>
      <c r="C1932" t="s">
        <v>570</v>
      </c>
      <c r="D1932">
        <v>51</v>
      </c>
      <c r="E1932" t="s">
        <v>597</v>
      </c>
      <c r="F1932" t="s">
        <v>261</v>
      </c>
      <c r="G1932" t="s">
        <v>510</v>
      </c>
      <c r="H1932" t="s">
        <v>598</v>
      </c>
      <c r="I1932" t="s">
        <v>874</v>
      </c>
      <c r="J1932" s="3" t="s">
        <v>875</v>
      </c>
      <c r="K1932" t="s">
        <v>1049</v>
      </c>
      <c r="L1932" s="4">
        <v>1</v>
      </c>
      <c r="M1932" s="4">
        <v>0</v>
      </c>
      <c r="N1932">
        <v>1</v>
      </c>
      <c r="P1932">
        <v>0</v>
      </c>
      <c r="Q1932">
        <f>QtyRemaining*EstMfgMin/60</f>
        <v>0</v>
      </c>
      <c r="U1932" t="e">
        <f t="shared" si="62"/>
        <v>#REF!</v>
      </c>
      <c r="V1932" s="5" t="e">
        <f t="shared" si="63"/>
        <v>#REF!</v>
      </c>
    </row>
    <row r="1933" spans="1:22" x14ac:dyDescent="0.25">
      <c r="A1933" s="2">
        <v>46373</v>
      </c>
      <c r="B1933" s="2">
        <v>45636</v>
      </c>
      <c r="C1933" t="s">
        <v>570</v>
      </c>
      <c r="D1933">
        <v>51</v>
      </c>
      <c r="E1933" t="s">
        <v>597</v>
      </c>
      <c r="F1933" t="s">
        <v>261</v>
      </c>
      <c r="G1933" t="s">
        <v>510</v>
      </c>
      <c r="H1933" t="s">
        <v>598</v>
      </c>
      <c r="I1933" t="s">
        <v>874</v>
      </c>
      <c r="J1933" s="3" t="s">
        <v>875</v>
      </c>
      <c r="K1933" t="s">
        <v>1049</v>
      </c>
      <c r="L1933" s="4">
        <v>1</v>
      </c>
      <c r="M1933" s="4">
        <v>0</v>
      </c>
      <c r="N1933">
        <v>1</v>
      </c>
      <c r="P1933">
        <v>0</v>
      </c>
      <c r="Q1933">
        <f>QtyRemaining*EstMfgMin/60</f>
        <v>0</v>
      </c>
      <c r="U1933" t="e">
        <f t="shared" si="62"/>
        <v>#REF!</v>
      </c>
      <c r="V1933" s="5" t="e">
        <f t="shared" si="63"/>
        <v>#REF!</v>
      </c>
    </row>
    <row r="1934" spans="1:22" x14ac:dyDescent="0.25">
      <c r="A1934" s="2">
        <v>46373</v>
      </c>
      <c r="B1934" s="2">
        <v>45636</v>
      </c>
      <c r="C1934" t="s">
        <v>570</v>
      </c>
      <c r="D1934">
        <v>51</v>
      </c>
      <c r="E1934" t="s">
        <v>597</v>
      </c>
      <c r="F1934" t="s">
        <v>261</v>
      </c>
      <c r="G1934" t="s">
        <v>510</v>
      </c>
      <c r="H1934" t="s">
        <v>598</v>
      </c>
      <c r="I1934" t="s">
        <v>874</v>
      </c>
      <c r="J1934" s="3" t="s">
        <v>875</v>
      </c>
      <c r="K1934" t="s">
        <v>1049</v>
      </c>
      <c r="L1934" s="4">
        <v>1</v>
      </c>
      <c r="M1934" s="4">
        <v>0</v>
      </c>
      <c r="N1934">
        <v>1</v>
      </c>
      <c r="P1934">
        <v>0</v>
      </c>
      <c r="Q1934">
        <f>QtyRemaining*EstMfgMin/60</f>
        <v>0</v>
      </c>
      <c r="U1934" t="e">
        <f t="shared" si="62"/>
        <v>#REF!</v>
      </c>
      <c r="V1934" s="5" t="e">
        <f t="shared" si="63"/>
        <v>#REF!</v>
      </c>
    </row>
    <row r="1935" spans="1:22" x14ac:dyDescent="0.25">
      <c r="A1935" s="2">
        <v>46373</v>
      </c>
      <c r="B1935" s="2">
        <v>45636</v>
      </c>
      <c r="C1935" t="s">
        <v>570</v>
      </c>
      <c r="D1935">
        <v>51</v>
      </c>
      <c r="E1935" t="s">
        <v>597</v>
      </c>
      <c r="F1935" t="s">
        <v>261</v>
      </c>
      <c r="G1935" t="s">
        <v>510</v>
      </c>
      <c r="H1935" t="s">
        <v>598</v>
      </c>
      <c r="I1935" t="s">
        <v>874</v>
      </c>
      <c r="J1935" s="3" t="s">
        <v>875</v>
      </c>
      <c r="K1935" t="s">
        <v>1049</v>
      </c>
      <c r="L1935" s="4">
        <v>1</v>
      </c>
      <c r="M1935" s="4">
        <v>0</v>
      </c>
      <c r="N1935">
        <v>1</v>
      </c>
      <c r="P1935">
        <v>0</v>
      </c>
      <c r="Q1935">
        <f>QtyRemaining*EstMfgMin/60</f>
        <v>0</v>
      </c>
      <c r="U1935" t="e">
        <f t="shared" si="62"/>
        <v>#REF!</v>
      </c>
      <c r="V1935" s="5" t="e">
        <f t="shared" si="63"/>
        <v>#REF!</v>
      </c>
    </row>
    <row r="1936" spans="1:22" x14ac:dyDescent="0.25">
      <c r="A1936" s="2">
        <v>46373</v>
      </c>
      <c r="B1936" s="2">
        <v>45636</v>
      </c>
      <c r="C1936" t="s">
        <v>570</v>
      </c>
      <c r="D1936">
        <v>51</v>
      </c>
      <c r="E1936" t="s">
        <v>597</v>
      </c>
      <c r="F1936" t="s">
        <v>261</v>
      </c>
      <c r="G1936" t="s">
        <v>510</v>
      </c>
      <c r="H1936" t="s">
        <v>598</v>
      </c>
      <c r="I1936" t="s">
        <v>874</v>
      </c>
      <c r="J1936" s="3" t="s">
        <v>875</v>
      </c>
      <c r="K1936" t="s">
        <v>1049</v>
      </c>
      <c r="L1936" s="4">
        <v>1</v>
      </c>
      <c r="M1936" s="4">
        <v>0</v>
      </c>
      <c r="N1936">
        <v>1</v>
      </c>
      <c r="P1936">
        <v>0</v>
      </c>
      <c r="Q1936">
        <f>QtyRemaining*EstMfgMin/60</f>
        <v>0</v>
      </c>
      <c r="U1936" t="e">
        <f t="shared" si="62"/>
        <v>#REF!</v>
      </c>
      <c r="V1936" s="5" t="e">
        <f t="shared" si="63"/>
        <v>#REF!</v>
      </c>
    </row>
    <row r="1937" spans="1:22" x14ac:dyDescent="0.25">
      <c r="A1937" s="2">
        <v>46373</v>
      </c>
      <c r="B1937" s="2">
        <v>45636</v>
      </c>
      <c r="C1937" t="s">
        <v>570</v>
      </c>
      <c r="D1937">
        <v>51</v>
      </c>
      <c r="E1937" t="s">
        <v>597</v>
      </c>
      <c r="F1937" t="s">
        <v>261</v>
      </c>
      <c r="G1937" t="s">
        <v>510</v>
      </c>
      <c r="H1937" t="s">
        <v>598</v>
      </c>
      <c r="I1937" t="s">
        <v>874</v>
      </c>
      <c r="J1937" s="3" t="s">
        <v>875</v>
      </c>
      <c r="K1937" t="s">
        <v>1049</v>
      </c>
      <c r="L1937" s="4">
        <v>1</v>
      </c>
      <c r="M1937" s="4">
        <v>0</v>
      </c>
      <c r="N1937">
        <v>1</v>
      </c>
      <c r="P1937">
        <v>0</v>
      </c>
      <c r="Q1937">
        <f>QtyRemaining*EstMfgMin/60</f>
        <v>0</v>
      </c>
      <c r="U1937" t="e">
        <f t="shared" si="62"/>
        <v>#REF!</v>
      </c>
      <c r="V1937" s="5" t="e">
        <f t="shared" si="63"/>
        <v>#REF!</v>
      </c>
    </row>
    <row r="1938" spans="1:22" x14ac:dyDescent="0.25">
      <c r="A1938" s="2">
        <v>46373</v>
      </c>
      <c r="B1938" s="2">
        <v>45636</v>
      </c>
      <c r="C1938" t="s">
        <v>570</v>
      </c>
      <c r="D1938">
        <v>51</v>
      </c>
      <c r="E1938" t="s">
        <v>597</v>
      </c>
      <c r="F1938" t="s">
        <v>261</v>
      </c>
      <c r="G1938" t="s">
        <v>510</v>
      </c>
      <c r="H1938" t="s">
        <v>598</v>
      </c>
      <c r="I1938" t="s">
        <v>874</v>
      </c>
      <c r="J1938" s="3" t="s">
        <v>875</v>
      </c>
      <c r="K1938" t="s">
        <v>1049</v>
      </c>
      <c r="L1938" s="4">
        <v>1</v>
      </c>
      <c r="M1938" s="4">
        <v>0</v>
      </c>
      <c r="N1938">
        <v>1</v>
      </c>
      <c r="P1938">
        <v>0</v>
      </c>
      <c r="Q1938">
        <f>QtyRemaining*EstMfgMin/60</f>
        <v>0</v>
      </c>
      <c r="U1938" t="e">
        <f t="shared" si="62"/>
        <v>#REF!</v>
      </c>
      <c r="V1938" s="5" t="e">
        <f t="shared" si="63"/>
        <v>#REF!</v>
      </c>
    </row>
    <row r="1939" spans="1:22" x14ac:dyDescent="0.25">
      <c r="A1939" s="2">
        <v>46373</v>
      </c>
      <c r="B1939" s="2">
        <v>45636</v>
      </c>
      <c r="C1939" t="s">
        <v>570</v>
      </c>
      <c r="D1939">
        <v>51</v>
      </c>
      <c r="E1939" t="s">
        <v>597</v>
      </c>
      <c r="F1939" t="s">
        <v>261</v>
      </c>
      <c r="G1939" t="s">
        <v>510</v>
      </c>
      <c r="H1939" t="s">
        <v>598</v>
      </c>
      <c r="I1939" t="s">
        <v>874</v>
      </c>
      <c r="J1939" s="3" t="s">
        <v>875</v>
      </c>
      <c r="K1939" t="s">
        <v>1049</v>
      </c>
      <c r="L1939" s="4">
        <v>1</v>
      </c>
      <c r="M1939" s="4">
        <v>0</v>
      </c>
      <c r="N1939">
        <v>1</v>
      </c>
      <c r="P1939">
        <v>0</v>
      </c>
      <c r="Q1939">
        <f>QtyRemaining*EstMfgMin/60</f>
        <v>0</v>
      </c>
      <c r="U1939" t="e">
        <f t="shared" si="62"/>
        <v>#REF!</v>
      </c>
      <c r="V1939" s="5" t="e">
        <f t="shared" si="63"/>
        <v>#REF!</v>
      </c>
    </row>
    <row r="1940" spans="1:22" x14ac:dyDescent="0.25">
      <c r="A1940" s="2">
        <v>46373</v>
      </c>
      <c r="B1940" s="2">
        <v>45636</v>
      </c>
      <c r="C1940" t="s">
        <v>570</v>
      </c>
      <c r="D1940">
        <v>51</v>
      </c>
      <c r="E1940" t="s">
        <v>597</v>
      </c>
      <c r="F1940" t="s">
        <v>261</v>
      </c>
      <c r="G1940" t="s">
        <v>510</v>
      </c>
      <c r="H1940" t="s">
        <v>598</v>
      </c>
      <c r="I1940" t="s">
        <v>874</v>
      </c>
      <c r="J1940" s="3" t="s">
        <v>875</v>
      </c>
      <c r="K1940" t="s">
        <v>1049</v>
      </c>
      <c r="L1940" s="4">
        <v>1</v>
      </c>
      <c r="M1940" s="4">
        <v>0</v>
      </c>
      <c r="N1940">
        <v>1</v>
      </c>
      <c r="P1940">
        <v>0</v>
      </c>
      <c r="Q1940">
        <f>QtyRemaining*EstMfgMin/60</f>
        <v>0</v>
      </c>
      <c r="U1940" t="e">
        <f t="shared" si="62"/>
        <v>#REF!</v>
      </c>
      <c r="V1940" s="5" t="e">
        <f t="shared" si="63"/>
        <v>#REF!</v>
      </c>
    </row>
    <row r="1941" spans="1:22" x14ac:dyDescent="0.25">
      <c r="A1941" s="2">
        <v>46373</v>
      </c>
      <c r="B1941" s="2">
        <v>45636</v>
      </c>
      <c r="C1941" t="s">
        <v>570</v>
      </c>
      <c r="D1941">
        <v>51</v>
      </c>
      <c r="E1941" t="s">
        <v>597</v>
      </c>
      <c r="F1941" t="s">
        <v>261</v>
      </c>
      <c r="G1941" t="s">
        <v>510</v>
      </c>
      <c r="H1941" t="s">
        <v>598</v>
      </c>
      <c r="I1941" t="s">
        <v>874</v>
      </c>
      <c r="J1941" s="3" t="s">
        <v>875</v>
      </c>
      <c r="K1941" t="s">
        <v>1049</v>
      </c>
      <c r="L1941" s="4">
        <v>1</v>
      </c>
      <c r="M1941" s="4">
        <v>0</v>
      </c>
      <c r="N1941">
        <v>1</v>
      </c>
      <c r="P1941">
        <v>0</v>
      </c>
      <c r="Q1941">
        <f>QtyRemaining*EstMfgMin/60</f>
        <v>0</v>
      </c>
      <c r="U1941" t="e">
        <f t="shared" si="62"/>
        <v>#REF!</v>
      </c>
      <c r="V1941" s="5" t="e">
        <f t="shared" si="63"/>
        <v>#REF!</v>
      </c>
    </row>
    <row r="1942" spans="1:22" x14ac:dyDescent="0.25">
      <c r="A1942" s="2">
        <v>46373</v>
      </c>
      <c r="B1942" s="2">
        <v>45636</v>
      </c>
      <c r="C1942" t="s">
        <v>570</v>
      </c>
      <c r="D1942">
        <v>51</v>
      </c>
      <c r="E1942" t="s">
        <v>597</v>
      </c>
      <c r="F1942" t="s">
        <v>261</v>
      </c>
      <c r="G1942" t="s">
        <v>510</v>
      </c>
      <c r="H1942" t="s">
        <v>598</v>
      </c>
      <c r="I1942" t="s">
        <v>874</v>
      </c>
      <c r="J1942" s="3" t="s">
        <v>875</v>
      </c>
      <c r="K1942" t="s">
        <v>1049</v>
      </c>
      <c r="L1942" s="4">
        <v>1</v>
      </c>
      <c r="M1942" s="4">
        <v>0</v>
      </c>
      <c r="N1942">
        <v>1</v>
      </c>
      <c r="P1942">
        <v>0</v>
      </c>
      <c r="Q1942">
        <f>QtyRemaining*EstMfgMin/60</f>
        <v>0</v>
      </c>
      <c r="U1942" t="e">
        <f t="shared" si="62"/>
        <v>#REF!</v>
      </c>
      <c r="V1942" s="5" t="e">
        <f t="shared" si="63"/>
        <v>#REF!</v>
      </c>
    </row>
    <row r="1943" spans="1:22" x14ac:dyDescent="0.25">
      <c r="A1943" s="2">
        <v>46373</v>
      </c>
      <c r="B1943" s="2">
        <v>45636</v>
      </c>
      <c r="C1943" t="s">
        <v>570</v>
      </c>
      <c r="D1943">
        <v>51</v>
      </c>
      <c r="E1943" t="s">
        <v>597</v>
      </c>
      <c r="F1943" t="s">
        <v>261</v>
      </c>
      <c r="G1943" t="s">
        <v>510</v>
      </c>
      <c r="H1943" t="s">
        <v>598</v>
      </c>
      <c r="I1943" t="s">
        <v>874</v>
      </c>
      <c r="J1943" s="3" t="s">
        <v>875</v>
      </c>
      <c r="K1943" t="s">
        <v>1049</v>
      </c>
      <c r="L1943" s="4">
        <v>1</v>
      </c>
      <c r="M1943" s="4">
        <v>0</v>
      </c>
      <c r="N1943">
        <v>1</v>
      </c>
      <c r="P1943">
        <v>0</v>
      </c>
      <c r="Q1943">
        <f>QtyRemaining*EstMfgMin/60</f>
        <v>0</v>
      </c>
      <c r="U1943" t="e">
        <f t="shared" si="62"/>
        <v>#REF!</v>
      </c>
      <c r="V1943" s="5" t="e">
        <f t="shared" si="63"/>
        <v>#REF!</v>
      </c>
    </row>
    <row r="1944" spans="1:22" x14ac:dyDescent="0.25">
      <c r="A1944" s="2">
        <v>46373</v>
      </c>
      <c r="B1944" s="2">
        <v>45636</v>
      </c>
      <c r="C1944" t="s">
        <v>570</v>
      </c>
      <c r="D1944">
        <v>51</v>
      </c>
      <c r="E1944" t="s">
        <v>597</v>
      </c>
      <c r="F1944" t="s">
        <v>261</v>
      </c>
      <c r="G1944" t="s">
        <v>510</v>
      </c>
      <c r="H1944" t="s">
        <v>598</v>
      </c>
      <c r="I1944" t="s">
        <v>874</v>
      </c>
      <c r="J1944" s="3" t="s">
        <v>875</v>
      </c>
      <c r="K1944" t="s">
        <v>1049</v>
      </c>
      <c r="L1944" s="4">
        <v>1</v>
      </c>
      <c r="M1944" s="4">
        <v>0</v>
      </c>
      <c r="N1944">
        <v>1</v>
      </c>
      <c r="P1944">
        <v>0</v>
      </c>
      <c r="Q1944">
        <f>QtyRemaining*EstMfgMin/60</f>
        <v>0</v>
      </c>
      <c r="U1944" t="e">
        <f t="shared" si="62"/>
        <v>#REF!</v>
      </c>
      <c r="V1944" s="5" t="e">
        <f t="shared" si="63"/>
        <v>#REF!</v>
      </c>
    </row>
    <row r="1945" spans="1:22" x14ac:dyDescent="0.25">
      <c r="A1945" s="2">
        <v>46373</v>
      </c>
      <c r="B1945" s="2">
        <v>45636</v>
      </c>
      <c r="C1945" t="s">
        <v>570</v>
      </c>
      <c r="D1945">
        <v>51</v>
      </c>
      <c r="E1945" t="s">
        <v>597</v>
      </c>
      <c r="F1945" t="s">
        <v>261</v>
      </c>
      <c r="G1945" t="s">
        <v>510</v>
      </c>
      <c r="H1945" t="s">
        <v>598</v>
      </c>
      <c r="I1945" t="s">
        <v>874</v>
      </c>
      <c r="J1945" s="3" t="s">
        <v>875</v>
      </c>
      <c r="K1945" t="s">
        <v>1049</v>
      </c>
      <c r="L1945" s="4">
        <v>1</v>
      </c>
      <c r="M1945" s="4">
        <v>0</v>
      </c>
      <c r="N1945">
        <v>1</v>
      </c>
      <c r="P1945">
        <v>0</v>
      </c>
      <c r="Q1945">
        <f>QtyRemaining*EstMfgMin/60</f>
        <v>0</v>
      </c>
      <c r="U1945" t="e">
        <f t="shared" si="62"/>
        <v>#REF!</v>
      </c>
      <c r="V1945" s="5" t="e">
        <f t="shared" si="63"/>
        <v>#REF!</v>
      </c>
    </row>
    <row r="1946" spans="1:22" x14ac:dyDescent="0.25">
      <c r="A1946" s="2">
        <v>46373</v>
      </c>
      <c r="B1946" s="2">
        <v>45636</v>
      </c>
      <c r="C1946" t="s">
        <v>570</v>
      </c>
      <c r="D1946">
        <v>51</v>
      </c>
      <c r="E1946" t="s">
        <v>597</v>
      </c>
      <c r="F1946" t="s">
        <v>261</v>
      </c>
      <c r="G1946" t="s">
        <v>510</v>
      </c>
      <c r="H1946" t="s">
        <v>598</v>
      </c>
      <c r="I1946" t="s">
        <v>874</v>
      </c>
      <c r="J1946" s="3" t="s">
        <v>875</v>
      </c>
      <c r="K1946" t="s">
        <v>1049</v>
      </c>
      <c r="L1946" s="4">
        <v>1</v>
      </c>
      <c r="M1946" s="4">
        <v>0</v>
      </c>
      <c r="N1946">
        <v>1</v>
      </c>
      <c r="P1946">
        <v>0</v>
      </c>
      <c r="Q1946">
        <f>QtyRemaining*EstMfgMin/60</f>
        <v>0</v>
      </c>
      <c r="U1946" t="e">
        <f t="shared" si="62"/>
        <v>#REF!</v>
      </c>
      <c r="V1946" s="5" t="e">
        <f t="shared" si="63"/>
        <v>#REF!</v>
      </c>
    </row>
    <row r="1947" spans="1:22" x14ac:dyDescent="0.25">
      <c r="A1947" s="2">
        <v>46373</v>
      </c>
      <c r="B1947" s="2">
        <v>45636</v>
      </c>
      <c r="C1947" t="s">
        <v>570</v>
      </c>
      <c r="D1947">
        <v>51</v>
      </c>
      <c r="E1947" t="s">
        <v>597</v>
      </c>
      <c r="F1947" t="s">
        <v>261</v>
      </c>
      <c r="G1947" t="s">
        <v>510</v>
      </c>
      <c r="H1947" t="s">
        <v>598</v>
      </c>
      <c r="I1947" t="s">
        <v>874</v>
      </c>
      <c r="J1947" s="3" t="s">
        <v>875</v>
      </c>
      <c r="K1947" t="s">
        <v>1049</v>
      </c>
      <c r="L1947" s="4">
        <v>1</v>
      </c>
      <c r="M1947" s="4">
        <v>0</v>
      </c>
      <c r="N1947">
        <v>1</v>
      </c>
      <c r="P1947">
        <v>0</v>
      </c>
      <c r="Q1947">
        <f>QtyRemaining*EstMfgMin/60</f>
        <v>0</v>
      </c>
      <c r="U1947" t="e">
        <f t="shared" si="62"/>
        <v>#REF!</v>
      </c>
      <c r="V1947" s="5" t="e">
        <f t="shared" si="63"/>
        <v>#REF!</v>
      </c>
    </row>
    <row r="1948" spans="1:22" x14ac:dyDescent="0.25">
      <c r="A1948" s="2">
        <v>46373</v>
      </c>
      <c r="B1948" s="2">
        <v>45636</v>
      </c>
      <c r="C1948" t="s">
        <v>570</v>
      </c>
      <c r="D1948">
        <v>51</v>
      </c>
      <c r="E1948" t="s">
        <v>597</v>
      </c>
      <c r="F1948" t="s">
        <v>261</v>
      </c>
      <c r="G1948" t="s">
        <v>510</v>
      </c>
      <c r="H1948" t="s">
        <v>598</v>
      </c>
      <c r="I1948" t="s">
        <v>874</v>
      </c>
      <c r="J1948" s="3" t="s">
        <v>875</v>
      </c>
      <c r="K1948" t="s">
        <v>1049</v>
      </c>
      <c r="L1948" s="4">
        <v>1</v>
      </c>
      <c r="M1948" s="4">
        <v>0</v>
      </c>
      <c r="N1948">
        <v>1</v>
      </c>
      <c r="P1948">
        <v>0</v>
      </c>
      <c r="Q1948">
        <f>QtyRemaining*EstMfgMin/60</f>
        <v>0</v>
      </c>
      <c r="U1948" t="e">
        <f t="shared" si="62"/>
        <v>#REF!</v>
      </c>
      <c r="V1948" s="5" t="e">
        <f t="shared" si="63"/>
        <v>#REF!</v>
      </c>
    </row>
    <row r="1949" spans="1:22" x14ac:dyDescent="0.25">
      <c r="A1949" s="2">
        <v>46373</v>
      </c>
      <c r="B1949" s="2">
        <v>45636</v>
      </c>
      <c r="C1949" t="s">
        <v>570</v>
      </c>
      <c r="D1949">
        <v>51</v>
      </c>
      <c r="E1949" t="s">
        <v>597</v>
      </c>
      <c r="F1949" t="s">
        <v>261</v>
      </c>
      <c r="G1949" t="s">
        <v>510</v>
      </c>
      <c r="H1949" t="s">
        <v>598</v>
      </c>
      <c r="I1949" t="s">
        <v>874</v>
      </c>
      <c r="J1949" s="3" t="s">
        <v>875</v>
      </c>
      <c r="K1949" t="s">
        <v>1049</v>
      </c>
      <c r="L1949" s="4">
        <v>1</v>
      </c>
      <c r="M1949" s="4">
        <v>0</v>
      </c>
      <c r="N1949">
        <v>1</v>
      </c>
      <c r="P1949">
        <v>0</v>
      </c>
      <c r="Q1949">
        <f>QtyRemaining*EstMfgMin/60</f>
        <v>0</v>
      </c>
      <c r="U1949" t="e">
        <f t="shared" si="62"/>
        <v>#REF!</v>
      </c>
      <c r="V1949" s="5" t="e">
        <f t="shared" si="63"/>
        <v>#REF!</v>
      </c>
    </row>
    <row r="1950" spans="1:22" x14ac:dyDescent="0.25">
      <c r="A1950" s="2">
        <v>46373</v>
      </c>
      <c r="B1950" s="2">
        <v>45636</v>
      </c>
      <c r="C1950" t="s">
        <v>570</v>
      </c>
      <c r="D1950">
        <v>51</v>
      </c>
      <c r="E1950" t="s">
        <v>597</v>
      </c>
      <c r="F1950" t="s">
        <v>261</v>
      </c>
      <c r="G1950" t="s">
        <v>510</v>
      </c>
      <c r="H1950" t="s">
        <v>598</v>
      </c>
      <c r="I1950" t="s">
        <v>874</v>
      </c>
      <c r="J1950" s="3" t="s">
        <v>875</v>
      </c>
      <c r="K1950" t="s">
        <v>1049</v>
      </c>
      <c r="L1950" s="4">
        <v>1</v>
      </c>
      <c r="M1950" s="4">
        <v>0</v>
      </c>
      <c r="N1950">
        <v>1</v>
      </c>
      <c r="P1950">
        <v>0</v>
      </c>
      <c r="Q1950">
        <f>QtyRemaining*EstMfgMin/60</f>
        <v>0</v>
      </c>
      <c r="U1950" t="e">
        <f t="shared" si="62"/>
        <v>#REF!</v>
      </c>
      <c r="V1950" s="5" t="e">
        <f t="shared" si="63"/>
        <v>#REF!</v>
      </c>
    </row>
    <row r="1951" spans="1:22" x14ac:dyDescent="0.25">
      <c r="A1951" s="2">
        <v>46373</v>
      </c>
      <c r="B1951" s="2">
        <v>45636</v>
      </c>
      <c r="C1951" t="s">
        <v>570</v>
      </c>
      <c r="D1951">
        <v>51</v>
      </c>
      <c r="E1951" t="s">
        <v>597</v>
      </c>
      <c r="F1951" t="s">
        <v>261</v>
      </c>
      <c r="G1951" t="s">
        <v>510</v>
      </c>
      <c r="H1951" t="s">
        <v>598</v>
      </c>
      <c r="I1951" t="s">
        <v>874</v>
      </c>
      <c r="J1951" s="3" t="s">
        <v>875</v>
      </c>
      <c r="K1951" t="s">
        <v>1049</v>
      </c>
      <c r="L1951" s="4">
        <v>1</v>
      </c>
      <c r="M1951" s="4">
        <v>0</v>
      </c>
      <c r="N1951">
        <v>1</v>
      </c>
      <c r="P1951">
        <v>0</v>
      </c>
      <c r="Q1951">
        <f>QtyRemaining*EstMfgMin/60</f>
        <v>0</v>
      </c>
      <c r="U1951" t="e">
        <f t="shared" si="62"/>
        <v>#REF!</v>
      </c>
      <c r="V1951" s="5" t="e">
        <f t="shared" si="63"/>
        <v>#REF!</v>
      </c>
    </row>
    <row r="1952" spans="1:22" x14ac:dyDescent="0.25">
      <c r="A1952" s="2">
        <v>46373</v>
      </c>
      <c r="B1952" s="2">
        <v>45636</v>
      </c>
      <c r="C1952" t="s">
        <v>570</v>
      </c>
      <c r="D1952">
        <v>51</v>
      </c>
      <c r="E1952" t="s">
        <v>597</v>
      </c>
      <c r="F1952" t="s">
        <v>261</v>
      </c>
      <c r="G1952" t="s">
        <v>510</v>
      </c>
      <c r="H1952" t="s">
        <v>598</v>
      </c>
      <c r="I1952" t="s">
        <v>874</v>
      </c>
      <c r="J1952" s="3" t="s">
        <v>875</v>
      </c>
      <c r="K1952" t="s">
        <v>1049</v>
      </c>
      <c r="L1952" s="4">
        <v>1</v>
      </c>
      <c r="M1952" s="4">
        <v>0</v>
      </c>
      <c r="N1952">
        <v>1</v>
      </c>
      <c r="P1952">
        <v>0</v>
      </c>
      <c r="Q1952">
        <f>QtyRemaining*EstMfgMin/60</f>
        <v>0</v>
      </c>
      <c r="U1952" t="e">
        <f t="shared" si="62"/>
        <v>#REF!</v>
      </c>
      <c r="V1952" s="5" t="e">
        <f t="shared" si="63"/>
        <v>#REF!</v>
      </c>
    </row>
    <row r="1953" spans="1:22" x14ac:dyDescent="0.25">
      <c r="A1953" s="2">
        <v>46373</v>
      </c>
      <c r="B1953" s="2">
        <v>45636</v>
      </c>
      <c r="C1953" t="s">
        <v>570</v>
      </c>
      <c r="D1953">
        <v>51</v>
      </c>
      <c r="E1953" t="s">
        <v>597</v>
      </c>
      <c r="F1953" t="s">
        <v>261</v>
      </c>
      <c r="G1953" t="s">
        <v>510</v>
      </c>
      <c r="H1953" t="s">
        <v>598</v>
      </c>
      <c r="I1953" t="s">
        <v>874</v>
      </c>
      <c r="J1953" s="3" t="s">
        <v>2478</v>
      </c>
      <c r="K1953" t="s">
        <v>3600</v>
      </c>
      <c r="L1953" s="4">
        <v>1</v>
      </c>
      <c r="M1953" s="4">
        <v>0</v>
      </c>
      <c r="N1953">
        <v>1</v>
      </c>
      <c r="P1953">
        <v>0</v>
      </c>
      <c r="Q1953">
        <f>QtyRemaining*EstMfgMin/60</f>
        <v>0</v>
      </c>
      <c r="U1953" t="e">
        <f t="shared" si="62"/>
        <v>#REF!</v>
      </c>
      <c r="V1953" s="5" t="e">
        <f t="shared" si="63"/>
        <v>#REF!</v>
      </c>
    </row>
    <row r="1954" spans="1:22" x14ac:dyDescent="0.25">
      <c r="A1954" s="2">
        <v>46373</v>
      </c>
      <c r="B1954" s="2">
        <v>45636</v>
      </c>
      <c r="C1954" t="s">
        <v>570</v>
      </c>
      <c r="D1954">
        <v>51</v>
      </c>
      <c r="E1954" t="s">
        <v>597</v>
      </c>
      <c r="F1954" t="s">
        <v>261</v>
      </c>
      <c r="G1954" t="s">
        <v>510</v>
      </c>
      <c r="H1954" t="s">
        <v>598</v>
      </c>
      <c r="I1954" t="s">
        <v>874</v>
      </c>
      <c r="J1954" s="3" t="s">
        <v>2478</v>
      </c>
      <c r="K1954" t="s">
        <v>1049</v>
      </c>
      <c r="L1954" s="4">
        <v>1</v>
      </c>
      <c r="M1954" s="4">
        <v>0</v>
      </c>
      <c r="N1954">
        <v>1</v>
      </c>
      <c r="P1954">
        <v>0</v>
      </c>
      <c r="Q1954">
        <f>QtyRemaining*EstMfgMin/60</f>
        <v>0</v>
      </c>
      <c r="U1954" t="e">
        <f t="shared" si="62"/>
        <v>#REF!</v>
      </c>
      <c r="V1954" s="5" t="e">
        <f t="shared" si="63"/>
        <v>#REF!</v>
      </c>
    </row>
    <row r="1955" spans="1:22" x14ac:dyDescent="0.25">
      <c r="A1955" s="2">
        <v>46373</v>
      </c>
      <c r="B1955" s="2">
        <v>45636</v>
      </c>
      <c r="C1955" t="s">
        <v>570</v>
      </c>
      <c r="D1955">
        <v>51</v>
      </c>
      <c r="E1955" t="s">
        <v>597</v>
      </c>
      <c r="F1955" t="s">
        <v>261</v>
      </c>
      <c r="G1955" t="s">
        <v>510</v>
      </c>
      <c r="H1955" t="s">
        <v>598</v>
      </c>
      <c r="I1955" t="s">
        <v>874</v>
      </c>
      <c r="J1955" s="3" t="s">
        <v>494</v>
      </c>
      <c r="K1955" t="s">
        <v>3601</v>
      </c>
      <c r="L1955" s="4">
        <v>1</v>
      </c>
      <c r="M1955" s="4">
        <v>0</v>
      </c>
      <c r="N1955">
        <v>1</v>
      </c>
      <c r="P1955">
        <v>0</v>
      </c>
      <c r="Q1955">
        <f>QtyRemaining*EstMfgMin/60</f>
        <v>0</v>
      </c>
      <c r="U1955" t="e">
        <f t="shared" si="62"/>
        <v>#REF!</v>
      </c>
      <c r="V1955" s="5" t="e">
        <f t="shared" si="63"/>
        <v>#REF!</v>
      </c>
    </row>
    <row r="1956" spans="1:22" x14ac:dyDescent="0.25">
      <c r="A1956" s="2">
        <v>46373</v>
      </c>
      <c r="B1956" s="2">
        <v>45636</v>
      </c>
      <c r="C1956" t="s">
        <v>570</v>
      </c>
      <c r="D1956">
        <v>51</v>
      </c>
      <c r="E1956" t="s">
        <v>597</v>
      </c>
      <c r="F1956" t="s">
        <v>261</v>
      </c>
      <c r="G1956" t="s">
        <v>510</v>
      </c>
      <c r="H1956" t="s">
        <v>598</v>
      </c>
      <c r="I1956" t="s">
        <v>874</v>
      </c>
      <c r="J1956" s="3" t="s">
        <v>494</v>
      </c>
      <c r="K1956" t="s">
        <v>3601</v>
      </c>
      <c r="L1956" s="4">
        <v>1</v>
      </c>
      <c r="M1956" s="4">
        <v>0</v>
      </c>
      <c r="N1956">
        <v>1</v>
      </c>
      <c r="P1956">
        <v>0</v>
      </c>
      <c r="Q1956">
        <f>QtyRemaining*EstMfgMin/60</f>
        <v>0</v>
      </c>
      <c r="U1956" t="e">
        <f t="shared" si="62"/>
        <v>#REF!</v>
      </c>
      <c r="V1956" s="5" t="e">
        <f t="shared" si="63"/>
        <v>#REF!</v>
      </c>
    </row>
    <row r="1957" spans="1:22" x14ac:dyDescent="0.25">
      <c r="A1957" s="2">
        <v>46373</v>
      </c>
      <c r="B1957" s="2">
        <v>45636</v>
      </c>
      <c r="C1957" t="s">
        <v>570</v>
      </c>
      <c r="D1957">
        <v>51</v>
      </c>
      <c r="E1957" t="s">
        <v>597</v>
      </c>
      <c r="F1957" t="s">
        <v>261</v>
      </c>
      <c r="G1957" t="s">
        <v>510</v>
      </c>
      <c r="H1957" t="s">
        <v>598</v>
      </c>
      <c r="I1957" t="s">
        <v>874</v>
      </c>
      <c r="J1957" s="3" t="s">
        <v>494</v>
      </c>
      <c r="K1957" t="s">
        <v>3601</v>
      </c>
      <c r="L1957" s="4">
        <v>1</v>
      </c>
      <c r="M1957" s="4">
        <v>0</v>
      </c>
      <c r="N1957">
        <v>1</v>
      </c>
      <c r="P1957">
        <v>0</v>
      </c>
      <c r="Q1957">
        <f>QtyRemaining*EstMfgMin/60</f>
        <v>0</v>
      </c>
      <c r="U1957" t="e">
        <f t="shared" si="62"/>
        <v>#REF!</v>
      </c>
      <c r="V1957" s="5" t="e">
        <f t="shared" si="63"/>
        <v>#REF!</v>
      </c>
    </row>
    <row r="1958" spans="1:22" x14ac:dyDescent="0.25">
      <c r="A1958" s="2">
        <v>46373</v>
      </c>
      <c r="B1958" s="2">
        <v>45636</v>
      </c>
      <c r="C1958" t="s">
        <v>570</v>
      </c>
      <c r="D1958">
        <v>51</v>
      </c>
      <c r="E1958" t="s">
        <v>597</v>
      </c>
      <c r="F1958" t="s">
        <v>261</v>
      </c>
      <c r="G1958" t="s">
        <v>510</v>
      </c>
      <c r="H1958" t="s">
        <v>598</v>
      </c>
      <c r="I1958" t="s">
        <v>874</v>
      </c>
      <c r="J1958" s="3" t="s">
        <v>494</v>
      </c>
      <c r="K1958" t="s">
        <v>3601</v>
      </c>
      <c r="L1958" s="4">
        <v>1</v>
      </c>
      <c r="M1958" s="4">
        <v>0</v>
      </c>
      <c r="N1958">
        <v>1</v>
      </c>
      <c r="P1958">
        <v>0</v>
      </c>
      <c r="Q1958">
        <f>QtyRemaining*EstMfgMin/60</f>
        <v>0</v>
      </c>
      <c r="U1958" t="e">
        <f t="shared" si="62"/>
        <v>#REF!</v>
      </c>
      <c r="V1958" s="5" t="e">
        <f t="shared" si="63"/>
        <v>#REF!</v>
      </c>
    </row>
    <row r="1959" spans="1:22" x14ac:dyDescent="0.25">
      <c r="A1959" s="2">
        <v>46373</v>
      </c>
      <c r="B1959" s="2">
        <v>45636</v>
      </c>
      <c r="C1959" t="s">
        <v>570</v>
      </c>
      <c r="D1959">
        <v>51</v>
      </c>
      <c r="E1959" t="s">
        <v>597</v>
      </c>
      <c r="F1959" t="s">
        <v>261</v>
      </c>
      <c r="G1959" t="s">
        <v>510</v>
      </c>
      <c r="H1959" t="s">
        <v>598</v>
      </c>
      <c r="I1959" t="s">
        <v>874</v>
      </c>
      <c r="J1959" s="3" t="s">
        <v>494</v>
      </c>
      <c r="K1959" t="s">
        <v>3601</v>
      </c>
      <c r="L1959" s="4">
        <v>1</v>
      </c>
      <c r="M1959" s="4">
        <v>0</v>
      </c>
      <c r="N1959">
        <v>1</v>
      </c>
      <c r="P1959">
        <v>0</v>
      </c>
      <c r="Q1959">
        <f>QtyRemaining*EstMfgMin/60</f>
        <v>0</v>
      </c>
      <c r="U1959" t="e">
        <f t="shared" si="62"/>
        <v>#REF!</v>
      </c>
      <c r="V1959" s="5" t="e">
        <f t="shared" si="63"/>
        <v>#REF!</v>
      </c>
    </row>
    <row r="1960" spans="1:22" x14ac:dyDescent="0.25">
      <c r="A1960" s="2">
        <v>46373</v>
      </c>
      <c r="B1960" s="2">
        <v>45636</v>
      </c>
      <c r="C1960" t="s">
        <v>570</v>
      </c>
      <c r="D1960">
        <v>51</v>
      </c>
      <c r="E1960" t="s">
        <v>597</v>
      </c>
      <c r="F1960" t="s">
        <v>261</v>
      </c>
      <c r="G1960" t="s">
        <v>510</v>
      </c>
      <c r="H1960" t="s">
        <v>598</v>
      </c>
      <c r="I1960" t="s">
        <v>874</v>
      </c>
      <c r="J1960" s="3" t="s">
        <v>494</v>
      </c>
      <c r="K1960" t="s">
        <v>3601</v>
      </c>
      <c r="L1960" s="4">
        <v>1</v>
      </c>
      <c r="M1960" s="4">
        <v>0</v>
      </c>
      <c r="N1960">
        <v>1</v>
      </c>
      <c r="P1960">
        <v>0</v>
      </c>
      <c r="Q1960">
        <f>QtyRemaining*EstMfgMin/60</f>
        <v>0</v>
      </c>
      <c r="U1960" t="e">
        <f t="shared" si="62"/>
        <v>#REF!</v>
      </c>
      <c r="V1960" s="5" t="e">
        <f t="shared" si="63"/>
        <v>#REF!</v>
      </c>
    </row>
    <row r="1961" spans="1:22" x14ac:dyDescent="0.25">
      <c r="A1961" s="2">
        <v>46374</v>
      </c>
      <c r="B1961" s="2">
        <v>45926</v>
      </c>
      <c r="C1961" t="s">
        <v>523</v>
      </c>
      <c r="D1961">
        <v>51</v>
      </c>
      <c r="E1961" t="s">
        <v>3409</v>
      </c>
      <c r="F1961" t="s">
        <v>261</v>
      </c>
      <c r="G1961" t="s">
        <v>262</v>
      </c>
      <c r="H1961" t="s">
        <v>3410</v>
      </c>
      <c r="I1961" t="s">
        <v>83</v>
      </c>
      <c r="J1961" s="3" t="s">
        <v>3411</v>
      </c>
      <c r="K1961" t="s">
        <v>3412</v>
      </c>
      <c r="L1961" s="4">
        <v>10</v>
      </c>
      <c r="M1961" s="4">
        <v>0</v>
      </c>
      <c r="N1961">
        <v>10</v>
      </c>
      <c r="O1961" t="s">
        <v>457</v>
      </c>
      <c r="P1961">
        <v>330</v>
      </c>
      <c r="Q1961">
        <f>QtyRemaining*EstMfgMin/60</f>
        <v>55</v>
      </c>
      <c r="U1961" t="e">
        <f t="shared" si="62"/>
        <v>#REF!</v>
      </c>
      <c r="V1961" s="5" t="e">
        <f t="shared" si="63"/>
        <v>#REF!</v>
      </c>
    </row>
    <row r="1962" spans="1:22" x14ac:dyDescent="0.25">
      <c r="A1962" s="2">
        <v>46376</v>
      </c>
      <c r="B1962" s="2">
        <v>45926</v>
      </c>
      <c r="C1962" t="s">
        <v>523</v>
      </c>
      <c r="D1962">
        <v>52</v>
      </c>
      <c r="E1962" t="s">
        <v>3409</v>
      </c>
      <c r="F1962" t="s">
        <v>261</v>
      </c>
      <c r="G1962" t="s">
        <v>262</v>
      </c>
      <c r="H1962" t="s">
        <v>3410</v>
      </c>
      <c r="I1962" t="s">
        <v>83</v>
      </c>
      <c r="J1962" s="3" t="s">
        <v>3411</v>
      </c>
      <c r="K1962" t="s">
        <v>3412</v>
      </c>
      <c r="L1962" s="4">
        <v>10</v>
      </c>
      <c r="M1962" s="4">
        <v>0</v>
      </c>
      <c r="N1962">
        <v>10</v>
      </c>
      <c r="O1962" t="s">
        <v>457</v>
      </c>
      <c r="P1962">
        <v>330</v>
      </c>
      <c r="Q1962">
        <f>QtyRemaining*EstMfgMin/60</f>
        <v>55</v>
      </c>
      <c r="U1962" t="e">
        <f t="shared" si="62"/>
        <v>#REF!</v>
      </c>
      <c r="V1962" s="5" t="e">
        <f t="shared" si="63"/>
        <v>#REF!</v>
      </c>
    </row>
    <row r="1963" spans="1:22" x14ac:dyDescent="0.25">
      <c r="A1963" s="2">
        <v>46377</v>
      </c>
      <c r="B1963" s="2">
        <v>45933</v>
      </c>
      <c r="C1963" t="s">
        <v>523</v>
      </c>
      <c r="D1963">
        <v>52</v>
      </c>
      <c r="E1963" t="s">
        <v>1998</v>
      </c>
      <c r="F1963" t="s">
        <v>211</v>
      </c>
      <c r="G1963" t="s">
        <v>1999</v>
      </c>
      <c r="H1963" t="s">
        <v>2000</v>
      </c>
      <c r="I1963" t="s">
        <v>83</v>
      </c>
      <c r="J1963" s="3" t="s">
        <v>2001</v>
      </c>
      <c r="K1963" t="s">
        <v>2002</v>
      </c>
      <c r="L1963" s="4">
        <v>4</v>
      </c>
      <c r="M1963" s="4">
        <v>0</v>
      </c>
      <c r="N1963">
        <v>4</v>
      </c>
      <c r="O1963" t="s">
        <v>94</v>
      </c>
      <c r="P1963">
        <v>600</v>
      </c>
      <c r="Q1963">
        <f>QtyRemaining*EstMfgMin/60</f>
        <v>40</v>
      </c>
      <c r="U1963" t="e">
        <f t="shared" si="62"/>
        <v>#REF!</v>
      </c>
      <c r="V1963" s="5" t="e">
        <f t="shared" si="63"/>
        <v>#REF!</v>
      </c>
    </row>
    <row r="1964" spans="1:22" x14ac:dyDescent="0.25">
      <c r="A1964" s="2">
        <v>46377</v>
      </c>
      <c r="B1964" s="2">
        <v>45933</v>
      </c>
      <c r="C1964" t="s">
        <v>523</v>
      </c>
      <c r="D1964">
        <v>52</v>
      </c>
      <c r="E1964" t="s">
        <v>1998</v>
      </c>
      <c r="F1964" t="s">
        <v>211</v>
      </c>
      <c r="G1964" t="s">
        <v>1999</v>
      </c>
      <c r="H1964" t="s">
        <v>2000</v>
      </c>
      <c r="I1964" t="s">
        <v>83</v>
      </c>
      <c r="J1964" s="3" t="s">
        <v>2003</v>
      </c>
      <c r="K1964" t="s">
        <v>2004</v>
      </c>
      <c r="L1964" s="4">
        <v>4</v>
      </c>
      <c r="M1964" s="4">
        <v>0</v>
      </c>
      <c r="N1964">
        <v>4</v>
      </c>
      <c r="O1964" t="s">
        <v>457</v>
      </c>
      <c r="P1964">
        <v>240</v>
      </c>
      <c r="Q1964">
        <f>QtyRemaining*EstMfgMin/60</f>
        <v>16</v>
      </c>
      <c r="U1964" t="e">
        <f t="shared" si="62"/>
        <v>#REF!</v>
      </c>
      <c r="V1964" s="5" t="e">
        <f t="shared" si="63"/>
        <v>#REF!</v>
      </c>
    </row>
    <row r="1965" spans="1:22" x14ac:dyDescent="0.25">
      <c r="A1965" s="2">
        <v>46377</v>
      </c>
      <c r="B1965" s="2">
        <v>45933</v>
      </c>
      <c r="C1965" t="s">
        <v>523</v>
      </c>
      <c r="D1965">
        <v>52</v>
      </c>
      <c r="E1965" t="s">
        <v>1998</v>
      </c>
      <c r="F1965" t="s">
        <v>211</v>
      </c>
      <c r="G1965" t="s">
        <v>1999</v>
      </c>
      <c r="H1965" t="s">
        <v>2000</v>
      </c>
      <c r="I1965" t="s">
        <v>83</v>
      </c>
      <c r="J1965" s="3" t="s">
        <v>2005</v>
      </c>
      <c r="K1965" t="s">
        <v>2006</v>
      </c>
      <c r="L1965" s="4">
        <v>4</v>
      </c>
      <c r="M1965" s="4">
        <v>0</v>
      </c>
      <c r="N1965">
        <v>4</v>
      </c>
      <c r="O1965" t="s">
        <v>457</v>
      </c>
      <c r="P1965">
        <v>240</v>
      </c>
      <c r="Q1965">
        <f>QtyRemaining*EstMfgMin/60</f>
        <v>16</v>
      </c>
      <c r="U1965" t="e">
        <f t="shared" si="62"/>
        <v>#REF!</v>
      </c>
      <c r="V1965" s="5" t="e">
        <f t="shared" si="63"/>
        <v>#REF!</v>
      </c>
    </row>
    <row r="1966" spans="1:22" x14ac:dyDescent="0.25">
      <c r="A1966" s="2">
        <v>46378</v>
      </c>
      <c r="B1966" s="2">
        <v>45971</v>
      </c>
      <c r="C1966" t="s">
        <v>478</v>
      </c>
      <c r="D1966">
        <v>52</v>
      </c>
      <c r="E1966" t="s">
        <v>2415</v>
      </c>
      <c r="F1966" t="s">
        <v>261</v>
      </c>
      <c r="G1966" t="s">
        <v>1021</v>
      </c>
      <c r="H1966" t="s">
        <v>2416</v>
      </c>
      <c r="I1966" t="s">
        <v>874</v>
      </c>
      <c r="J1966" s="3" t="s">
        <v>875</v>
      </c>
      <c r="K1966" t="s">
        <v>1049</v>
      </c>
      <c r="L1966" s="4">
        <v>1</v>
      </c>
      <c r="M1966" s="4">
        <v>0</v>
      </c>
      <c r="N1966">
        <v>1</v>
      </c>
      <c r="P1966">
        <v>0</v>
      </c>
      <c r="Q1966">
        <f>QtyRemaining*EstMfgMin/60</f>
        <v>0</v>
      </c>
      <c r="U1966" t="e">
        <f t="shared" si="62"/>
        <v>#REF!</v>
      </c>
      <c r="V1966" s="5" t="e">
        <f t="shared" si="63"/>
        <v>#REF!</v>
      </c>
    </row>
    <row r="1967" spans="1:22" x14ac:dyDescent="0.25">
      <c r="A1967" s="2">
        <v>46387</v>
      </c>
      <c r="B1967" s="2">
        <v>45141</v>
      </c>
      <c r="C1967" t="s">
        <v>221</v>
      </c>
      <c r="D1967">
        <v>53</v>
      </c>
      <c r="E1967" t="s">
        <v>3602</v>
      </c>
      <c r="F1967" t="s">
        <v>211</v>
      </c>
      <c r="G1967" t="s">
        <v>519</v>
      </c>
      <c r="H1967" t="s">
        <v>3603</v>
      </c>
      <c r="I1967" t="s">
        <v>155</v>
      </c>
      <c r="J1967" s="3" t="s">
        <v>3604</v>
      </c>
      <c r="K1967" t="s">
        <v>3605</v>
      </c>
      <c r="L1967" s="4">
        <v>8</v>
      </c>
      <c r="M1967" s="4">
        <v>0</v>
      </c>
      <c r="N1967">
        <v>8</v>
      </c>
      <c r="O1967" t="s">
        <v>86</v>
      </c>
      <c r="P1967">
        <v>120</v>
      </c>
      <c r="Q1967">
        <f>QtyRemaining*EstMfgMin/60</f>
        <v>16</v>
      </c>
      <c r="U1967" t="e">
        <f t="shared" si="62"/>
        <v>#REF!</v>
      </c>
      <c r="V1967" s="5" t="e">
        <f t="shared" si="63"/>
        <v>#REF!</v>
      </c>
    </row>
    <row r="1968" spans="1:22" x14ac:dyDescent="0.25">
      <c r="A1968" s="2">
        <v>46387</v>
      </c>
      <c r="B1968" s="2">
        <v>45380</v>
      </c>
      <c r="C1968" t="s">
        <v>485</v>
      </c>
      <c r="D1968">
        <v>53</v>
      </c>
      <c r="E1968" t="s">
        <v>3606</v>
      </c>
      <c r="F1968" t="s">
        <v>211</v>
      </c>
      <c r="G1968" t="s">
        <v>487</v>
      </c>
      <c r="H1968" t="s">
        <v>3607</v>
      </c>
      <c r="I1968" t="s">
        <v>83</v>
      </c>
      <c r="J1968" s="3" t="s">
        <v>3608</v>
      </c>
      <c r="K1968" t="s">
        <v>1886</v>
      </c>
      <c r="L1968" s="4">
        <v>288</v>
      </c>
      <c r="M1968" s="4">
        <v>0</v>
      </c>
      <c r="N1968">
        <v>288</v>
      </c>
      <c r="O1968" t="s">
        <v>146</v>
      </c>
      <c r="P1968">
        <v>130</v>
      </c>
      <c r="Q1968">
        <f>QtyRemaining*EstMfgMin/60</f>
        <v>624</v>
      </c>
      <c r="U1968" t="e">
        <f t="shared" si="62"/>
        <v>#REF!</v>
      </c>
      <c r="V1968" s="5" t="e">
        <f t="shared" si="63"/>
        <v>#REF!</v>
      </c>
    </row>
    <row r="1969" spans="1:22" x14ac:dyDescent="0.25">
      <c r="A1969" s="2">
        <v>46387</v>
      </c>
      <c r="B1969" s="2">
        <v>45380</v>
      </c>
      <c r="C1969" t="s">
        <v>485</v>
      </c>
      <c r="D1969">
        <v>53</v>
      </c>
      <c r="E1969" t="s">
        <v>3606</v>
      </c>
      <c r="F1969" t="s">
        <v>211</v>
      </c>
      <c r="G1969" t="s">
        <v>487</v>
      </c>
      <c r="H1969" t="s">
        <v>3607</v>
      </c>
      <c r="I1969" t="s">
        <v>83</v>
      </c>
      <c r="J1969" s="3" t="s">
        <v>3608</v>
      </c>
      <c r="K1969" t="s">
        <v>1886</v>
      </c>
      <c r="L1969" s="4">
        <v>288</v>
      </c>
      <c r="M1969" s="4">
        <v>0</v>
      </c>
      <c r="N1969">
        <v>288</v>
      </c>
      <c r="O1969" t="s">
        <v>146</v>
      </c>
      <c r="P1969">
        <v>130</v>
      </c>
      <c r="Q1969">
        <f>QtyRemaining*EstMfgMin/60</f>
        <v>624</v>
      </c>
      <c r="U1969" t="e">
        <f t="shared" si="62"/>
        <v>#REF!</v>
      </c>
      <c r="V1969" s="5" t="e">
        <f t="shared" si="63"/>
        <v>#REF!</v>
      </c>
    </row>
    <row r="1970" spans="1:22" x14ac:dyDescent="0.25">
      <c r="A1970" s="2">
        <v>46387</v>
      </c>
      <c r="B1970" s="2">
        <v>45380</v>
      </c>
      <c r="C1970" t="s">
        <v>485</v>
      </c>
      <c r="D1970">
        <v>53</v>
      </c>
      <c r="E1970" t="s">
        <v>3606</v>
      </c>
      <c r="F1970" t="s">
        <v>211</v>
      </c>
      <c r="G1970" t="s">
        <v>487</v>
      </c>
      <c r="H1970" t="s">
        <v>3607</v>
      </c>
      <c r="I1970" t="s">
        <v>83</v>
      </c>
      <c r="J1970" s="3" t="s">
        <v>3608</v>
      </c>
      <c r="K1970" t="s">
        <v>1886</v>
      </c>
      <c r="L1970" s="4">
        <v>288</v>
      </c>
      <c r="M1970" s="4">
        <v>0</v>
      </c>
      <c r="N1970">
        <v>288</v>
      </c>
      <c r="O1970" t="s">
        <v>146</v>
      </c>
      <c r="P1970">
        <v>130</v>
      </c>
      <c r="Q1970">
        <f>QtyRemaining*EstMfgMin/60</f>
        <v>624</v>
      </c>
      <c r="U1970" t="e">
        <f t="shared" si="62"/>
        <v>#REF!</v>
      </c>
      <c r="V1970" s="5" t="e">
        <f t="shared" si="63"/>
        <v>#REF!</v>
      </c>
    </row>
    <row r="1971" spans="1:22" x14ac:dyDescent="0.25">
      <c r="A1971" s="2">
        <v>46387</v>
      </c>
      <c r="B1971" s="2">
        <v>45380</v>
      </c>
      <c r="C1971" t="s">
        <v>485</v>
      </c>
      <c r="D1971">
        <v>53</v>
      </c>
      <c r="E1971" t="s">
        <v>3606</v>
      </c>
      <c r="F1971" t="s">
        <v>211</v>
      </c>
      <c r="G1971" t="s">
        <v>487</v>
      </c>
      <c r="H1971" t="s">
        <v>3607</v>
      </c>
      <c r="I1971" t="s">
        <v>83</v>
      </c>
      <c r="J1971" s="3" t="s">
        <v>3608</v>
      </c>
      <c r="K1971" t="s">
        <v>1886</v>
      </c>
      <c r="L1971" s="4">
        <v>136</v>
      </c>
      <c r="M1971" s="4">
        <v>0</v>
      </c>
      <c r="N1971">
        <v>136</v>
      </c>
      <c r="O1971" t="s">
        <v>146</v>
      </c>
      <c r="P1971">
        <v>130</v>
      </c>
      <c r="Q1971">
        <f>QtyRemaining*EstMfgMin/60</f>
        <v>294.66666666666669</v>
      </c>
      <c r="U1971" t="e">
        <f t="shared" si="62"/>
        <v>#REF!</v>
      </c>
      <c r="V1971" s="5" t="e">
        <f t="shared" si="63"/>
        <v>#REF!</v>
      </c>
    </row>
    <row r="1972" spans="1:22" x14ac:dyDescent="0.25">
      <c r="A1972" s="2">
        <v>46387</v>
      </c>
      <c r="B1972" s="2">
        <v>45933</v>
      </c>
      <c r="C1972" t="s">
        <v>685</v>
      </c>
      <c r="D1972">
        <v>53</v>
      </c>
      <c r="E1972" t="s">
        <v>3474</v>
      </c>
      <c r="F1972" t="s">
        <v>261</v>
      </c>
      <c r="G1972" t="s">
        <v>262</v>
      </c>
      <c r="H1972" t="s">
        <v>3475</v>
      </c>
      <c r="I1972" t="s">
        <v>83</v>
      </c>
      <c r="J1972" s="3" t="s">
        <v>3476</v>
      </c>
      <c r="K1972" t="s">
        <v>3477</v>
      </c>
      <c r="L1972" s="4">
        <v>25</v>
      </c>
      <c r="M1972" s="4">
        <v>0</v>
      </c>
      <c r="N1972">
        <v>25</v>
      </c>
      <c r="O1972" t="s">
        <v>457</v>
      </c>
      <c r="P1972">
        <v>60</v>
      </c>
      <c r="Q1972">
        <f>QtyRemaining*EstMfgMin/60</f>
        <v>25</v>
      </c>
      <c r="U1972" t="e">
        <f t="shared" si="62"/>
        <v>#REF!</v>
      </c>
      <c r="V1972" s="5" t="e">
        <f t="shared" si="63"/>
        <v>#REF!</v>
      </c>
    </row>
    <row r="1973" spans="1:22" x14ac:dyDescent="0.25">
      <c r="A1973" s="2">
        <v>46398</v>
      </c>
      <c r="B1973" s="2">
        <v>46051</v>
      </c>
      <c r="C1973" t="s">
        <v>232</v>
      </c>
      <c r="D1973">
        <v>3</v>
      </c>
      <c r="E1973" t="s">
        <v>2938</v>
      </c>
      <c r="F1973" t="s">
        <v>211</v>
      </c>
      <c r="G1973" t="s">
        <v>270</v>
      </c>
      <c r="H1973" t="s">
        <v>2939</v>
      </c>
      <c r="I1973" t="s">
        <v>214</v>
      </c>
      <c r="J1973" s="3" t="s">
        <v>2940</v>
      </c>
      <c r="K1973" t="s">
        <v>2941</v>
      </c>
      <c r="L1973" s="4">
        <v>50</v>
      </c>
      <c r="M1973" s="4">
        <v>0</v>
      </c>
      <c r="N1973">
        <v>50</v>
      </c>
      <c r="O1973" t="s">
        <v>118</v>
      </c>
      <c r="P1973">
        <v>8</v>
      </c>
      <c r="Q1973">
        <f>QtyRemaining*EstMfgMin/60</f>
        <v>6.666666666666667</v>
      </c>
      <c r="U1973" t="e">
        <f t="shared" si="62"/>
        <v>#REF!</v>
      </c>
      <c r="V1973" s="5" t="e">
        <f t="shared" si="63"/>
        <v>#REF!</v>
      </c>
    </row>
    <row r="1974" spans="1:22" x14ac:dyDescent="0.25">
      <c r="A1974" s="2">
        <v>46402</v>
      </c>
      <c r="B1974" s="2">
        <v>45840</v>
      </c>
      <c r="C1974" t="s">
        <v>523</v>
      </c>
      <c r="D1974">
        <v>3</v>
      </c>
      <c r="E1974" t="s">
        <v>1241</v>
      </c>
      <c r="F1974" t="s">
        <v>261</v>
      </c>
      <c r="G1974" t="s">
        <v>1242</v>
      </c>
      <c r="H1974" t="s">
        <v>1243</v>
      </c>
      <c r="I1974" t="s">
        <v>83</v>
      </c>
      <c r="J1974" s="3" t="s">
        <v>1244</v>
      </c>
      <c r="K1974" t="s">
        <v>1245</v>
      </c>
      <c r="L1974" s="4">
        <v>10</v>
      </c>
      <c r="M1974" s="4">
        <v>0</v>
      </c>
      <c r="N1974">
        <v>10</v>
      </c>
      <c r="O1974" t="s">
        <v>118</v>
      </c>
      <c r="P1974">
        <v>1050</v>
      </c>
      <c r="Q1974">
        <f>QtyRemaining*EstMfgMin/60</f>
        <v>175</v>
      </c>
      <c r="U1974" t="e">
        <f t="shared" si="62"/>
        <v>#REF!</v>
      </c>
      <c r="V1974" s="5" t="e">
        <f t="shared" si="63"/>
        <v>#REF!</v>
      </c>
    </row>
    <row r="1975" spans="1:22" x14ac:dyDescent="0.25">
      <c r="A1975" s="2">
        <v>46405</v>
      </c>
      <c r="B1975" s="2">
        <v>45933</v>
      </c>
      <c r="C1975" t="s">
        <v>523</v>
      </c>
      <c r="D1975">
        <v>4</v>
      </c>
      <c r="E1975" t="s">
        <v>1998</v>
      </c>
      <c r="F1975" t="s">
        <v>211</v>
      </c>
      <c r="G1975" t="s">
        <v>1999</v>
      </c>
      <c r="H1975" t="s">
        <v>2000</v>
      </c>
      <c r="I1975" t="s">
        <v>83</v>
      </c>
      <c r="J1975" s="3" t="s">
        <v>2001</v>
      </c>
      <c r="K1975" t="s">
        <v>2002</v>
      </c>
      <c r="L1975" s="4">
        <v>4</v>
      </c>
      <c r="M1975" s="4">
        <v>0</v>
      </c>
      <c r="N1975">
        <v>4</v>
      </c>
      <c r="O1975" t="s">
        <v>94</v>
      </c>
      <c r="P1975">
        <v>600</v>
      </c>
      <c r="Q1975">
        <f>QtyRemaining*EstMfgMin/60</f>
        <v>40</v>
      </c>
      <c r="U1975" t="e">
        <f t="shared" si="62"/>
        <v>#REF!</v>
      </c>
      <c r="V1975" s="5" t="e">
        <f t="shared" si="63"/>
        <v>#REF!</v>
      </c>
    </row>
    <row r="1976" spans="1:22" x14ac:dyDescent="0.25">
      <c r="A1976" s="2">
        <v>46405</v>
      </c>
      <c r="B1976" s="2">
        <v>45933</v>
      </c>
      <c r="C1976" t="s">
        <v>523</v>
      </c>
      <c r="D1976">
        <v>4</v>
      </c>
      <c r="E1976" t="s">
        <v>1998</v>
      </c>
      <c r="F1976" t="s">
        <v>211</v>
      </c>
      <c r="G1976" t="s">
        <v>1999</v>
      </c>
      <c r="H1976" t="s">
        <v>2000</v>
      </c>
      <c r="I1976" t="s">
        <v>83</v>
      </c>
      <c r="J1976" s="3" t="s">
        <v>2003</v>
      </c>
      <c r="K1976" t="s">
        <v>2004</v>
      </c>
      <c r="L1976" s="4">
        <v>4</v>
      </c>
      <c r="M1976" s="4">
        <v>0</v>
      </c>
      <c r="N1976">
        <v>4</v>
      </c>
      <c r="O1976" t="s">
        <v>457</v>
      </c>
      <c r="P1976">
        <v>240</v>
      </c>
      <c r="Q1976">
        <f>QtyRemaining*EstMfgMin/60</f>
        <v>16</v>
      </c>
      <c r="U1976" t="e">
        <f t="shared" si="62"/>
        <v>#REF!</v>
      </c>
      <c r="V1976" s="5" t="e">
        <f t="shared" si="63"/>
        <v>#REF!</v>
      </c>
    </row>
    <row r="1977" spans="1:22" x14ac:dyDescent="0.25">
      <c r="A1977" s="2">
        <v>46405</v>
      </c>
      <c r="B1977" s="2">
        <v>45933</v>
      </c>
      <c r="C1977" t="s">
        <v>523</v>
      </c>
      <c r="D1977">
        <v>4</v>
      </c>
      <c r="E1977" t="s">
        <v>1998</v>
      </c>
      <c r="F1977" t="s">
        <v>211</v>
      </c>
      <c r="G1977" t="s">
        <v>1999</v>
      </c>
      <c r="H1977" t="s">
        <v>2000</v>
      </c>
      <c r="I1977" t="s">
        <v>83</v>
      </c>
      <c r="J1977" s="3" t="s">
        <v>2005</v>
      </c>
      <c r="K1977" t="s">
        <v>2006</v>
      </c>
      <c r="L1977" s="4">
        <v>4</v>
      </c>
      <c r="M1977" s="4">
        <v>0</v>
      </c>
      <c r="N1977">
        <v>4</v>
      </c>
      <c r="O1977" t="s">
        <v>457</v>
      </c>
      <c r="P1977">
        <v>240</v>
      </c>
      <c r="Q1977">
        <f>QtyRemaining*EstMfgMin/60</f>
        <v>16</v>
      </c>
      <c r="U1977" t="e">
        <f t="shared" si="62"/>
        <v>#REF!</v>
      </c>
      <c r="V1977" s="5" t="e">
        <f t="shared" si="63"/>
        <v>#REF!</v>
      </c>
    </row>
    <row r="1978" spans="1:22" x14ac:dyDescent="0.25">
      <c r="A1978" s="2">
        <v>46406</v>
      </c>
      <c r="B1978" s="2">
        <v>45926</v>
      </c>
      <c r="C1978" t="s">
        <v>523</v>
      </c>
      <c r="D1978">
        <v>4</v>
      </c>
      <c r="E1978" t="s">
        <v>3409</v>
      </c>
      <c r="F1978" t="s">
        <v>261</v>
      </c>
      <c r="G1978" t="s">
        <v>262</v>
      </c>
      <c r="H1978" t="s">
        <v>3410</v>
      </c>
      <c r="I1978" t="s">
        <v>83</v>
      </c>
      <c r="J1978" s="3" t="s">
        <v>3411</v>
      </c>
      <c r="K1978" t="s">
        <v>3412</v>
      </c>
      <c r="L1978" s="4">
        <v>1</v>
      </c>
      <c r="M1978" s="4">
        <v>0</v>
      </c>
      <c r="N1978">
        <v>1</v>
      </c>
      <c r="O1978" t="s">
        <v>457</v>
      </c>
      <c r="P1978">
        <v>330</v>
      </c>
      <c r="Q1978">
        <f>QtyRemaining*EstMfgMin/60</f>
        <v>5.5</v>
      </c>
      <c r="U1978" t="e">
        <f t="shared" si="62"/>
        <v>#REF!</v>
      </c>
      <c r="V1978" s="5" t="e">
        <f t="shared" si="63"/>
        <v>#REF!</v>
      </c>
    </row>
    <row r="1979" spans="1:22" x14ac:dyDescent="0.25">
      <c r="A1979" s="2">
        <v>46406</v>
      </c>
      <c r="B1979" s="2">
        <v>45926</v>
      </c>
      <c r="C1979" t="s">
        <v>523</v>
      </c>
      <c r="D1979">
        <v>4</v>
      </c>
      <c r="E1979" t="s">
        <v>3409</v>
      </c>
      <c r="F1979" t="s">
        <v>261</v>
      </c>
      <c r="G1979" t="s">
        <v>262</v>
      </c>
      <c r="H1979" t="s">
        <v>3410</v>
      </c>
      <c r="I1979" t="s">
        <v>83</v>
      </c>
      <c r="J1979" s="3" t="s">
        <v>3411</v>
      </c>
      <c r="K1979" t="s">
        <v>3412</v>
      </c>
      <c r="L1979" s="4">
        <v>1</v>
      </c>
      <c r="M1979" s="4">
        <v>0</v>
      </c>
      <c r="N1979">
        <v>1</v>
      </c>
      <c r="O1979" t="s">
        <v>457</v>
      </c>
      <c r="P1979">
        <v>330</v>
      </c>
      <c r="Q1979">
        <f>QtyRemaining*EstMfgMin/60</f>
        <v>5.5</v>
      </c>
      <c r="U1979" t="e">
        <f t="shared" si="62"/>
        <v>#REF!</v>
      </c>
      <c r="V1979" s="5" t="e">
        <f t="shared" si="63"/>
        <v>#REF!</v>
      </c>
    </row>
    <row r="1980" spans="1:22" x14ac:dyDescent="0.25">
      <c r="A1980" s="2">
        <v>46408</v>
      </c>
      <c r="B1980" s="2">
        <v>45741</v>
      </c>
      <c r="C1980" t="s">
        <v>550</v>
      </c>
      <c r="D1980">
        <v>4</v>
      </c>
      <c r="E1980" t="s">
        <v>551</v>
      </c>
      <c r="F1980" t="s">
        <v>261</v>
      </c>
      <c r="G1980" t="s">
        <v>552</v>
      </c>
      <c r="H1980" t="s">
        <v>553</v>
      </c>
      <c r="I1980" t="s">
        <v>45</v>
      </c>
      <c r="J1980" s="3" t="s">
        <v>554</v>
      </c>
      <c r="K1980" t="s">
        <v>555</v>
      </c>
      <c r="L1980" s="4">
        <v>3</v>
      </c>
      <c r="M1980" s="4">
        <v>0</v>
      </c>
      <c r="N1980">
        <v>3</v>
      </c>
      <c r="P1980">
        <v>0</v>
      </c>
      <c r="Q1980">
        <f>QtyRemaining*EstMfgMin/60</f>
        <v>0</v>
      </c>
      <c r="U1980" t="e">
        <f t="shared" si="62"/>
        <v>#REF!</v>
      </c>
      <c r="V1980" s="5" t="e">
        <f t="shared" si="63"/>
        <v>#REF!</v>
      </c>
    </row>
    <row r="1981" spans="1:22" x14ac:dyDescent="0.25">
      <c r="A1981" s="2">
        <v>46416</v>
      </c>
      <c r="B1981" s="2">
        <v>45462</v>
      </c>
      <c r="C1981" t="s">
        <v>550</v>
      </c>
      <c r="D1981">
        <v>5</v>
      </c>
      <c r="E1981" t="s">
        <v>3047</v>
      </c>
      <c r="F1981" t="s">
        <v>261</v>
      </c>
      <c r="G1981" t="s">
        <v>552</v>
      </c>
      <c r="H1981" t="s">
        <v>3048</v>
      </c>
      <c r="I1981" t="s">
        <v>122</v>
      </c>
      <c r="J1981" s="3" t="s">
        <v>3049</v>
      </c>
      <c r="K1981" t="s">
        <v>2414</v>
      </c>
      <c r="L1981" s="4">
        <v>15000</v>
      </c>
      <c r="M1981" s="4">
        <v>0</v>
      </c>
      <c r="N1981">
        <v>15000</v>
      </c>
      <c r="O1981" t="s">
        <v>146</v>
      </c>
      <c r="P1981">
        <v>0</v>
      </c>
      <c r="Q1981">
        <f>QtyRemaining*EstMfgMin/60</f>
        <v>0</v>
      </c>
      <c r="U1981" t="e">
        <f t="shared" si="62"/>
        <v>#REF!</v>
      </c>
      <c r="V1981" s="5" t="e">
        <f t="shared" si="63"/>
        <v>#REF!</v>
      </c>
    </row>
    <row r="1982" spans="1:22" x14ac:dyDescent="0.25">
      <c r="A1982" s="2">
        <v>46416</v>
      </c>
      <c r="B1982" s="2">
        <v>45933</v>
      </c>
      <c r="C1982" t="s">
        <v>685</v>
      </c>
      <c r="D1982">
        <v>5</v>
      </c>
      <c r="E1982" t="s">
        <v>3474</v>
      </c>
      <c r="F1982" t="s">
        <v>261</v>
      </c>
      <c r="G1982" t="s">
        <v>262</v>
      </c>
      <c r="H1982" t="s">
        <v>3475</v>
      </c>
      <c r="I1982" t="s">
        <v>83</v>
      </c>
      <c r="J1982" s="3" t="s">
        <v>3476</v>
      </c>
      <c r="K1982" t="s">
        <v>3477</v>
      </c>
      <c r="L1982" s="4">
        <v>25</v>
      </c>
      <c r="M1982" s="4">
        <v>0</v>
      </c>
      <c r="N1982">
        <v>25</v>
      </c>
      <c r="O1982" t="s">
        <v>457</v>
      </c>
      <c r="P1982">
        <v>60</v>
      </c>
      <c r="Q1982">
        <f>QtyRemaining*EstMfgMin/60</f>
        <v>25</v>
      </c>
      <c r="U1982" t="e">
        <f t="shared" si="62"/>
        <v>#REF!</v>
      </c>
      <c r="V1982" s="5" t="e">
        <f t="shared" si="63"/>
        <v>#REF!</v>
      </c>
    </row>
    <row r="1983" spans="1:22" x14ac:dyDescent="0.25">
      <c r="A1983" s="2">
        <v>46419</v>
      </c>
      <c r="B1983" s="2">
        <v>45825</v>
      </c>
      <c r="C1983" t="s">
        <v>221</v>
      </c>
      <c r="D1983">
        <v>6</v>
      </c>
      <c r="E1983" t="s">
        <v>2825</v>
      </c>
      <c r="F1983" t="s">
        <v>211</v>
      </c>
      <c r="G1983" t="s">
        <v>1731</v>
      </c>
      <c r="H1983" t="s">
        <v>2826</v>
      </c>
      <c r="I1983" t="s">
        <v>256</v>
      </c>
      <c r="J1983" s="3" t="s">
        <v>2827</v>
      </c>
      <c r="K1983" t="s">
        <v>2828</v>
      </c>
      <c r="L1983" s="4">
        <v>46</v>
      </c>
      <c r="M1983" s="4">
        <v>0</v>
      </c>
      <c r="N1983">
        <v>46</v>
      </c>
      <c r="O1983" t="s">
        <v>146</v>
      </c>
      <c r="P1983">
        <v>11</v>
      </c>
      <c r="Q1983">
        <f>QtyRemaining*EstMfgMin/60</f>
        <v>8.4333333333333336</v>
      </c>
      <c r="U1983" t="e">
        <f t="shared" si="62"/>
        <v>#REF!</v>
      </c>
      <c r="V1983" s="5" t="e">
        <f t="shared" si="63"/>
        <v>#REF!</v>
      </c>
    </row>
    <row r="1984" spans="1:22" x14ac:dyDescent="0.25">
      <c r="A1984" s="2">
        <v>46428</v>
      </c>
      <c r="B1984" s="2">
        <v>45783</v>
      </c>
      <c r="C1984" t="s">
        <v>478</v>
      </c>
      <c r="D1984">
        <v>7</v>
      </c>
      <c r="E1984" t="s">
        <v>1227</v>
      </c>
      <c r="F1984" t="s">
        <v>261</v>
      </c>
      <c r="G1984" t="s">
        <v>1228</v>
      </c>
      <c r="H1984" t="s">
        <v>1229</v>
      </c>
      <c r="I1984" t="s">
        <v>83</v>
      </c>
      <c r="J1984" s="3" t="s">
        <v>1230</v>
      </c>
      <c r="K1984" t="s">
        <v>1231</v>
      </c>
      <c r="L1984" s="4">
        <v>3</v>
      </c>
      <c r="M1984" s="4">
        <v>0</v>
      </c>
      <c r="N1984">
        <v>3</v>
      </c>
      <c r="O1984" t="s">
        <v>457</v>
      </c>
      <c r="P1984">
        <v>15</v>
      </c>
      <c r="Q1984">
        <f>QtyRemaining*EstMfgMin/60</f>
        <v>0.75</v>
      </c>
      <c r="S1984" t="s">
        <v>1026</v>
      </c>
      <c r="U1984" t="e">
        <f t="shared" si="62"/>
        <v>#REF!</v>
      </c>
      <c r="V1984" s="5" t="e">
        <f t="shared" si="63"/>
        <v>#REF!</v>
      </c>
    </row>
    <row r="1985" spans="1:22" x14ac:dyDescent="0.25">
      <c r="A1985" s="2">
        <v>46429</v>
      </c>
      <c r="B1985" s="2">
        <v>45783</v>
      </c>
      <c r="C1985" t="s">
        <v>478</v>
      </c>
      <c r="D1985">
        <v>7</v>
      </c>
      <c r="E1985" t="s">
        <v>1227</v>
      </c>
      <c r="F1985" t="s">
        <v>261</v>
      </c>
      <c r="G1985" t="s">
        <v>1228</v>
      </c>
      <c r="H1985" t="s">
        <v>1229</v>
      </c>
      <c r="I1985" t="s">
        <v>83</v>
      </c>
      <c r="J1985" s="3" t="s">
        <v>1230</v>
      </c>
      <c r="K1985" t="s">
        <v>1231</v>
      </c>
      <c r="L1985" s="4">
        <v>11</v>
      </c>
      <c r="M1985" s="4">
        <v>0</v>
      </c>
      <c r="N1985">
        <v>11</v>
      </c>
      <c r="O1985" t="s">
        <v>457</v>
      </c>
      <c r="P1985">
        <v>15</v>
      </c>
      <c r="Q1985">
        <f>QtyRemaining*EstMfgMin/60</f>
        <v>2.75</v>
      </c>
      <c r="S1985" t="s">
        <v>1026</v>
      </c>
      <c r="U1985" t="e">
        <f t="shared" si="62"/>
        <v>#REF!</v>
      </c>
      <c r="V1985" s="5" t="e">
        <f t="shared" si="63"/>
        <v>#REF!</v>
      </c>
    </row>
    <row r="1986" spans="1:22" x14ac:dyDescent="0.25">
      <c r="A1986" s="2">
        <v>46433</v>
      </c>
      <c r="B1986" s="2">
        <v>45933</v>
      </c>
      <c r="C1986" t="s">
        <v>523</v>
      </c>
      <c r="D1986">
        <v>8</v>
      </c>
      <c r="E1986" t="s">
        <v>1998</v>
      </c>
      <c r="F1986" t="s">
        <v>211</v>
      </c>
      <c r="G1986" t="s">
        <v>1999</v>
      </c>
      <c r="H1986" t="s">
        <v>2000</v>
      </c>
      <c r="I1986" t="s">
        <v>83</v>
      </c>
      <c r="J1986" s="3" t="s">
        <v>2001</v>
      </c>
      <c r="K1986" t="s">
        <v>2002</v>
      </c>
      <c r="L1986" s="4">
        <v>4</v>
      </c>
      <c r="M1986" s="4">
        <v>0</v>
      </c>
      <c r="N1986">
        <v>4</v>
      </c>
      <c r="O1986" t="s">
        <v>94</v>
      </c>
      <c r="P1986">
        <v>600</v>
      </c>
      <c r="Q1986">
        <f>QtyRemaining*EstMfgMin/60</f>
        <v>40</v>
      </c>
      <c r="U1986" t="e">
        <f t="shared" si="62"/>
        <v>#REF!</v>
      </c>
      <c r="V1986" s="5" t="e">
        <f t="shared" si="63"/>
        <v>#REF!</v>
      </c>
    </row>
    <row r="1987" spans="1:22" x14ac:dyDescent="0.25">
      <c r="A1987" s="2">
        <v>46433</v>
      </c>
      <c r="B1987" s="2">
        <v>45933</v>
      </c>
      <c r="C1987" t="s">
        <v>523</v>
      </c>
      <c r="D1987">
        <v>8</v>
      </c>
      <c r="E1987" t="s">
        <v>1998</v>
      </c>
      <c r="F1987" t="s">
        <v>211</v>
      </c>
      <c r="G1987" t="s">
        <v>1999</v>
      </c>
      <c r="H1987" t="s">
        <v>2000</v>
      </c>
      <c r="I1987" t="s">
        <v>83</v>
      </c>
      <c r="J1987" s="3" t="s">
        <v>2003</v>
      </c>
      <c r="K1987" t="s">
        <v>2004</v>
      </c>
      <c r="L1987" s="4">
        <v>4</v>
      </c>
      <c r="M1987" s="4">
        <v>0</v>
      </c>
      <c r="N1987">
        <v>4</v>
      </c>
      <c r="O1987" t="s">
        <v>457</v>
      </c>
      <c r="P1987">
        <v>240</v>
      </c>
      <c r="Q1987">
        <f>QtyRemaining*EstMfgMin/60</f>
        <v>16</v>
      </c>
      <c r="U1987" t="e">
        <f t="shared" ref="U1987:U2050" si="64">VLOOKUP(A1987,Calendar,13,FALSE)</f>
        <v>#REF!</v>
      </c>
      <c r="V1987" s="5" t="e">
        <f t="shared" ref="V1987:V2050" si="65">VLOOKUP(A1987,Calendar,14,FALSE)</f>
        <v>#REF!</v>
      </c>
    </row>
    <row r="1988" spans="1:22" x14ac:dyDescent="0.25">
      <c r="A1988" s="2">
        <v>46433</v>
      </c>
      <c r="B1988" s="2">
        <v>45933</v>
      </c>
      <c r="C1988" t="s">
        <v>523</v>
      </c>
      <c r="D1988">
        <v>8</v>
      </c>
      <c r="E1988" t="s">
        <v>1998</v>
      </c>
      <c r="F1988" t="s">
        <v>211</v>
      </c>
      <c r="G1988" t="s">
        <v>1999</v>
      </c>
      <c r="H1988" t="s">
        <v>2000</v>
      </c>
      <c r="I1988" t="s">
        <v>83</v>
      </c>
      <c r="J1988" s="3" t="s">
        <v>2005</v>
      </c>
      <c r="K1988" t="s">
        <v>2006</v>
      </c>
      <c r="L1988" s="4">
        <v>4</v>
      </c>
      <c r="M1988" s="4">
        <v>0</v>
      </c>
      <c r="N1988">
        <v>4</v>
      </c>
      <c r="O1988" t="s">
        <v>457</v>
      </c>
      <c r="P1988">
        <v>240</v>
      </c>
      <c r="Q1988">
        <f>QtyRemaining*EstMfgMin/60</f>
        <v>16</v>
      </c>
      <c r="U1988" t="e">
        <f t="shared" si="64"/>
        <v>#REF!</v>
      </c>
      <c r="V1988" s="5" t="e">
        <f t="shared" si="65"/>
        <v>#REF!</v>
      </c>
    </row>
    <row r="1989" spans="1:22" x14ac:dyDescent="0.25">
      <c r="A1989" s="2">
        <v>46434</v>
      </c>
      <c r="B1989" s="2">
        <v>45840</v>
      </c>
      <c r="C1989" t="s">
        <v>523</v>
      </c>
      <c r="D1989">
        <v>8</v>
      </c>
      <c r="E1989" t="s">
        <v>1241</v>
      </c>
      <c r="F1989" t="s">
        <v>261</v>
      </c>
      <c r="G1989" t="s">
        <v>1242</v>
      </c>
      <c r="H1989" t="s">
        <v>1243</v>
      </c>
      <c r="I1989" t="s">
        <v>83</v>
      </c>
      <c r="J1989" s="3" t="s">
        <v>1244</v>
      </c>
      <c r="K1989" t="s">
        <v>1245</v>
      </c>
      <c r="L1989" s="4">
        <v>10</v>
      </c>
      <c r="M1989" s="4">
        <v>0</v>
      </c>
      <c r="N1989">
        <v>10</v>
      </c>
      <c r="O1989" t="s">
        <v>118</v>
      </c>
      <c r="P1989">
        <v>1050</v>
      </c>
      <c r="Q1989">
        <f>QtyRemaining*EstMfgMin/60</f>
        <v>175</v>
      </c>
      <c r="U1989" t="e">
        <f t="shared" si="64"/>
        <v>#REF!</v>
      </c>
      <c r="V1989" s="5" t="e">
        <f t="shared" si="65"/>
        <v>#REF!</v>
      </c>
    </row>
    <row r="1990" spans="1:22" x14ac:dyDescent="0.25">
      <c r="A1990" s="2">
        <v>46444</v>
      </c>
      <c r="B1990" s="2">
        <v>45933</v>
      </c>
      <c r="C1990" t="s">
        <v>685</v>
      </c>
      <c r="D1990">
        <v>9</v>
      </c>
      <c r="E1990" t="s">
        <v>3474</v>
      </c>
      <c r="F1990" t="s">
        <v>261</v>
      </c>
      <c r="G1990" t="s">
        <v>262</v>
      </c>
      <c r="H1990" t="s">
        <v>3475</v>
      </c>
      <c r="I1990" t="s">
        <v>83</v>
      </c>
      <c r="J1990" s="3" t="s">
        <v>3476</v>
      </c>
      <c r="K1990" t="s">
        <v>3477</v>
      </c>
      <c r="L1990" s="4">
        <v>25</v>
      </c>
      <c r="M1990" s="4">
        <v>0</v>
      </c>
      <c r="N1990">
        <v>25</v>
      </c>
      <c r="O1990" t="s">
        <v>457</v>
      </c>
      <c r="P1990">
        <v>60</v>
      </c>
      <c r="Q1990">
        <f>QtyRemaining*EstMfgMin/60</f>
        <v>25</v>
      </c>
      <c r="U1990" t="e">
        <f t="shared" si="64"/>
        <v>#REF!</v>
      </c>
      <c r="V1990" s="5" t="e">
        <f t="shared" si="65"/>
        <v>#REF!</v>
      </c>
    </row>
    <row r="1991" spans="1:22" x14ac:dyDescent="0.25">
      <c r="A1991" s="2">
        <v>46451</v>
      </c>
      <c r="B1991" s="2">
        <v>45741</v>
      </c>
      <c r="C1991" t="s">
        <v>550</v>
      </c>
      <c r="D1991">
        <v>10</v>
      </c>
      <c r="E1991" t="s">
        <v>551</v>
      </c>
      <c r="F1991" t="s">
        <v>261</v>
      </c>
      <c r="G1991" t="s">
        <v>552</v>
      </c>
      <c r="H1991" t="s">
        <v>553</v>
      </c>
      <c r="I1991" t="s">
        <v>45</v>
      </c>
      <c r="J1991" s="3" t="s">
        <v>554</v>
      </c>
      <c r="K1991" t="s">
        <v>555</v>
      </c>
      <c r="L1991" s="4">
        <v>3</v>
      </c>
      <c r="M1991" s="4">
        <v>0</v>
      </c>
      <c r="N1991">
        <v>3</v>
      </c>
      <c r="P1991">
        <v>0</v>
      </c>
      <c r="Q1991">
        <f>QtyRemaining*EstMfgMin/60</f>
        <v>0</v>
      </c>
      <c r="U1991" t="e">
        <f t="shared" si="64"/>
        <v>#REF!</v>
      </c>
      <c r="V1991" s="5" t="e">
        <f t="shared" si="65"/>
        <v>#REF!</v>
      </c>
    </row>
    <row r="1992" spans="1:22" x14ac:dyDescent="0.25">
      <c r="A1992" s="2">
        <v>46462</v>
      </c>
      <c r="B1992" s="2">
        <v>45840</v>
      </c>
      <c r="C1992" t="s">
        <v>523</v>
      </c>
      <c r="D1992">
        <v>12</v>
      </c>
      <c r="E1992" t="s">
        <v>1241</v>
      </c>
      <c r="F1992" t="s">
        <v>261</v>
      </c>
      <c r="G1992" t="s">
        <v>1242</v>
      </c>
      <c r="H1992" t="s">
        <v>1243</v>
      </c>
      <c r="I1992" t="s">
        <v>83</v>
      </c>
      <c r="J1992" s="3" t="s">
        <v>1244</v>
      </c>
      <c r="K1992" t="s">
        <v>1245</v>
      </c>
      <c r="L1992" s="4">
        <v>10</v>
      </c>
      <c r="M1992" s="4">
        <v>0</v>
      </c>
      <c r="N1992">
        <v>10</v>
      </c>
      <c r="O1992" t="s">
        <v>118</v>
      </c>
      <c r="P1992">
        <v>1050</v>
      </c>
      <c r="Q1992">
        <f>QtyRemaining*EstMfgMin/60</f>
        <v>175</v>
      </c>
      <c r="U1992" t="e">
        <f t="shared" si="64"/>
        <v>#REF!</v>
      </c>
      <c r="V1992" s="5" t="e">
        <f t="shared" si="65"/>
        <v>#REF!</v>
      </c>
    </row>
    <row r="1993" spans="1:22" x14ac:dyDescent="0.25">
      <c r="A1993" s="2">
        <v>46464</v>
      </c>
      <c r="B1993" s="2">
        <v>45933</v>
      </c>
      <c r="C1993" t="s">
        <v>523</v>
      </c>
      <c r="D1993">
        <v>12</v>
      </c>
      <c r="E1993" t="s">
        <v>1998</v>
      </c>
      <c r="F1993" t="s">
        <v>211</v>
      </c>
      <c r="G1993" t="s">
        <v>1999</v>
      </c>
      <c r="H1993" t="s">
        <v>2000</v>
      </c>
      <c r="I1993" t="s">
        <v>83</v>
      </c>
      <c r="J1993" s="3" t="s">
        <v>2001</v>
      </c>
      <c r="K1993" t="s">
        <v>2002</v>
      </c>
      <c r="L1993" s="4">
        <v>4</v>
      </c>
      <c r="M1993" s="4">
        <v>0</v>
      </c>
      <c r="N1993">
        <v>4</v>
      </c>
      <c r="O1993" t="s">
        <v>94</v>
      </c>
      <c r="P1993">
        <v>600</v>
      </c>
      <c r="Q1993">
        <f>QtyRemaining*EstMfgMin/60</f>
        <v>40</v>
      </c>
      <c r="U1993" t="e">
        <f t="shared" si="64"/>
        <v>#REF!</v>
      </c>
      <c r="V1993" s="5" t="e">
        <f t="shared" si="65"/>
        <v>#REF!</v>
      </c>
    </row>
    <row r="1994" spans="1:22" x14ac:dyDescent="0.25">
      <c r="A1994" s="2">
        <v>46464</v>
      </c>
      <c r="B1994" s="2">
        <v>45933</v>
      </c>
      <c r="C1994" t="s">
        <v>523</v>
      </c>
      <c r="D1994">
        <v>12</v>
      </c>
      <c r="E1994" t="s">
        <v>1998</v>
      </c>
      <c r="F1994" t="s">
        <v>211</v>
      </c>
      <c r="G1994" t="s">
        <v>1999</v>
      </c>
      <c r="H1994" t="s">
        <v>2000</v>
      </c>
      <c r="I1994" t="s">
        <v>83</v>
      </c>
      <c r="J1994" s="3" t="s">
        <v>2003</v>
      </c>
      <c r="K1994" t="s">
        <v>2004</v>
      </c>
      <c r="L1994" s="4">
        <v>4</v>
      </c>
      <c r="M1994" s="4">
        <v>0</v>
      </c>
      <c r="N1994">
        <v>4</v>
      </c>
      <c r="O1994" t="s">
        <v>457</v>
      </c>
      <c r="P1994">
        <v>240</v>
      </c>
      <c r="Q1994">
        <f>QtyRemaining*EstMfgMin/60</f>
        <v>16</v>
      </c>
      <c r="U1994" t="e">
        <f t="shared" si="64"/>
        <v>#REF!</v>
      </c>
      <c r="V1994" s="5" t="e">
        <f t="shared" si="65"/>
        <v>#REF!</v>
      </c>
    </row>
    <row r="1995" spans="1:22" x14ac:dyDescent="0.25">
      <c r="A1995" s="2">
        <v>46464</v>
      </c>
      <c r="B1995" s="2">
        <v>45933</v>
      </c>
      <c r="C1995" t="s">
        <v>523</v>
      </c>
      <c r="D1995">
        <v>12</v>
      </c>
      <c r="E1995" t="s">
        <v>1998</v>
      </c>
      <c r="F1995" t="s">
        <v>211</v>
      </c>
      <c r="G1995" t="s">
        <v>1999</v>
      </c>
      <c r="H1995" t="s">
        <v>2000</v>
      </c>
      <c r="I1995" t="s">
        <v>83</v>
      </c>
      <c r="J1995" s="3" t="s">
        <v>2005</v>
      </c>
      <c r="K1995" t="s">
        <v>2006</v>
      </c>
      <c r="L1995" s="4">
        <v>4</v>
      </c>
      <c r="M1995" s="4">
        <v>0</v>
      </c>
      <c r="N1995">
        <v>4</v>
      </c>
      <c r="O1995" t="s">
        <v>457</v>
      </c>
      <c r="P1995">
        <v>240</v>
      </c>
      <c r="Q1995">
        <f>QtyRemaining*EstMfgMin/60</f>
        <v>16</v>
      </c>
      <c r="U1995" t="e">
        <f t="shared" si="64"/>
        <v>#REF!</v>
      </c>
      <c r="V1995" s="5" t="e">
        <f t="shared" si="65"/>
        <v>#REF!</v>
      </c>
    </row>
    <row r="1996" spans="1:22" x14ac:dyDescent="0.25">
      <c r="A1996" s="2">
        <v>46476</v>
      </c>
      <c r="B1996" s="2">
        <v>45462</v>
      </c>
      <c r="C1996" t="s">
        <v>550</v>
      </c>
      <c r="D1996">
        <v>14</v>
      </c>
      <c r="E1996" t="s">
        <v>3047</v>
      </c>
      <c r="F1996" t="s">
        <v>261</v>
      </c>
      <c r="G1996" t="s">
        <v>552</v>
      </c>
      <c r="H1996" t="s">
        <v>3048</v>
      </c>
      <c r="I1996" t="s">
        <v>122</v>
      </c>
      <c r="J1996" s="3" t="s">
        <v>3049</v>
      </c>
      <c r="K1996" t="s">
        <v>2414</v>
      </c>
      <c r="L1996" s="4">
        <v>15000</v>
      </c>
      <c r="M1996" s="4">
        <v>0</v>
      </c>
      <c r="N1996">
        <v>15000</v>
      </c>
      <c r="O1996" t="s">
        <v>146</v>
      </c>
      <c r="P1996">
        <v>0</v>
      </c>
      <c r="Q1996">
        <f>QtyRemaining*EstMfgMin/60</f>
        <v>0</v>
      </c>
      <c r="U1996" t="e">
        <f t="shared" si="64"/>
        <v>#REF!</v>
      </c>
      <c r="V1996" s="5" t="e">
        <f t="shared" si="65"/>
        <v>#REF!</v>
      </c>
    </row>
    <row r="1997" spans="1:22" x14ac:dyDescent="0.25">
      <c r="A1997" s="2">
        <v>46477</v>
      </c>
      <c r="B1997" s="2">
        <v>45933</v>
      </c>
      <c r="C1997" t="s">
        <v>685</v>
      </c>
      <c r="D1997">
        <v>14</v>
      </c>
      <c r="E1997" t="s">
        <v>3474</v>
      </c>
      <c r="F1997" t="s">
        <v>261</v>
      </c>
      <c r="G1997" t="s">
        <v>262</v>
      </c>
      <c r="H1997" t="s">
        <v>3475</v>
      </c>
      <c r="I1997" t="s">
        <v>83</v>
      </c>
      <c r="J1997" s="3" t="s">
        <v>3476</v>
      </c>
      <c r="K1997" t="s">
        <v>3477</v>
      </c>
      <c r="L1997" s="4">
        <v>25</v>
      </c>
      <c r="M1997" s="4">
        <v>0</v>
      </c>
      <c r="N1997">
        <v>25</v>
      </c>
      <c r="O1997" t="s">
        <v>457</v>
      </c>
      <c r="P1997">
        <v>60</v>
      </c>
      <c r="Q1997">
        <f>QtyRemaining*EstMfgMin/60</f>
        <v>25</v>
      </c>
      <c r="U1997" t="e">
        <f t="shared" si="64"/>
        <v>#REF!</v>
      </c>
      <c r="V1997" s="5" t="e">
        <f t="shared" si="65"/>
        <v>#REF!</v>
      </c>
    </row>
    <row r="1998" spans="1:22" x14ac:dyDescent="0.25">
      <c r="A1998" s="2">
        <v>46478</v>
      </c>
      <c r="B1998" s="2">
        <v>45825</v>
      </c>
      <c r="C1998" t="s">
        <v>221</v>
      </c>
      <c r="D1998">
        <v>14</v>
      </c>
      <c r="E1998" t="s">
        <v>2825</v>
      </c>
      <c r="F1998" t="s">
        <v>211</v>
      </c>
      <c r="G1998" t="s">
        <v>1731</v>
      </c>
      <c r="H1998" t="s">
        <v>2826</v>
      </c>
      <c r="I1998" t="s">
        <v>256</v>
      </c>
      <c r="J1998" s="3" t="s">
        <v>2827</v>
      </c>
      <c r="K1998" t="s">
        <v>2828</v>
      </c>
      <c r="L1998" s="4">
        <v>46</v>
      </c>
      <c r="M1998" s="4">
        <v>0</v>
      </c>
      <c r="N1998">
        <v>46</v>
      </c>
      <c r="O1998" t="s">
        <v>146</v>
      </c>
      <c r="P1998">
        <v>11</v>
      </c>
      <c r="Q1998">
        <f>QtyRemaining*EstMfgMin/60</f>
        <v>8.4333333333333336</v>
      </c>
      <c r="U1998" t="e">
        <f t="shared" si="64"/>
        <v>#REF!</v>
      </c>
      <c r="V1998" s="5" t="e">
        <f t="shared" si="65"/>
        <v>#REF!</v>
      </c>
    </row>
    <row r="1999" spans="1:22" x14ac:dyDescent="0.25">
      <c r="A1999" s="2">
        <v>46493</v>
      </c>
      <c r="B1999" s="2">
        <v>45840</v>
      </c>
      <c r="C1999" t="s">
        <v>523</v>
      </c>
      <c r="D1999">
        <v>16</v>
      </c>
      <c r="E1999" t="s">
        <v>1241</v>
      </c>
      <c r="F1999" t="s">
        <v>261</v>
      </c>
      <c r="G1999" t="s">
        <v>1242</v>
      </c>
      <c r="H1999" t="s">
        <v>1243</v>
      </c>
      <c r="I1999" t="s">
        <v>83</v>
      </c>
      <c r="J1999" s="3" t="s">
        <v>1244</v>
      </c>
      <c r="K1999" t="s">
        <v>1245</v>
      </c>
      <c r="L1999" s="4">
        <v>10</v>
      </c>
      <c r="M1999" s="4">
        <v>0</v>
      </c>
      <c r="N1999">
        <v>10</v>
      </c>
      <c r="O1999" t="s">
        <v>118</v>
      </c>
      <c r="P1999">
        <v>1050</v>
      </c>
      <c r="Q1999">
        <f>QtyRemaining*EstMfgMin/60</f>
        <v>175</v>
      </c>
      <c r="U1999" t="e">
        <f t="shared" si="64"/>
        <v>#REF!</v>
      </c>
      <c r="V1999" s="5" t="e">
        <f t="shared" si="65"/>
        <v>#REF!</v>
      </c>
    </row>
    <row r="2000" spans="1:22" x14ac:dyDescent="0.25">
      <c r="A2000" s="2">
        <v>46496</v>
      </c>
      <c r="B2000" s="2">
        <v>45933</v>
      </c>
      <c r="C2000" t="s">
        <v>523</v>
      </c>
      <c r="D2000">
        <v>17</v>
      </c>
      <c r="E2000" t="s">
        <v>1998</v>
      </c>
      <c r="F2000" t="s">
        <v>211</v>
      </c>
      <c r="G2000" t="s">
        <v>1999</v>
      </c>
      <c r="H2000" t="s">
        <v>2000</v>
      </c>
      <c r="I2000" t="s">
        <v>83</v>
      </c>
      <c r="J2000" s="3" t="s">
        <v>2001</v>
      </c>
      <c r="K2000" t="s">
        <v>2002</v>
      </c>
      <c r="L2000" s="4">
        <v>4</v>
      </c>
      <c r="M2000" s="4">
        <v>0</v>
      </c>
      <c r="N2000">
        <v>4</v>
      </c>
      <c r="O2000" t="s">
        <v>94</v>
      </c>
      <c r="P2000">
        <v>600</v>
      </c>
      <c r="Q2000">
        <f>QtyRemaining*EstMfgMin/60</f>
        <v>40</v>
      </c>
      <c r="U2000" t="e">
        <f t="shared" si="64"/>
        <v>#REF!</v>
      </c>
      <c r="V2000" s="5" t="e">
        <f t="shared" si="65"/>
        <v>#REF!</v>
      </c>
    </row>
    <row r="2001" spans="1:22" x14ac:dyDescent="0.25">
      <c r="A2001" s="2">
        <v>46496</v>
      </c>
      <c r="B2001" s="2">
        <v>45933</v>
      </c>
      <c r="C2001" t="s">
        <v>523</v>
      </c>
      <c r="D2001">
        <v>17</v>
      </c>
      <c r="E2001" t="s">
        <v>1998</v>
      </c>
      <c r="F2001" t="s">
        <v>211</v>
      </c>
      <c r="G2001" t="s">
        <v>1999</v>
      </c>
      <c r="H2001" t="s">
        <v>2000</v>
      </c>
      <c r="I2001" t="s">
        <v>83</v>
      </c>
      <c r="J2001" s="3" t="s">
        <v>2003</v>
      </c>
      <c r="K2001" t="s">
        <v>2004</v>
      </c>
      <c r="L2001" s="4">
        <v>4</v>
      </c>
      <c r="M2001" s="4">
        <v>0</v>
      </c>
      <c r="N2001">
        <v>4</v>
      </c>
      <c r="O2001" t="s">
        <v>457</v>
      </c>
      <c r="P2001">
        <v>240</v>
      </c>
      <c r="Q2001">
        <f>QtyRemaining*EstMfgMin/60</f>
        <v>16</v>
      </c>
      <c r="U2001" t="e">
        <f t="shared" si="64"/>
        <v>#REF!</v>
      </c>
      <c r="V2001" s="5" t="e">
        <f t="shared" si="65"/>
        <v>#REF!</v>
      </c>
    </row>
    <row r="2002" spans="1:22" x14ac:dyDescent="0.25">
      <c r="A2002" s="2">
        <v>46496</v>
      </c>
      <c r="B2002" s="2">
        <v>45933</v>
      </c>
      <c r="C2002" t="s">
        <v>523</v>
      </c>
      <c r="D2002">
        <v>17</v>
      </c>
      <c r="E2002" t="s">
        <v>1998</v>
      </c>
      <c r="F2002" t="s">
        <v>211</v>
      </c>
      <c r="G2002" t="s">
        <v>1999</v>
      </c>
      <c r="H2002" t="s">
        <v>2000</v>
      </c>
      <c r="I2002" t="s">
        <v>83</v>
      </c>
      <c r="J2002" s="3" t="s">
        <v>2005</v>
      </c>
      <c r="K2002" t="s">
        <v>2006</v>
      </c>
      <c r="L2002" s="4">
        <v>4</v>
      </c>
      <c r="M2002" s="4">
        <v>0</v>
      </c>
      <c r="N2002">
        <v>4</v>
      </c>
      <c r="O2002" t="s">
        <v>457</v>
      </c>
      <c r="P2002">
        <v>240</v>
      </c>
      <c r="Q2002">
        <f>QtyRemaining*EstMfgMin/60</f>
        <v>16</v>
      </c>
      <c r="U2002" t="e">
        <f t="shared" si="64"/>
        <v>#REF!</v>
      </c>
      <c r="V2002" s="5" t="e">
        <f t="shared" si="65"/>
        <v>#REF!</v>
      </c>
    </row>
    <row r="2003" spans="1:22" x14ac:dyDescent="0.25">
      <c r="A2003" s="2">
        <v>46498</v>
      </c>
      <c r="B2003" s="2">
        <v>45741</v>
      </c>
      <c r="C2003" t="s">
        <v>550</v>
      </c>
      <c r="D2003">
        <v>17</v>
      </c>
      <c r="E2003" t="s">
        <v>551</v>
      </c>
      <c r="F2003" t="s">
        <v>261</v>
      </c>
      <c r="G2003" t="s">
        <v>552</v>
      </c>
      <c r="H2003" t="s">
        <v>553</v>
      </c>
      <c r="I2003" t="s">
        <v>45</v>
      </c>
      <c r="J2003" s="3" t="s">
        <v>554</v>
      </c>
      <c r="K2003" t="s">
        <v>555</v>
      </c>
      <c r="L2003" s="4">
        <v>3</v>
      </c>
      <c r="M2003" s="4">
        <v>0</v>
      </c>
      <c r="N2003">
        <v>3</v>
      </c>
      <c r="P2003">
        <v>0</v>
      </c>
      <c r="Q2003">
        <f>QtyRemaining*EstMfgMin/60</f>
        <v>0</v>
      </c>
      <c r="U2003" t="e">
        <f t="shared" si="64"/>
        <v>#REF!</v>
      </c>
      <c r="V2003" s="5" t="e">
        <f t="shared" si="65"/>
        <v>#REF!</v>
      </c>
    </row>
    <row r="2004" spans="1:22" x14ac:dyDescent="0.25">
      <c r="A2004" s="2">
        <v>46507</v>
      </c>
      <c r="B2004" s="2">
        <v>45933</v>
      </c>
      <c r="C2004" t="s">
        <v>685</v>
      </c>
      <c r="D2004">
        <v>18</v>
      </c>
      <c r="E2004" t="s">
        <v>3474</v>
      </c>
      <c r="F2004" t="s">
        <v>261</v>
      </c>
      <c r="G2004" t="s">
        <v>262</v>
      </c>
      <c r="H2004" t="s">
        <v>3475</v>
      </c>
      <c r="I2004" t="s">
        <v>83</v>
      </c>
      <c r="J2004" s="3" t="s">
        <v>3476</v>
      </c>
      <c r="K2004" t="s">
        <v>3477</v>
      </c>
      <c r="L2004" s="4">
        <v>25</v>
      </c>
      <c r="M2004" s="4">
        <v>0</v>
      </c>
      <c r="N2004">
        <v>25</v>
      </c>
      <c r="O2004" t="s">
        <v>457</v>
      </c>
      <c r="P2004">
        <v>60</v>
      </c>
      <c r="Q2004">
        <f>QtyRemaining*EstMfgMin/60</f>
        <v>25</v>
      </c>
      <c r="U2004" t="e">
        <f t="shared" si="64"/>
        <v>#REF!</v>
      </c>
      <c r="V2004" s="5" t="e">
        <f t="shared" si="65"/>
        <v>#REF!</v>
      </c>
    </row>
    <row r="2005" spans="1:22" x14ac:dyDescent="0.25">
      <c r="A2005" s="2">
        <v>46521</v>
      </c>
      <c r="B2005" s="2">
        <v>45840</v>
      </c>
      <c r="C2005" t="s">
        <v>523</v>
      </c>
      <c r="D2005">
        <v>20</v>
      </c>
      <c r="E2005" t="s">
        <v>1241</v>
      </c>
      <c r="F2005" t="s">
        <v>261</v>
      </c>
      <c r="G2005" t="s">
        <v>1242</v>
      </c>
      <c r="H2005" t="s">
        <v>1243</v>
      </c>
      <c r="I2005" t="s">
        <v>83</v>
      </c>
      <c r="J2005" s="3" t="s">
        <v>1244</v>
      </c>
      <c r="K2005" t="s">
        <v>1245</v>
      </c>
      <c r="L2005" s="4">
        <v>5</v>
      </c>
      <c r="M2005" s="4">
        <v>0</v>
      </c>
      <c r="N2005">
        <v>5</v>
      </c>
      <c r="O2005" t="s">
        <v>118</v>
      </c>
      <c r="P2005">
        <v>1050</v>
      </c>
      <c r="Q2005">
        <f>QtyRemaining*EstMfgMin/60</f>
        <v>87.5</v>
      </c>
      <c r="U2005" t="e">
        <f t="shared" si="64"/>
        <v>#REF!</v>
      </c>
      <c r="V2005" s="5" t="e">
        <f t="shared" si="65"/>
        <v>#REF!</v>
      </c>
    </row>
    <row r="2006" spans="1:22" x14ac:dyDescent="0.25">
      <c r="A2006" s="2">
        <v>46525</v>
      </c>
      <c r="B2006" s="2">
        <v>45933</v>
      </c>
      <c r="C2006" t="s">
        <v>523</v>
      </c>
      <c r="D2006">
        <v>21</v>
      </c>
      <c r="E2006" t="s">
        <v>1998</v>
      </c>
      <c r="F2006" t="s">
        <v>211</v>
      </c>
      <c r="G2006" t="s">
        <v>1999</v>
      </c>
      <c r="H2006" t="s">
        <v>2000</v>
      </c>
      <c r="I2006" t="s">
        <v>83</v>
      </c>
      <c r="J2006" s="3" t="s">
        <v>2001</v>
      </c>
      <c r="K2006" t="s">
        <v>2002</v>
      </c>
      <c r="L2006" s="4">
        <v>4</v>
      </c>
      <c r="M2006" s="4">
        <v>0</v>
      </c>
      <c r="N2006">
        <v>4</v>
      </c>
      <c r="O2006" t="s">
        <v>94</v>
      </c>
      <c r="P2006">
        <v>600</v>
      </c>
      <c r="Q2006">
        <f>QtyRemaining*EstMfgMin/60</f>
        <v>40</v>
      </c>
      <c r="U2006" t="e">
        <f t="shared" si="64"/>
        <v>#REF!</v>
      </c>
      <c r="V2006" s="5" t="e">
        <f t="shared" si="65"/>
        <v>#REF!</v>
      </c>
    </row>
    <row r="2007" spans="1:22" x14ac:dyDescent="0.25">
      <c r="A2007" s="2">
        <v>46525</v>
      </c>
      <c r="B2007" s="2">
        <v>45933</v>
      </c>
      <c r="C2007" t="s">
        <v>523</v>
      </c>
      <c r="D2007">
        <v>21</v>
      </c>
      <c r="E2007" t="s">
        <v>1998</v>
      </c>
      <c r="F2007" t="s">
        <v>211</v>
      </c>
      <c r="G2007" t="s">
        <v>1999</v>
      </c>
      <c r="H2007" t="s">
        <v>2000</v>
      </c>
      <c r="I2007" t="s">
        <v>83</v>
      </c>
      <c r="J2007" s="3" t="s">
        <v>2003</v>
      </c>
      <c r="K2007" t="s">
        <v>2004</v>
      </c>
      <c r="L2007" s="4">
        <v>4</v>
      </c>
      <c r="M2007" s="4">
        <v>0</v>
      </c>
      <c r="N2007">
        <v>4</v>
      </c>
      <c r="O2007" t="s">
        <v>457</v>
      </c>
      <c r="P2007">
        <v>240</v>
      </c>
      <c r="Q2007">
        <f>QtyRemaining*EstMfgMin/60</f>
        <v>16</v>
      </c>
      <c r="U2007" t="e">
        <f t="shared" si="64"/>
        <v>#REF!</v>
      </c>
      <c r="V2007" s="5" t="e">
        <f t="shared" si="65"/>
        <v>#REF!</v>
      </c>
    </row>
    <row r="2008" spans="1:22" x14ac:dyDescent="0.25">
      <c r="A2008" s="2">
        <v>46525</v>
      </c>
      <c r="B2008" s="2">
        <v>45933</v>
      </c>
      <c r="C2008" t="s">
        <v>523</v>
      </c>
      <c r="D2008">
        <v>21</v>
      </c>
      <c r="E2008" t="s">
        <v>1998</v>
      </c>
      <c r="F2008" t="s">
        <v>211</v>
      </c>
      <c r="G2008" t="s">
        <v>1999</v>
      </c>
      <c r="H2008" t="s">
        <v>2000</v>
      </c>
      <c r="I2008" t="s">
        <v>83</v>
      </c>
      <c r="J2008" s="3" t="s">
        <v>2005</v>
      </c>
      <c r="K2008" t="s">
        <v>2006</v>
      </c>
      <c r="L2008" s="4">
        <v>4</v>
      </c>
      <c r="M2008" s="4">
        <v>0</v>
      </c>
      <c r="N2008">
        <v>4</v>
      </c>
      <c r="O2008" t="s">
        <v>457</v>
      </c>
      <c r="P2008">
        <v>240</v>
      </c>
      <c r="Q2008">
        <f>QtyRemaining*EstMfgMin/60</f>
        <v>16</v>
      </c>
      <c r="U2008" t="e">
        <f t="shared" si="64"/>
        <v>#REF!</v>
      </c>
      <c r="V2008" s="5" t="e">
        <f t="shared" si="65"/>
        <v>#REF!</v>
      </c>
    </row>
    <row r="2009" spans="1:22" x14ac:dyDescent="0.25">
      <c r="A2009" s="2">
        <v>46535</v>
      </c>
      <c r="B2009" s="2">
        <v>45462</v>
      </c>
      <c r="C2009" t="s">
        <v>550</v>
      </c>
      <c r="D2009">
        <v>22</v>
      </c>
      <c r="E2009" t="s">
        <v>3047</v>
      </c>
      <c r="F2009" t="s">
        <v>261</v>
      </c>
      <c r="G2009" t="s">
        <v>552</v>
      </c>
      <c r="H2009" t="s">
        <v>3048</v>
      </c>
      <c r="I2009" t="s">
        <v>122</v>
      </c>
      <c r="J2009" s="3" t="s">
        <v>3049</v>
      </c>
      <c r="K2009" t="s">
        <v>2414</v>
      </c>
      <c r="L2009" s="4">
        <v>15000</v>
      </c>
      <c r="M2009" s="4">
        <v>0</v>
      </c>
      <c r="N2009">
        <v>15000</v>
      </c>
      <c r="O2009" t="s">
        <v>146</v>
      </c>
      <c r="P2009">
        <v>0</v>
      </c>
      <c r="Q2009">
        <f>QtyRemaining*EstMfgMin/60</f>
        <v>0</v>
      </c>
      <c r="U2009" t="e">
        <f t="shared" si="64"/>
        <v>#REF!</v>
      </c>
      <c r="V2009" s="5" t="e">
        <f t="shared" si="65"/>
        <v>#REF!</v>
      </c>
    </row>
    <row r="2010" spans="1:22" x14ac:dyDescent="0.25">
      <c r="A2010" s="2">
        <v>46535</v>
      </c>
      <c r="B2010" s="2">
        <v>45933</v>
      </c>
      <c r="C2010" t="s">
        <v>685</v>
      </c>
      <c r="D2010">
        <v>22</v>
      </c>
      <c r="E2010" t="s">
        <v>3474</v>
      </c>
      <c r="F2010" t="s">
        <v>261</v>
      </c>
      <c r="G2010" t="s">
        <v>262</v>
      </c>
      <c r="H2010" t="s">
        <v>3475</v>
      </c>
      <c r="I2010" t="s">
        <v>83</v>
      </c>
      <c r="J2010" s="3" t="s">
        <v>3476</v>
      </c>
      <c r="K2010" t="s">
        <v>3477</v>
      </c>
      <c r="L2010" s="4">
        <v>25</v>
      </c>
      <c r="M2010" s="4">
        <v>0</v>
      </c>
      <c r="N2010">
        <v>25</v>
      </c>
      <c r="O2010" t="s">
        <v>457</v>
      </c>
      <c r="P2010">
        <v>60</v>
      </c>
      <c r="Q2010">
        <f>QtyRemaining*EstMfgMin/60</f>
        <v>25</v>
      </c>
      <c r="U2010" t="e">
        <f t="shared" si="64"/>
        <v>#REF!</v>
      </c>
      <c r="V2010" s="5" t="e">
        <f t="shared" si="65"/>
        <v>#REF!</v>
      </c>
    </row>
    <row r="2011" spans="1:22" x14ac:dyDescent="0.25">
      <c r="A2011" s="2">
        <v>46539</v>
      </c>
      <c r="B2011" s="2">
        <v>45825</v>
      </c>
      <c r="C2011" t="s">
        <v>221</v>
      </c>
      <c r="D2011">
        <v>23</v>
      </c>
      <c r="E2011" t="s">
        <v>2825</v>
      </c>
      <c r="F2011" t="s">
        <v>211</v>
      </c>
      <c r="G2011" t="s">
        <v>1731</v>
      </c>
      <c r="H2011" t="s">
        <v>2826</v>
      </c>
      <c r="I2011" t="s">
        <v>256</v>
      </c>
      <c r="J2011" s="3" t="s">
        <v>2827</v>
      </c>
      <c r="K2011" t="s">
        <v>2828</v>
      </c>
      <c r="L2011" s="4">
        <v>276</v>
      </c>
      <c r="M2011" s="4">
        <v>0</v>
      </c>
      <c r="N2011">
        <v>276</v>
      </c>
      <c r="O2011" t="s">
        <v>146</v>
      </c>
      <c r="P2011">
        <v>11</v>
      </c>
      <c r="Q2011">
        <f>QtyRemaining*EstMfgMin/60</f>
        <v>50.6</v>
      </c>
      <c r="U2011" t="e">
        <f t="shared" si="64"/>
        <v>#REF!</v>
      </c>
      <c r="V2011" s="5" t="e">
        <f t="shared" si="65"/>
        <v>#REF!</v>
      </c>
    </row>
    <row r="2012" spans="1:22" x14ac:dyDescent="0.25">
      <c r="A2012" s="2">
        <v>46542</v>
      </c>
      <c r="B2012" s="2">
        <v>45741</v>
      </c>
      <c r="C2012" t="s">
        <v>550</v>
      </c>
      <c r="D2012">
        <v>23</v>
      </c>
      <c r="E2012" t="s">
        <v>551</v>
      </c>
      <c r="F2012" t="s">
        <v>261</v>
      </c>
      <c r="G2012" t="s">
        <v>552</v>
      </c>
      <c r="H2012" t="s">
        <v>553</v>
      </c>
      <c r="I2012" t="s">
        <v>45</v>
      </c>
      <c r="J2012" s="3" t="s">
        <v>554</v>
      </c>
      <c r="K2012" t="s">
        <v>555</v>
      </c>
      <c r="L2012" s="4">
        <v>3</v>
      </c>
      <c r="M2012" s="4">
        <v>0</v>
      </c>
      <c r="N2012">
        <v>3</v>
      </c>
      <c r="P2012">
        <v>0</v>
      </c>
      <c r="Q2012">
        <f>QtyRemaining*EstMfgMin/60</f>
        <v>0</v>
      </c>
      <c r="U2012" t="e">
        <f t="shared" si="64"/>
        <v>#REF!</v>
      </c>
      <c r="V2012" s="5" t="e">
        <f t="shared" si="65"/>
        <v>#REF!</v>
      </c>
    </row>
    <row r="2013" spans="1:22" x14ac:dyDescent="0.25">
      <c r="A2013" s="2">
        <v>46555</v>
      </c>
      <c r="B2013" s="2">
        <v>45933</v>
      </c>
      <c r="C2013" t="s">
        <v>523</v>
      </c>
      <c r="D2013">
        <v>25</v>
      </c>
      <c r="E2013" t="s">
        <v>1998</v>
      </c>
      <c r="F2013" t="s">
        <v>211</v>
      </c>
      <c r="G2013" t="s">
        <v>1999</v>
      </c>
      <c r="H2013" t="s">
        <v>2000</v>
      </c>
      <c r="I2013" t="s">
        <v>83</v>
      </c>
      <c r="J2013" s="3" t="s">
        <v>2001</v>
      </c>
      <c r="K2013" t="s">
        <v>2002</v>
      </c>
      <c r="L2013" s="4">
        <v>4</v>
      </c>
      <c r="M2013" s="4">
        <v>0</v>
      </c>
      <c r="N2013">
        <v>4</v>
      </c>
      <c r="O2013" t="s">
        <v>94</v>
      </c>
      <c r="P2013">
        <v>600</v>
      </c>
      <c r="Q2013">
        <f>QtyRemaining*EstMfgMin/60</f>
        <v>40</v>
      </c>
      <c r="U2013" t="e">
        <f t="shared" si="64"/>
        <v>#REF!</v>
      </c>
      <c r="V2013" s="5" t="e">
        <f t="shared" si="65"/>
        <v>#REF!</v>
      </c>
    </row>
    <row r="2014" spans="1:22" x14ac:dyDescent="0.25">
      <c r="A2014" s="2">
        <v>46555</v>
      </c>
      <c r="B2014" s="2">
        <v>45933</v>
      </c>
      <c r="C2014" t="s">
        <v>523</v>
      </c>
      <c r="D2014">
        <v>25</v>
      </c>
      <c r="E2014" t="s">
        <v>1998</v>
      </c>
      <c r="F2014" t="s">
        <v>211</v>
      </c>
      <c r="G2014" t="s">
        <v>1999</v>
      </c>
      <c r="H2014" t="s">
        <v>2000</v>
      </c>
      <c r="I2014" t="s">
        <v>83</v>
      </c>
      <c r="J2014" s="3" t="s">
        <v>2003</v>
      </c>
      <c r="K2014" t="s">
        <v>2004</v>
      </c>
      <c r="L2014" s="4">
        <v>4</v>
      </c>
      <c r="M2014" s="4">
        <v>0</v>
      </c>
      <c r="N2014">
        <v>4</v>
      </c>
      <c r="O2014" t="s">
        <v>457</v>
      </c>
      <c r="P2014">
        <v>240</v>
      </c>
      <c r="Q2014">
        <f>QtyRemaining*EstMfgMin/60</f>
        <v>16</v>
      </c>
      <c r="U2014" t="e">
        <f t="shared" si="64"/>
        <v>#REF!</v>
      </c>
      <c r="V2014" s="5" t="e">
        <f t="shared" si="65"/>
        <v>#REF!</v>
      </c>
    </row>
    <row r="2015" spans="1:22" x14ac:dyDescent="0.25">
      <c r="A2015" s="2">
        <v>46555</v>
      </c>
      <c r="B2015" s="2">
        <v>45933</v>
      </c>
      <c r="C2015" t="s">
        <v>523</v>
      </c>
      <c r="D2015">
        <v>25</v>
      </c>
      <c r="E2015" t="s">
        <v>1998</v>
      </c>
      <c r="F2015" t="s">
        <v>211</v>
      </c>
      <c r="G2015" t="s">
        <v>1999</v>
      </c>
      <c r="H2015" t="s">
        <v>2000</v>
      </c>
      <c r="I2015" t="s">
        <v>83</v>
      </c>
      <c r="J2015" s="3" t="s">
        <v>2005</v>
      </c>
      <c r="K2015" t="s">
        <v>2006</v>
      </c>
      <c r="L2015" s="4">
        <v>4</v>
      </c>
      <c r="M2015" s="4">
        <v>0</v>
      </c>
      <c r="N2015">
        <v>4</v>
      </c>
      <c r="O2015" t="s">
        <v>457</v>
      </c>
      <c r="P2015">
        <v>240</v>
      </c>
      <c r="Q2015">
        <f>QtyRemaining*EstMfgMin/60</f>
        <v>16</v>
      </c>
      <c r="U2015" t="e">
        <f t="shared" si="64"/>
        <v>#REF!</v>
      </c>
      <c r="V2015" s="5" t="e">
        <f t="shared" si="65"/>
        <v>#REF!</v>
      </c>
    </row>
    <row r="2016" spans="1:22" x14ac:dyDescent="0.25">
      <c r="A2016" s="2">
        <v>46568</v>
      </c>
      <c r="B2016" s="2">
        <v>45933</v>
      </c>
      <c r="C2016" t="s">
        <v>685</v>
      </c>
      <c r="D2016">
        <v>27</v>
      </c>
      <c r="E2016" t="s">
        <v>3474</v>
      </c>
      <c r="F2016" t="s">
        <v>261</v>
      </c>
      <c r="G2016" t="s">
        <v>262</v>
      </c>
      <c r="H2016" t="s">
        <v>3475</v>
      </c>
      <c r="I2016" t="s">
        <v>83</v>
      </c>
      <c r="J2016" s="3" t="s">
        <v>3476</v>
      </c>
      <c r="K2016" t="s">
        <v>3477</v>
      </c>
      <c r="L2016" s="4">
        <v>25</v>
      </c>
      <c r="M2016" s="4">
        <v>0</v>
      </c>
      <c r="N2016">
        <v>25</v>
      </c>
      <c r="O2016" t="s">
        <v>457</v>
      </c>
      <c r="P2016">
        <v>60</v>
      </c>
      <c r="Q2016">
        <f>QtyRemaining*EstMfgMin/60</f>
        <v>25</v>
      </c>
      <c r="U2016" t="e">
        <f t="shared" si="64"/>
        <v>#REF!</v>
      </c>
      <c r="V2016" s="5" t="e">
        <f t="shared" si="65"/>
        <v>#REF!</v>
      </c>
    </row>
    <row r="2017" spans="1:22" x14ac:dyDescent="0.25">
      <c r="A2017" s="2">
        <v>46587</v>
      </c>
      <c r="B2017" s="2">
        <v>45933</v>
      </c>
      <c r="C2017" t="s">
        <v>523</v>
      </c>
      <c r="D2017">
        <v>30</v>
      </c>
      <c r="E2017" t="s">
        <v>1998</v>
      </c>
      <c r="F2017" t="s">
        <v>211</v>
      </c>
      <c r="G2017" t="s">
        <v>1999</v>
      </c>
      <c r="H2017" t="s">
        <v>2000</v>
      </c>
      <c r="I2017" t="s">
        <v>83</v>
      </c>
      <c r="J2017" s="3" t="s">
        <v>2001</v>
      </c>
      <c r="K2017" t="s">
        <v>2002</v>
      </c>
      <c r="L2017" s="4">
        <v>4</v>
      </c>
      <c r="M2017" s="4">
        <v>0</v>
      </c>
      <c r="N2017">
        <v>4</v>
      </c>
      <c r="O2017" t="s">
        <v>94</v>
      </c>
      <c r="P2017">
        <v>600</v>
      </c>
      <c r="Q2017">
        <f>QtyRemaining*EstMfgMin/60</f>
        <v>40</v>
      </c>
      <c r="U2017" t="e">
        <f t="shared" si="64"/>
        <v>#REF!</v>
      </c>
      <c r="V2017" s="5" t="e">
        <f t="shared" si="65"/>
        <v>#REF!</v>
      </c>
    </row>
    <row r="2018" spans="1:22" x14ac:dyDescent="0.25">
      <c r="A2018" s="2">
        <v>46587</v>
      </c>
      <c r="B2018" s="2">
        <v>45933</v>
      </c>
      <c r="C2018" t="s">
        <v>523</v>
      </c>
      <c r="D2018">
        <v>30</v>
      </c>
      <c r="E2018" t="s">
        <v>1998</v>
      </c>
      <c r="F2018" t="s">
        <v>211</v>
      </c>
      <c r="G2018" t="s">
        <v>1999</v>
      </c>
      <c r="H2018" t="s">
        <v>2000</v>
      </c>
      <c r="I2018" t="s">
        <v>83</v>
      </c>
      <c r="J2018" s="3" t="s">
        <v>2003</v>
      </c>
      <c r="K2018" t="s">
        <v>2004</v>
      </c>
      <c r="L2018" s="4">
        <v>4</v>
      </c>
      <c r="M2018" s="4">
        <v>0</v>
      </c>
      <c r="N2018">
        <v>4</v>
      </c>
      <c r="O2018" t="s">
        <v>457</v>
      </c>
      <c r="P2018">
        <v>240</v>
      </c>
      <c r="Q2018">
        <f>QtyRemaining*EstMfgMin/60</f>
        <v>16</v>
      </c>
      <c r="U2018" t="e">
        <f t="shared" si="64"/>
        <v>#REF!</v>
      </c>
      <c r="V2018" s="5" t="e">
        <f t="shared" si="65"/>
        <v>#REF!</v>
      </c>
    </row>
    <row r="2019" spans="1:22" x14ac:dyDescent="0.25">
      <c r="A2019" s="2">
        <v>46587</v>
      </c>
      <c r="B2019" s="2">
        <v>45933</v>
      </c>
      <c r="C2019" t="s">
        <v>523</v>
      </c>
      <c r="D2019">
        <v>30</v>
      </c>
      <c r="E2019" t="s">
        <v>1998</v>
      </c>
      <c r="F2019" t="s">
        <v>211</v>
      </c>
      <c r="G2019" t="s">
        <v>1999</v>
      </c>
      <c r="H2019" t="s">
        <v>2000</v>
      </c>
      <c r="I2019" t="s">
        <v>83</v>
      </c>
      <c r="J2019" s="3" t="s">
        <v>2005</v>
      </c>
      <c r="K2019" t="s">
        <v>2006</v>
      </c>
      <c r="L2019" s="4">
        <v>4</v>
      </c>
      <c r="M2019" s="4">
        <v>0</v>
      </c>
      <c r="N2019">
        <v>4</v>
      </c>
      <c r="O2019" t="s">
        <v>457</v>
      </c>
      <c r="P2019">
        <v>240</v>
      </c>
      <c r="Q2019">
        <f>QtyRemaining*EstMfgMin/60</f>
        <v>16</v>
      </c>
      <c r="U2019" t="e">
        <f t="shared" si="64"/>
        <v>#REF!</v>
      </c>
      <c r="V2019" s="5" t="e">
        <f t="shared" si="65"/>
        <v>#REF!</v>
      </c>
    </row>
    <row r="2020" spans="1:22" x14ac:dyDescent="0.25">
      <c r="A2020" s="2">
        <v>46589</v>
      </c>
      <c r="B2020" s="2">
        <v>45741</v>
      </c>
      <c r="C2020" t="s">
        <v>550</v>
      </c>
      <c r="D2020">
        <v>30</v>
      </c>
      <c r="E2020" t="s">
        <v>551</v>
      </c>
      <c r="F2020" t="s">
        <v>261</v>
      </c>
      <c r="G2020" t="s">
        <v>552</v>
      </c>
      <c r="H2020" t="s">
        <v>553</v>
      </c>
      <c r="I2020" t="s">
        <v>45</v>
      </c>
      <c r="J2020" s="3" t="s">
        <v>554</v>
      </c>
      <c r="K2020" t="s">
        <v>555</v>
      </c>
      <c r="L2020" s="4">
        <v>3</v>
      </c>
      <c r="M2020" s="4">
        <v>0</v>
      </c>
      <c r="N2020">
        <v>3</v>
      </c>
      <c r="P2020">
        <v>0</v>
      </c>
      <c r="Q2020">
        <f>QtyRemaining*EstMfgMin/60</f>
        <v>0</v>
      </c>
      <c r="U2020" t="e">
        <f t="shared" si="64"/>
        <v>#REF!</v>
      </c>
      <c r="V2020" s="5" t="e">
        <f t="shared" si="65"/>
        <v>#REF!</v>
      </c>
    </row>
    <row r="2021" spans="1:22" x14ac:dyDescent="0.25">
      <c r="A2021" s="2">
        <v>46598</v>
      </c>
      <c r="B2021" s="2">
        <v>45462</v>
      </c>
      <c r="C2021" t="s">
        <v>550</v>
      </c>
      <c r="D2021">
        <v>31</v>
      </c>
      <c r="E2021" t="s">
        <v>3047</v>
      </c>
      <c r="F2021" t="s">
        <v>261</v>
      </c>
      <c r="G2021" t="s">
        <v>552</v>
      </c>
      <c r="H2021" t="s">
        <v>3048</v>
      </c>
      <c r="I2021" t="s">
        <v>122</v>
      </c>
      <c r="J2021" s="3" t="s">
        <v>3049</v>
      </c>
      <c r="K2021" t="s">
        <v>2414</v>
      </c>
      <c r="L2021" s="4">
        <v>15000</v>
      </c>
      <c r="M2021" s="4">
        <v>0</v>
      </c>
      <c r="N2021">
        <v>15000</v>
      </c>
      <c r="O2021" t="s">
        <v>146</v>
      </c>
      <c r="P2021">
        <v>0</v>
      </c>
      <c r="Q2021">
        <f>QtyRemaining*EstMfgMin/60</f>
        <v>0</v>
      </c>
      <c r="U2021" t="e">
        <f t="shared" si="64"/>
        <v>#REF!</v>
      </c>
      <c r="V2021" s="5" t="e">
        <f t="shared" si="65"/>
        <v>#REF!</v>
      </c>
    </row>
    <row r="2022" spans="1:22" x14ac:dyDescent="0.25">
      <c r="A2022" s="2">
        <v>46598</v>
      </c>
      <c r="B2022" s="2">
        <v>45933</v>
      </c>
      <c r="C2022" t="s">
        <v>685</v>
      </c>
      <c r="D2022">
        <v>31</v>
      </c>
      <c r="E2022" t="s">
        <v>3474</v>
      </c>
      <c r="F2022" t="s">
        <v>261</v>
      </c>
      <c r="G2022" t="s">
        <v>262</v>
      </c>
      <c r="H2022" t="s">
        <v>3475</v>
      </c>
      <c r="I2022" t="s">
        <v>83</v>
      </c>
      <c r="J2022" s="3" t="s">
        <v>3476</v>
      </c>
      <c r="K2022" t="s">
        <v>3477</v>
      </c>
      <c r="L2022" s="4">
        <v>25</v>
      </c>
      <c r="M2022" s="4">
        <v>0</v>
      </c>
      <c r="N2022">
        <v>25</v>
      </c>
      <c r="O2022" t="s">
        <v>457</v>
      </c>
      <c r="P2022">
        <v>60</v>
      </c>
      <c r="Q2022">
        <f>QtyRemaining*EstMfgMin/60</f>
        <v>25</v>
      </c>
      <c r="U2022" t="e">
        <f t="shared" si="64"/>
        <v>#REF!</v>
      </c>
      <c r="V2022" s="5" t="e">
        <f t="shared" si="65"/>
        <v>#REF!</v>
      </c>
    </row>
    <row r="2023" spans="1:22" x14ac:dyDescent="0.25">
      <c r="A2023" s="2">
        <v>46617</v>
      </c>
      <c r="B2023" s="2">
        <v>45933</v>
      </c>
      <c r="C2023" t="s">
        <v>523</v>
      </c>
      <c r="D2023">
        <v>34</v>
      </c>
      <c r="E2023" t="s">
        <v>1998</v>
      </c>
      <c r="F2023" t="s">
        <v>211</v>
      </c>
      <c r="G2023" t="s">
        <v>1999</v>
      </c>
      <c r="H2023" t="s">
        <v>2000</v>
      </c>
      <c r="I2023" t="s">
        <v>83</v>
      </c>
      <c r="J2023" s="3" t="s">
        <v>2001</v>
      </c>
      <c r="K2023" t="s">
        <v>2002</v>
      </c>
      <c r="L2023" s="4">
        <v>4</v>
      </c>
      <c r="M2023" s="4">
        <v>0</v>
      </c>
      <c r="N2023">
        <v>4</v>
      </c>
      <c r="O2023" t="s">
        <v>94</v>
      </c>
      <c r="P2023">
        <v>600</v>
      </c>
      <c r="Q2023">
        <f>QtyRemaining*EstMfgMin/60</f>
        <v>40</v>
      </c>
      <c r="U2023" t="e">
        <f t="shared" si="64"/>
        <v>#REF!</v>
      </c>
      <c r="V2023" s="5" t="e">
        <f t="shared" si="65"/>
        <v>#REF!</v>
      </c>
    </row>
    <row r="2024" spans="1:22" x14ac:dyDescent="0.25">
      <c r="A2024" s="2">
        <v>46617</v>
      </c>
      <c r="B2024" s="2">
        <v>45933</v>
      </c>
      <c r="C2024" t="s">
        <v>523</v>
      </c>
      <c r="D2024">
        <v>34</v>
      </c>
      <c r="E2024" t="s">
        <v>1998</v>
      </c>
      <c r="F2024" t="s">
        <v>211</v>
      </c>
      <c r="G2024" t="s">
        <v>1999</v>
      </c>
      <c r="H2024" t="s">
        <v>2000</v>
      </c>
      <c r="I2024" t="s">
        <v>83</v>
      </c>
      <c r="J2024" s="3" t="s">
        <v>2003</v>
      </c>
      <c r="K2024" t="s">
        <v>2004</v>
      </c>
      <c r="L2024" s="4">
        <v>4</v>
      </c>
      <c r="M2024" s="4">
        <v>0</v>
      </c>
      <c r="N2024">
        <v>4</v>
      </c>
      <c r="O2024" t="s">
        <v>457</v>
      </c>
      <c r="P2024">
        <v>240</v>
      </c>
      <c r="Q2024">
        <f>QtyRemaining*EstMfgMin/60</f>
        <v>16</v>
      </c>
      <c r="U2024" t="e">
        <f t="shared" si="64"/>
        <v>#REF!</v>
      </c>
      <c r="V2024" s="5" t="e">
        <f t="shared" si="65"/>
        <v>#REF!</v>
      </c>
    </row>
    <row r="2025" spans="1:22" x14ac:dyDescent="0.25">
      <c r="A2025" s="2">
        <v>46617</v>
      </c>
      <c r="B2025" s="2">
        <v>45933</v>
      </c>
      <c r="C2025" t="s">
        <v>523</v>
      </c>
      <c r="D2025">
        <v>34</v>
      </c>
      <c r="E2025" t="s">
        <v>1998</v>
      </c>
      <c r="F2025" t="s">
        <v>211</v>
      </c>
      <c r="G2025" t="s">
        <v>1999</v>
      </c>
      <c r="H2025" t="s">
        <v>2000</v>
      </c>
      <c r="I2025" t="s">
        <v>83</v>
      </c>
      <c r="J2025" s="3" t="s">
        <v>2005</v>
      </c>
      <c r="K2025" t="s">
        <v>2006</v>
      </c>
      <c r="L2025" s="4">
        <v>4</v>
      </c>
      <c r="M2025" s="4">
        <v>0</v>
      </c>
      <c r="N2025">
        <v>4</v>
      </c>
      <c r="O2025" t="s">
        <v>457</v>
      </c>
      <c r="P2025">
        <v>240</v>
      </c>
      <c r="Q2025">
        <f>QtyRemaining*EstMfgMin/60</f>
        <v>16</v>
      </c>
      <c r="U2025" t="e">
        <f t="shared" si="64"/>
        <v>#REF!</v>
      </c>
      <c r="V2025" s="5" t="e">
        <f t="shared" si="65"/>
        <v>#REF!</v>
      </c>
    </row>
    <row r="2026" spans="1:22" x14ac:dyDescent="0.25">
      <c r="A2026" s="2">
        <v>46630</v>
      </c>
      <c r="B2026" s="2">
        <v>45933</v>
      </c>
      <c r="C2026" t="s">
        <v>685</v>
      </c>
      <c r="D2026">
        <v>36</v>
      </c>
      <c r="E2026" t="s">
        <v>3474</v>
      </c>
      <c r="F2026" t="s">
        <v>261</v>
      </c>
      <c r="G2026" t="s">
        <v>262</v>
      </c>
      <c r="H2026" t="s">
        <v>3475</v>
      </c>
      <c r="I2026" t="s">
        <v>83</v>
      </c>
      <c r="J2026" s="3" t="s">
        <v>3476</v>
      </c>
      <c r="K2026" t="s">
        <v>3477</v>
      </c>
      <c r="L2026" s="4">
        <v>5</v>
      </c>
      <c r="M2026" s="4">
        <v>0</v>
      </c>
      <c r="N2026">
        <v>5</v>
      </c>
      <c r="O2026" t="s">
        <v>457</v>
      </c>
      <c r="P2026">
        <v>60</v>
      </c>
      <c r="Q2026">
        <f>QtyRemaining*EstMfgMin/60</f>
        <v>5</v>
      </c>
      <c r="U2026" t="e">
        <f t="shared" si="64"/>
        <v>#REF!</v>
      </c>
      <c r="V2026" s="5" t="e">
        <f t="shared" si="65"/>
        <v>#REF!</v>
      </c>
    </row>
    <row r="2027" spans="1:22" x14ac:dyDescent="0.25">
      <c r="A2027" s="2">
        <v>46633</v>
      </c>
      <c r="B2027" s="2">
        <v>45741</v>
      </c>
      <c r="C2027" t="s">
        <v>550</v>
      </c>
      <c r="D2027">
        <v>36</v>
      </c>
      <c r="E2027" t="s">
        <v>551</v>
      </c>
      <c r="F2027" t="s">
        <v>261</v>
      </c>
      <c r="G2027" t="s">
        <v>552</v>
      </c>
      <c r="H2027" t="s">
        <v>553</v>
      </c>
      <c r="I2027" t="s">
        <v>45</v>
      </c>
      <c r="J2027" s="3" t="s">
        <v>554</v>
      </c>
      <c r="K2027" t="s">
        <v>555</v>
      </c>
      <c r="L2027" s="4">
        <v>3</v>
      </c>
      <c r="M2027" s="4">
        <v>0</v>
      </c>
      <c r="N2027">
        <v>3</v>
      </c>
      <c r="P2027">
        <v>0</v>
      </c>
      <c r="Q2027">
        <f>QtyRemaining*EstMfgMin/60</f>
        <v>0</v>
      </c>
      <c r="U2027" t="e">
        <f t="shared" si="64"/>
        <v>#REF!</v>
      </c>
      <c r="V2027" s="5" t="e">
        <f t="shared" si="65"/>
        <v>#REF!</v>
      </c>
    </row>
    <row r="2028" spans="1:22" x14ac:dyDescent="0.25">
      <c r="A2028" s="2">
        <v>46638</v>
      </c>
      <c r="B2028" s="2">
        <v>45862</v>
      </c>
      <c r="C2028" t="s">
        <v>523</v>
      </c>
      <c r="D2028">
        <v>37</v>
      </c>
      <c r="E2028" t="s">
        <v>3609</v>
      </c>
      <c r="F2028" t="s">
        <v>261</v>
      </c>
      <c r="G2028" t="s">
        <v>3610</v>
      </c>
      <c r="H2028" t="s">
        <v>3611</v>
      </c>
      <c r="I2028" t="s">
        <v>83</v>
      </c>
      <c r="J2028" s="3" t="s">
        <v>531</v>
      </c>
      <c r="K2028" t="s">
        <v>532</v>
      </c>
      <c r="L2028" s="4">
        <v>30</v>
      </c>
      <c r="M2028" s="4">
        <v>0</v>
      </c>
      <c r="N2028">
        <v>30</v>
      </c>
      <c r="O2028" t="s">
        <v>118</v>
      </c>
      <c r="P2028">
        <v>261</v>
      </c>
      <c r="Q2028">
        <f>QtyRemaining*EstMfgMin/60</f>
        <v>130.5</v>
      </c>
      <c r="U2028" t="e">
        <f t="shared" si="64"/>
        <v>#REF!</v>
      </c>
      <c r="V2028" s="5" t="e">
        <f t="shared" si="65"/>
        <v>#REF!</v>
      </c>
    </row>
    <row r="2029" spans="1:22" x14ac:dyDescent="0.25">
      <c r="A2029" s="2">
        <v>46638</v>
      </c>
      <c r="B2029" s="2">
        <v>45862</v>
      </c>
      <c r="C2029" t="s">
        <v>523</v>
      </c>
      <c r="D2029">
        <v>37</v>
      </c>
      <c r="E2029" t="s">
        <v>3612</v>
      </c>
      <c r="F2029" t="s">
        <v>261</v>
      </c>
      <c r="G2029" t="s">
        <v>3610</v>
      </c>
      <c r="H2029" t="s">
        <v>3613</v>
      </c>
      <c r="I2029" t="s">
        <v>83</v>
      </c>
      <c r="J2029" s="3" t="s">
        <v>531</v>
      </c>
      <c r="K2029" t="s">
        <v>532</v>
      </c>
      <c r="L2029" s="4">
        <v>19</v>
      </c>
      <c r="M2029" s="4">
        <v>0</v>
      </c>
      <c r="N2029">
        <v>19</v>
      </c>
      <c r="O2029" t="s">
        <v>118</v>
      </c>
      <c r="P2029">
        <v>261</v>
      </c>
      <c r="Q2029">
        <f>QtyRemaining*EstMfgMin/60</f>
        <v>82.65</v>
      </c>
      <c r="U2029" t="e">
        <f t="shared" si="64"/>
        <v>#REF!</v>
      </c>
      <c r="V2029" s="5" t="e">
        <f t="shared" si="65"/>
        <v>#REF!</v>
      </c>
    </row>
    <row r="2030" spans="1:22" x14ac:dyDescent="0.25">
      <c r="A2030" s="2">
        <v>46650</v>
      </c>
      <c r="B2030" s="2">
        <v>45933</v>
      </c>
      <c r="C2030" t="s">
        <v>523</v>
      </c>
      <c r="D2030">
        <v>39</v>
      </c>
      <c r="E2030" t="s">
        <v>1998</v>
      </c>
      <c r="F2030" t="s">
        <v>211</v>
      </c>
      <c r="G2030" t="s">
        <v>1999</v>
      </c>
      <c r="H2030" t="s">
        <v>2000</v>
      </c>
      <c r="I2030" t="s">
        <v>83</v>
      </c>
      <c r="J2030" s="3" t="s">
        <v>2001</v>
      </c>
      <c r="K2030" t="s">
        <v>2002</v>
      </c>
      <c r="L2030" s="4">
        <v>4</v>
      </c>
      <c r="M2030" s="4">
        <v>0</v>
      </c>
      <c r="N2030">
        <v>4</v>
      </c>
      <c r="O2030" t="s">
        <v>94</v>
      </c>
      <c r="P2030">
        <v>600</v>
      </c>
      <c r="Q2030">
        <f>QtyRemaining*EstMfgMin/60</f>
        <v>40</v>
      </c>
      <c r="U2030" t="e">
        <f t="shared" si="64"/>
        <v>#REF!</v>
      </c>
      <c r="V2030" s="5" t="e">
        <f t="shared" si="65"/>
        <v>#REF!</v>
      </c>
    </row>
    <row r="2031" spans="1:22" x14ac:dyDescent="0.25">
      <c r="A2031" s="2">
        <v>46650</v>
      </c>
      <c r="B2031" s="2">
        <v>45933</v>
      </c>
      <c r="C2031" t="s">
        <v>523</v>
      </c>
      <c r="D2031">
        <v>39</v>
      </c>
      <c r="E2031" t="s">
        <v>1998</v>
      </c>
      <c r="F2031" t="s">
        <v>211</v>
      </c>
      <c r="G2031" t="s">
        <v>1999</v>
      </c>
      <c r="H2031" t="s">
        <v>2000</v>
      </c>
      <c r="I2031" t="s">
        <v>83</v>
      </c>
      <c r="J2031" s="3" t="s">
        <v>2003</v>
      </c>
      <c r="K2031" t="s">
        <v>2004</v>
      </c>
      <c r="L2031" s="4">
        <v>4</v>
      </c>
      <c r="M2031" s="4">
        <v>0</v>
      </c>
      <c r="N2031">
        <v>4</v>
      </c>
      <c r="O2031" t="s">
        <v>457</v>
      </c>
      <c r="P2031">
        <v>240</v>
      </c>
      <c r="Q2031">
        <f>QtyRemaining*EstMfgMin/60</f>
        <v>16</v>
      </c>
      <c r="U2031" t="e">
        <f t="shared" si="64"/>
        <v>#REF!</v>
      </c>
      <c r="V2031" s="5" t="e">
        <f t="shared" si="65"/>
        <v>#REF!</v>
      </c>
    </row>
    <row r="2032" spans="1:22" x14ac:dyDescent="0.25">
      <c r="A2032" s="2">
        <v>46650</v>
      </c>
      <c r="B2032" s="2">
        <v>45933</v>
      </c>
      <c r="C2032" t="s">
        <v>523</v>
      </c>
      <c r="D2032">
        <v>39</v>
      </c>
      <c r="E2032" t="s">
        <v>1998</v>
      </c>
      <c r="F2032" t="s">
        <v>211</v>
      </c>
      <c r="G2032" t="s">
        <v>1999</v>
      </c>
      <c r="H2032" t="s">
        <v>2000</v>
      </c>
      <c r="I2032" t="s">
        <v>83</v>
      </c>
      <c r="J2032" s="3" t="s">
        <v>2005</v>
      </c>
      <c r="K2032" t="s">
        <v>2006</v>
      </c>
      <c r="L2032" s="4">
        <v>4</v>
      </c>
      <c r="M2032" s="4">
        <v>0</v>
      </c>
      <c r="N2032">
        <v>4</v>
      </c>
      <c r="O2032" t="s">
        <v>457</v>
      </c>
      <c r="P2032">
        <v>240</v>
      </c>
      <c r="Q2032">
        <f>QtyRemaining*EstMfgMin/60</f>
        <v>16</v>
      </c>
      <c r="U2032" t="e">
        <f t="shared" si="64"/>
        <v>#REF!</v>
      </c>
      <c r="V2032" s="5" t="e">
        <f t="shared" si="65"/>
        <v>#REF!</v>
      </c>
    </row>
    <row r="2033" spans="1:22" x14ac:dyDescent="0.25">
      <c r="A2033" s="2">
        <v>46660</v>
      </c>
      <c r="B2033" s="2">
        <v>45462</v>
      </c>
      <c r="C2033" t="s">
        <v>550</v>
      </c>
      <c r="D2033">
        <v>40</v>
      </c>
      <c r="E2033" t="s">
        <v>3047</v>
      </c>
      <c r="F2033" t="s">
        <v>261</v>
      </c>
      <c r="G2033" t="s">
        <v>552</v>
      </c>
      <c r="H2033" t="s">
        <v>3048</v>
      </c>
      <c r="I2033" t="s">
        <v>122</v>
      </c>
      <c r="J2033" s="3" t="s">
        <v>3049</v>
      </c>
      <c r="K2033" t="s">
        <v>2414</v>
      </c>
      <c r="L2033" s="4">
        <v>15000</v>
      </c>
      <c r="M2033" s="4">
        <v>0</v>
      </c>
      <c r="N2033">
        <v>15000</v>
      </c>
      <c r="O2033" t="s">
        <v>146</v>
      </c>
      <c r="P2033">
        <v>0</v>
      </c>
      <c r="Q2033">
        <f>QtyRemaining*EstMfgMin/60</f>
        <v>0</v>
      </c>
      <c r="U2033" t="e">
        <f t="shared" si="64"/>
        <v>#REF!</v>
      </c>
      <c r="V2033" s="5" t="e">
        <f t="shared" si="65"/>
        <v>#REF!</v>
      </c>
    </row>
    <row r="2034" spans="1:22" x14ac:dyDescent="0.25">
      <c r="A2034" s="2">
        <v>46673</v>
      </c>
      <c r="B2034" s="2">
        <v>45741</v>
      </c>
      <c r="C2034" t="s">
        <v>550</v>
      </c>
      <c r="D2034">
        <v>42</v>
      </c>
      <c r="E2034" t="s">
        <v>551</v>
      </c>
      <c r="F2034" t="s">
        <v>261</v>
      </c>
      <c r="G2034" t="s">
        <v>552</v>
      </c>
      <c r="H2034" t="s">
        <v>553</v>
      </c>
      <c r="I2034" t="s">
        <v>45</v>
      </c>
      <c r="J2034" s="3" t="s">
        <v>554</v>
      </c>
      <c r="K2034" t="s">
        <v>555</v>
      </c>
      <c r="L2034" s="4">
        <v>3</v>
      </c>
      <c r="M2034" s="4">
        <v>0</v>
      </c>
      <c r="N2034">
        <v>3</v>
      </c>
      <c r="P2034">
        <v>0</v>
      </c>
      <c r="Q2034">
        <f>QtyRemaining*EstMfgMin/60</f>
        <v>0</v>
      </c>
      <c r="U2034" t="e">
        <f t="shared" si="64"/>
        <v>#REF!</v>
      </c>
      <c r="V2034" s="5" t="e">
        <f t="shared" si="65"/>
        <v>#REF!</v>
      </c>
    </row>
    <row r="2035" spans="1:22" x14ac:dyDescent="0.25">
      <c r="A2035" s="2">
        <v>46678</v>
      </c>
      <c r="B2035" s="2">
        <v>45933</v>
      </c>
      <c r="C2035" t="s">
        <v>523</v>
      </c>
      <c r="D2035">
        <v>43</v>
      </c>
      <c r="E2035" t="s">
        <v>1998</v>
      </c>
      <c r="F2035" t="s">
        <v>211</v>
      </c>
      <c r="G2035" t="s">
        <v>1999</v>
      </c>
      <c r="H2035" t="s">
        <v>2000</v>
      </c>
      <c r="I2035" t="s">
        <v>83</v>
      </c>
      <c r="J2035" s="3" t="s">
        <v>2001</v>
      </c>
      <c r="K2035" t="s">
        <v>2002</v>
      </c>
      <c r="L2035" s="4">
        <v>4</v>
      </c>
      <c r="M2035" s="4">
        <v>0</v>
      </c>
      <c r="N2035">
        <v>4</v>
      </c>
      <c r="O2035" t="s">
        <v>94</v>
      </c>
      <c r="P2035">
        <v>600</v>
      </c>
      <c r="Q2035">
        <f>QtyRemaining*EstMfgMin/60</f>
        <v>40</v>
      </c>
      <c r="U2035" t="e">
        <f t="shared" si="64"/>
        <v>#REF!</v>
      </c>
      <c r="V2035" s="5" t="e">
        <f t="shared" si="65"/>
        <v>#REF!</v>
      </c>
    </row>
    <row r="2036" spans="1:22" x14ac:dyDescent="0.25">
      <c r="A2036" s="2">
        <v>46678</v>
      </c>
      <c r="B2036" s="2">
        <v>45933</v>
      </c>
      <c r="C2036" t="s">
        <v>523</v>
      </c>
      <c r="D2036">
        <v>43</v>
      </c>
      <c r="E2036" t="s">
        <v>1998</v>
      </c>
      <c r="F2036" t="s">
        <v>211</v>
      </c>
      <c r="G2036" t="s">
        <v>1999</v>
      </c>
      <c r="H2036" t="s">
        <v>2000</v>
      </c>
      <c r="I2036" t="s">
        <v>83</v>
      </c>
      <c r="J2036" s="3" t="s">
        <v>2003</v>
      </c>
      <c r="K2036" t="s">
        <v>2004</v>
      </c>
      <c r="L2036" s="4">
        <v>4</v>
      </c>
      <c r="M2036" s="4">
        <v>0</v>
      </c>
      <c r="N2036">
        <v>4</v>
      </c>
      <c r="O2036" t="s">
        <v>457</v>
      </c>
      <c r="P2036">
        <v>240</v>
      </c>
      <c r="Q2036">
        <f>QtyRemaining*EstMfgMin/60</f>
        <v>16</v>
      </c>
      <c r="U2036" t="e">
        <f t="shared" si="64"/>
        <v>#REF!</v>
      </c>
      <c r="V2036" s="5" t="e">
        <f t="shared" si="65"/>
        <v>#REF!</v>
      </c>
    </row>
    <row r="2037" spans="1:22" x14ac:dyDescent="0.25">
      <c r="A2037" s="2">
        <v>46678</v>
      </c>
      <c r="B2037" s="2">
        <v>45933</v>
      </c>
      <c r="C2037" t="s">
        <v>523</v>
      </c>
      <c r="D2037">
        <v>43</v>
      </c>
      <c r="E2037" t="s">
        <v>1998</v>
      </c>
      <c r="F2037" t="s">
        <v>211</v>
      </c>
      <c r="G2037" t="s">
        <v>1999</v>
      </c>
      <c r="H2037" t="s">
        <v>2000</v>
      </c>
      <c r="I2037" t="s">
        <v>83</v>
      </c>
      <c r="J2037" s="3" t="s">
        <v>2005</v>
      </c>
      <c r="K2037" t="s">
        <v>2006</v>
      </c>
      <c r="L2037" s="4">
        <v>4</v>
      </c>
      <c r="M2037" s="4">
        <v>0</v>
      </c>
      <c r="N2037">
        <v>4</v>
      </c>
      <c r="O2037" t="s">
        <v>457</v>
      </c>
      <c r="P2037">
        <v>240</v>
      </c>
      <c r="Q2037">
        <f>QtyRemaining*EstMfgMin/60</f>
        <v>16</v>
      </c>
      <c r="U2037" t="e">
        <f t="shared" si="64"/>
        <v>#REF!</v>
      </c>
      <c r="V2037" s="5" t="e">
        <f t="shared" si="65"/>
        <v>#REF!</v>
      </c>
    </row>
    <row r="2038" spans="1:22" x14ac:dyDescent="0.25">
      <c r="A2038" s="2">
        <v>46708</v>
      </c>
      <c r="B2038" s="2">
        <v>45933</v>
      </c>
      <c r="C2038" t="s">
        <v>523</v>
      </c>
      <c r="D2038">
        <v>47</v>
      </c>
      <c r="E2038" t="s">
        <v>1998</v>
      </c>
      <c r="F2038" t="s">
        <v>211</v>
      </c>
      <c r="G2038" t="s">
        <v>1999</v>
      </c>
      <c r="H2038" t="s">
        <v>2000</v>
      </c>
      <c r="I2038" t="s">
        <v>83</v>
      </c>
      <c r="J2038" s="3" t="s">
        <v>2001</v>
      </c>
      <c r="K2038" t="s">
        <v>2002</v>
      </c>
      <c r="L2038" s="4">
        <v>4</v>
      </c>
      <c r="M2038" s="4">
        <v>0</v>
      </c>
      <c r="N2038">
        <v>4</v>
      </c>
      <c r="O2038" t="s">
        <v>94</v>
      </c>
      <c r="P2038">
        <v>600</v>
      </c>
      <c r="Q2038">
        <f>QtyRemaining*EstMfgMin/60</f>
        <v>40</v>
      </c>
      <c r="U2038" t="e">
        <f t="shared" si="64"/>
        <v>#REF!</v>
      </c>
      <c r="V2038" s="5" t="e">
        <f t="shared" si="65"/>
        <v>#REF!</v>
      </c>
    </row>
    <row r="2039" spans="1:22" x14ac:dyDescent="0.25">
      <c r="A2039" s="2">
        <v>46708</v>
      </c>
      <c r="B2039" s="2">
        <v>45933</v>
      </c>
      <c r="C2039" t="s">
        <v>523</v>
      </c>
      <c r="D2039">
        <v>47</v>
      </c>
      <c r="E2039" t="s">
        <v>1998</v>
      </c>
      <c r="F2039" t="s">
        <v>211</v>
      </c>
      <c r="G2039" t="s">
        <v>1999</v>
      </c>
      <c r="H2039" t="s">
        <v>2000</v>
      </c>
      <c r="I2039" t="s">
        <v>83</v>
      </c>
      <c r="J2039" s="3" t="s">
        <v>2003</v>
      </c>
      <c r="K2039" t="s">
        <v>2004</v>
      </c>
      <c r="L2039" s="4">
        <v>4</v>
      </c>
      <c r="M2039" s="4">
        <v>0</v>
      </c>
      <c r="N2039">
        <v>4</v>
      </c>
      <c r="O2039" t="s">
        <v>457</v>
      </c>
      <c r="P2039">
        <v>240</v>
      </c>
      <c r="Q2039">
        <f>QtyRemaining*EstMfgMin/60</f>
        <v>16</v>
      </c>
      <c r="U2039" t="e">
        <f t="shared" si="64"/>
        <v>#REF!</v>
      </c>
      <c r="V2039" s="5" t="e">
        <f t="shared" si="65"/>
        <v>#REF!</v>
      </c>
    </row>
    <row r="2040" spans="1:22" x14ac:dyDescent="0.25">
      <c r="A2040" s="2">
        <v>46708</v>
      </c>
      <c r="B2040" s="2">
        <v>45933</v>
      </c>
      <c r="C2040" t="s">
        <v>523</v>
      </c>
      <c r="D2040">
        <v>47</v>
      </c>
      <c r="E2040" t="s">
        <v>1998</v>
      </c>
      <c r="F2040" t="s">
        <v>211</v>
      </c>
      <c r="G2040" t="s">
        <v>1999</v>
      </c>
      <c r="H2040" t="s">
        <v>2000</v>
      </c>
      <c r="I2040" t="s">
        <v>83</v>
      </c>
      <c r="J2040" s="3" t="s">
        <v>2005</v>
      </c>
      <c r="K2040" t="s">
        <v>2006</v>
      </c>
      <c r="L2040" s="4">
        <v>4</v>
      </c>
      <c r="M2040" s="4">
        <v>0</v>
      </c>
      <c r="N2040">
        <v>4</v>
      </c>
      <c r="O2040" t="s">
        <v>457</v>
      </c>
      <c r="P2040">
        <v>240</v>
      </c>
      <c r="Q2040">
        <f>QtyRemaining*EstMfgMin/60</f>
        <v>16</v>
      </c>
      <c r="U2040" t="e">
        <f t="shared" si="64"/>
        <v>#REF!</v>
      </c>
      <c r="V2040" s="5" t="e">
        <f t="shared" si="65"/>
        <v>#REF!</v>
      </c>
    </row>
    <row r="2041" spans="1:22" x14ac:dyDescent="0.25">
      <c r="A2041" s="2">
        <v>46721</v>
      </c>
      <c r="B2041" s="2">
        <v>45462</v>
      </c>
      <c r="C2041" t="s">
        <v>550</v>
      </c>
      <c r="D2041">
        <v>49</v>
      </c>
      <c r="E2041" t="s">
        <v>3047</v>
      </c>
      <c r="F2041" t="s">
        <v>261</v>
      </c>
      <c r="G2041" t="s">
        <v>552</v>
      </c>
      <c r="H2041" t="s">
        <v>3048</v>
      </c>
      <c r="I2041" t="s">
        <v>122</v>
      </c>
      <c r="J2041" s="3" t="s">
        <v>3049</v>
      </c>
      <c r="K2041" t="s">
        <v>2414</v>
      </c>
      <c r="L2041" s="4">
        <v>15000</v>
      </c>
      <c r="M2041" s="4">
        <v>0</v>
      </c>
      <c r="N2041">
        <v>15000</v>
      </c>
      <c r="O2041" t="s">
        <v>146</v>
      </c>
      <c r="P2041">
        <v>0</v>
      </c>
      <c r="Q2041">
        <f>QtyRemaining*EstMfgMin/60</f>
        <v>0</v>
      </c>
      <c r="U2041" t="e">
        <f t="shared" si="64"/>
        <v>#REF!</v>
      </c>
      <c r="V2041" s="5" t="e">
        <f t="shared" si="65"/>
        <v>#REF!</v>
      </c>
    </row>
    <row r="2042" spans="1:22" x14ac:dyDescent="0.25">
      <c r="A2042" s="2">
        <v>46741</v>
      </c>
      <c r="B2042" s="2">
        <v>45933</v>
      </c>
      <c r="C2042" t="s">
        <v>523</v>
      </c>
      <c r="D2042">
        <v>52</v>
      </c>
      <c r="E2042" t="s">
        <v>1998</v>
      </c>
      <c r="F2042" t="s">
        <v>211</v>
      </c>
      <c r="G2042" t="s">
        <v>1999</v>
      </c>
      <c r="H2042" t="s">
        <v>2000</v>
      </c>
      <c r="I2042" t="s">
        <v>83</v>
      </c>
      <c r="J2042" s="3" t="s">
        <v>2001</v>
      </c>
      <c r="K2042" t="s">
        <v>2002</v>
      </c>
      <c r="L2042" s="4">
        <v>4</v>
      </c>
      <c r="M2042" s="4">
        <v>0</v>
      </c>
      <c r="N2042">
        <v>4</v>
      </c>
      <c r="O2042" t="s">
        <v>94</v>
      </c>
      <c r="P2042">
        <v>600</v>
      </c>
      <c r="Q2042">
        <f>QtyRemaining*EstMfgMin/60</f>
        <v>40</v>
      </c>
      <c r="U2042" t="e">
        <f t="shared" si="64"/>
        <v>#REF!</v>
      </c>
      <c r="V2042" s="5" t="e">
        <f t="shared" si="65"/>
        <v>#REF!</v>
      </c>
    </row>
    <row r="2043" spans="1:22" x14ac:dyDescent="0.25">
      <c r="A2043" s="2">
        <v>46741</v>
      </c>
      <c r="B2043" s="2">
        <v>45933</v>
      </c>
      <c r="C2043" t="s">
        <v>523</v>
      </c>
      <c r="D2043">
        <v>52</v>
      </c>
      <c r="E2043" t="s">
        <v>1998</v>
      </c>
      <c r="F2043" t="s">
        <v>211</v>
      </c>
      <c r="G2043" t="s">
        <v>1999</v>
      </c>
      <c r="H2043" t="s">
        <v>2000</v>
      </c>
      <c r="I2043" t="s">
        <v>83</v>
      </c>
      <c r="J2043" s="3" t="s">
        <v>2003</v>
      </c>
      <c r="K2043" t="s">
        <v>2004</v>
      </c>
      <c r="L2043" s="4">
        <v>4</v>
      </c>
      <c r="M2043" s="4">
        <v>0</v>
      </c>
      <c r="N2043">
        <v>4</v>
      </c>
      <c r="O2043" t="s">
        <v>457</v>
      </c>
      <c r="P2043">
        <v>240</v>
      </c>
      <c r="Q2043">
        <f>QtyRemaining*EstMfgMin/60</f>
        <v>16</v>
      </c>
      <c r="U2043" t="e">
        <f t="shared" si="64"/>
        <v>#REF!</v>
      </c>
      <c r="V2043" s="5" t="e">
        <f t="shared" si="65"/>
        <v>#REF!</v>
      </c>
    </row>
    <row r="2044" spans="1:22" x14ac:dyDescent="0.25">
      <c r="A2044" s="2">
        <v>46741</v>
      </c>
      <c r="B2044" s="2">
        <v>45933</v>
      </c>
      <c r="C2044" t="s">
        <v>523</v>
      </c>
      <c r="D2044">
        <v>52</v>
      </c>
      <c r="E2044" t="s">
        <v>1998</v>
      </c>
      <c r="F2044" t="s">
        <v>211</v>
      </c>
      <c r="G2044" t="s">
        <v>1999</v>
      </c>
      <c r="H2044" t="s">
        <v>2000</v>
      </c>
      <c r="I2044" t="s">
        <v>83</v>
      </c>
      <c r="J2044" s="3" t="s">
        <v>2005</v>
      </c>
      <c r="K2044" t="s">
        <v>2006</v>
      </c>
      <c r="L2044" s="4">
        <v>4</v>
      </c>
      <c r="M2044" s="4">
        <v>0</v>
      </c>
      <c r="N2044">
        <v>4</v>
      </c>
      <c r="O2044" t="s">
        <v>457</v>
      </c>
      <c r="P2044">
        <v>240</v>
      </c>
      <c r="Q2044">
        <f>QtyRemaining*EstMfgMin/60</f>
        <v>16</v>
      </c>
      <c r="U2044" t="e">
        <f t="shared" si="64"/>
        <v>#REF!</v>
      </c>
      <c r="V2044" s="5" t="e">
        <f t="shared" si="65"/>
        <v>#REF!</v>
      </c>
    </row>
    <row r="2045" spans="1:22" x14ac:dyDescent="0.25">
      <c r="A2045" s="2">
        <v>46770</v>
      </c>
      <c r="B2045" s="2">
        <v>45933</v>
      </c>
      <c r="C2045" t="s">
        <v>523</v>
      </c>
      <c r="D2045">
        <v>4</v>
      </c>
      <c r="E2045" t="s">
        <v>1998</v>
      </c>
      <c r="F2045" t="s">
        <v>211</v>
      </c>
      <c r="G2045" t="s">
        <v>1999</v>
      </c>
      <c r="H2045" t="s">
        <v>2000</v>
      </c>
      <c r="I2045" t="s">
        <v>83</v>
      </c>
      <c r="J2045" s="3" t="s">
        <v>2001</v>
      </c>
      <c r="K2045" t="s">
        <v>2002</v>
      </c>
      <c r="L2045" s="4">
        <v>4</v>
      </c>
      <c r="M2045" s="4">
        <v>0</v>
      </c>
      <c r="N2045">
        <v>4</v>
      </c>
      <c r="O2045" t="s">
        <v>94</v>
      </c>
      <c r="P2045">
        <v>600</v>
      </c>
      <c r="Q2045">
        <f>QtyRemaining*EstMfgMin/60</f>
        <v>40</v>
      </c>
      <c r="U2045" t="e">
        <f t="shared" si="64"/>
        <v>#REF!</v>
      </c>
      <c r="V2045" s="5" t="e">
        <f t="shared" si="65"/>
        <v>#REF!</v>
      </c>
    </row>
    <row r="2046" spans="1:22" x14ac:dyDescent="0.25">
      <c r="A2046" s="2">
        <v>46770</v>
      </c>
      <c r="B2046" s="2">
        <v>45933</v>
      </c>
      <c r="C2046" t="s">
        <v>523</v>
      </c>
      <c r="D2046">
        <v>4</v>
      </c>
      <c r="E2046" t="s">
        <v>1998</v>
      </c>
      <c r="F2046" t="s">
        <v>211</v>
      </c>
      <c r="G2046" t="s">
        <v>1999</v>
      </c>
      <c r="H2046" t="s">
        <v>2000</v>
      </c>
      <c r="I2046" t="s">
        <v>83</v>
      </c>
      <c r="J2046" s="3" t="s">
        <v>2003</v>
      </c>
      <c r="K2046" t="s">
        <v>2004</v>
      </c>
      <c r="L2046" s="4">
        <v>4</v>
      </c>
      <c r="M2046" s="4">
        <v>0</v>
      </c>
      <c r="N2046">
        <v>4</v>
      </c>
      <c r="O2046" t="s">
        <v>457</v>
      </c>
      <c r="P2046">
        <v>240</v>
      </c>
      <c r="Q2046">
        <f>QtyRemaining*EstMfgMin/60</f>
        <v>16</v>
      </c>
      <c r="U2046" t="e">
        <f t="shared" si="64"/>
        <v>#REF!</v>
      </c>
      <c r="V2046" s="5" t="e">
        <f t="shared" si="65"/>
        <v>#REF!</v>
      </c>
    </row>
    <row r="2047" spans="1:22" x14ac:dyDescent="0.25">
      <c r="A2047" s="2">
        <v>46770</v>
      </c>
      <c r="B2047" s="2">
        <v>45933</v>
      </c>
      <c r="C2047" t="s">
        <v>523</v>
      </c>
      <c r="D2047">
        <v>4</v>
      </c>
      <c r="E2047" t="s">
        <v>1998</v>
      </c>
      <c r="F2047" t="s">
        <v>211</v>
      </c>
      <c r="G2047" t="s">
        <v>1999</v>
      </c>
      <c r="H2047" t="s">
        <v>2000</v>
      </c>
      <c r="I2047" t="s">
        <v>83</v>
      </c>
      <c r="J2047" s="3" t="s">
        <v>2005</v>
      </c>
      <c r="K2047" t="s">
        <v>2006</v>
      </c>
      <c r="L2047" s="4">
        <v>4</v>
      </c>
      <c r="M2047" s="4">
        <v>0</v>
      </c>
      <c r="N2047">
        <v>4</v>
      </c>
      <c r="O2047" t="s">
        <v>457</v>
      </c>
      <c r="P2047">
        <v>240</v>
      </c>
      <c r="Q2047">
        <f>QtyRemaining*EstMfgMin/60</f>
        <v>16</v>
      </c>
      <c r="U2047" t="e">
        <f t="shared" si="64"/>
        <v>#REF!</v>
      </c>
      <c r="V2047" s="5" t="e">
        <f t="shared" si="65"/>
        <v>#REF!</v>
      </c>
    </row>
    <row r="2048" spans="1:22" x14ac:dyDescent="0.25">
      <c r="A2048" s="2">
        <v>46799</v>
      </c>
      <c r="B2048" s="2">
        <v>45933</v>
      </c>
      <c r="C2048" t="s">
        <v>523</v>
      </c>
      <c r="D2048">
        <v>8</v>
      </c>
      <c r="E2048" t="s">
        <v>1998</v>
      </c>
      <c r="F2048" t="s">
        <v>211</v>
      </c>
      <c r="G2048" t="s">
        <v>1999</v>
      </c>
      <c r="H2048" t="s">
        <v>2000</v>
      </c>
      <c r="I2048" t="s">
        <v>83</v>
      </c>
      <c r="J2048" s="3" t="s">
        <v>2001</v>
      </c>
      <c r="K2048" t="s">
        <v>2002</v>
      </c>
      <c r="L2048" s="4">
        <v>4</v>
      </c>
      <c r="M2048" s="4">
        <v>0</v>
      </c>
      <c r="N2048">
        <v>4</v>
      </c>
      <c r="O2048" t="s">
        <v>94</v>
      </c>
      <c r="P2048">
        <v>600</v>
      </c>
      <c r="Q2048">
        <f>QtyRemaining*EstMfgMin/60</f>
        <v>40</v>
      </c>
      <c r="U2048" t="e">
        <f t="shared" si="64"/>
        <v>#REF!</v>
      </c>
      <c r="V2048" s="5" t="e">
        <f t="shared" si="65"/>
        <v>#REF!</v>
      </c>
    </row>
    <row r="2049" spans="1:22" x14ac:dyDescent="0.25">
      <c r="A2049" s="2">
        <v>46799</v>
      </c>
      <c r="B2049" s="2">
        <v>45933</v>
      </c>
      <c r="C2049" t="s">
        <v>523</v>
      </c>
      <c r="D2049">
        <v>8</v>
      </c>
      <c r="E2049" t="s">
        <v>1998</v>
      </c>
      <c r="F2049" t="s">
        <v>211</v>
      </c>
      <c r="G2049" t="s">
        <v>1999</v>
      </c>
      <c r="H2049" t="s">
        <v>2000</v>
      </c>
      <c r="I2049" t="s">
        <v>83</v>
      </c>
      <c r="J2049" s="3" t="s">
        <v>2003</v>
      </c>
      <c r="K2049" t="s">
        <v>2004</v>
      </c>
      <c r="L2049" s="4">
        <v>4</v>
      </c>
      <c r="M2049" s="4">
        <v>0</v>
      </c>
      <c r="N2049">
        <v>4</v>
      </c>
      <c r="O2049" t="s">
        <v>457</v>
      </c>
      <c r="P2049">
        <v>240</v>
      </c>
      <c r="Q2049">
        <f>QtyRemaining*EstMfgMin/60</f>
        <v>16</v>
      </c>
      <c r="U2049" t="e">
        <f t="shared" si="64"/>
        <v>#REF!</v>
      </c>
      <c r="V2049" s="5" t="e">
        <f t="shared" si="65"/>
        <v>#REF!</v>
      </c>
    </row>
    <row r="2050" spans="1:22" x14ac:dyDescent="0.25">
      <c r="A2050" s="2">
        <v>46799</v>
      </c>
      <c r="B2050" s="2">
        <v>45933</v>
      </c>
      <c r="C2050" t="s">
        <v>523</v>
      </c>
      <c r="D2050">
        <v>8</v>
      </c>
      <c r="E2050" t="s">
        <v>1998</v>
      </c>
      <c r="F2050" t="s">
        <v>211</v>
      </c>
      <c r="G2050" t="s">
        <v>1999</v>
      </c>
      <c r="H2050" t="s">
        <v>2000</v>
      </c>
      <c r="I2050" t="s">
        <v>83</v>
      </c>
      <c r="J2050" s="3" t="s">
        <v>2005</v>
      </c>
      <c r="K2050" t="s">
        <v>2006</v>
      </c>
      <c r="L2050" s="4">
        <v>4</v>
      </c>
      <c r="M2050" s="4">
        <v>0</v>
      </c>
      <c r="N2050">
        <v>4</v>
      </c>
      <c r="O2050" t="s">
        <v>457</v>
      </c>
      <c r="P2050">
        <v>240</v>
      </c>
      <c r="Q2050">
        <f>QtyRemaining*EstMfgMin/60</f>
        <v>16</v>
      </c>
      <c r="U2050" t="e">
        <f t="shared" si="64"/>
        <v>#REF!</v>
      </c>
      <c r="V2050" s="5" t="e">
        <f t="shared" si="65"/>
        <v>#REF!</v>
      </c>
    </row>
    <row r="2051" spans="1:22" x14ac:dyDescent="0.25">
      <c r="A2051" s="2">
        <v>46832</v>
      </c>
      <c r="B2051" s="2">
        <v>45933</v>
      </c>
      <c r="C2051" t="s">
        <v>523</v>
      </c>
      <c r="D2051">
        <v>13</v>
      </c>
      <c r="E2051" t="s">
        <v>1998</v>
      </c>
      <c r="F2051" t="s">
        <v>211</v>
      </c>
      <c r="G2051" t="s">
        <v>1999</v>
      </c>
      <c r="H2051" t="s">
        <v>2000</v>
      </c>
      <c r="I2051" t="s">
        <v>83</v>
      </c>
      <c r="J2051" s="3" t="s">
        <v>2001</v>
      </c>
      <c r="K2051" t="s">
        <v>2002</v>
      </c>
      <c r="L2051" s="4">
        <v>4</v>
      </c>
      <c r="M2051" s="4">
        <v>0</v>
      </c>
      <c r="N2051">
        <v>4</v>
      </c>
      <c r="O2051" t="s">
        <v>94</v>
      </c>
      <c r="P2051">
        <v>600</v>
      </c>
      <c r="Q2051">
        <f>QtyRemaining*EstMfgMin/60</f>
        <v>40</v>
      </c>
      <c r="U2051" t="e">
        <f t="shared" ref="U2051:U2056" si="66">VLOOKUP(A2051,Calendar,13,FALSE)</f>
        <v>#REF!</v>
      </c>
      <c r="V2051" s="5" t="e">
        <f t="shared" ref="V2051:V2056" si="67">VLOOKUP(A2051,Calendar,14,FALSE)</f>
        <v>#REF!</v>
      </c>
    </row>
    <row r="2052" spans="1:22" x14ac:dyDescent="0.25">
      <c r="A2052" s="2">
        <v>46832</v>
      </c>
      <c r="B2052" s="2">
        <v>45933</v>
      </c>
      <c r="C2052" t="s">
        <v>523</v>
      </c>
      <c r="D2052">
        <v>13</v>
      </c>
      <c r="E2052" t="s">
        <v>1998</v>
      </c>
      <c r="F2052" t="s">
        <v>211</v>
      </c>
      <c r="G2052" t="s">
        <v>1999</v>
      </c>
      <c r="H2052" t="s">
        <v>2000</v>
      </c>
      <c r="I2052" t="s">
        <v>83</v>
      </c>
      <c r="J2052" s="3" t="s">
        <v>2003</v>
      </c>
      <c r="K2052" t="s">
        <v>2004</v>
      </c>
      <c r="L2052" s="4">
        <v>4</v>
      </c>
      <c r="M2052" s="4">
        <v>0</v>
      </c>
      <c r="N2052">
        <v>4</v>
      </c>
      <c r="O2052" t="s">
        <v>457</v>
      </c>
      <c r="P2052">
        <v>240</v>
      </c>
      <c r="Q2052">
        <f>QtyRemaining*EstMfgMin/60</f>
        <v>16</v>
      </c>
      <c r="U2052" t="e">
        <f t="shared" si="66"/>
        <v>#REF!</v>
      </c>
      <c r="V2052" s="5" t="e">
        <f t="shared" si="67"/>
        <v>#REF!</v>
      </c>
    </row>
    <row r="2053" spans="1:22" x14ac:dyDescent="0.25">
      <c r="A2053" s="2">
        <v>46832</v>
      </c>
      <c r="B2053" s="2">
        <v>45933</v>
      </c>
      <c r="C2053" t="s">
        <v>523</v>
      </c>
      <c r="D2053">
        <v>13</v>
      </c>
      <c r="E2053" t="s">
        <v>1998</v>
      </c>
      <c r="F2053" t="s">
        <v>211</v>
      </c>
      <c r="G2053" t="s">
        <v>1999</v>
      </c>
      <c r="H2053" t="s">
        <v>2000</v>
      </c>
      <c r="I2053" t="s">
        <v>83</v>
      </c>
      <c r="J2053" s="3" t="s">
        <v>2005</v>
      </c>
      <c r="K2053" t="s">
        <v>2006</v>
      </c>
      <c r="L2053" s="4">
        <v>4</v>
      </c>
      <c r="M2053" s="4">
        <v>0</v>
      </c>
      <c r="N2053">
        <v>4</v>
      </c>
      <c r="O2053" t="s">
        <v>457</v>
      </c>
      <c r="P2053">
        <v>240</v>
      </c>
      <c r="Q2053">
        <f>QtyRemaining*EstMfgMin/60</f>
        <v>16</v>
      </c>
      <c r="U2053" t="e">
        <f t="shared" si="66"/>
        <v>#REF!</v>
      </c>
      <c r="V2053" s="5" t="e">
        <f t="shared" si="67"/>
        <v>#REF!</v>
      </c>
    </row>
    <row r="2054" spans="1:22" x14ac:dyDescent="0.25">
      <c r="A2054" s="2">
        <v>46860</v>
      </c>
      <c r="B2054" s="2">
        <v>45933</v>
      </c>
      <c r="C2054" t="s">
        <v>523</v>
      </c>
      <c r="D2054">
        <v>17</v>
      </c>
      <c r="E2054" t="s">
        <v>1998</v>
      </c>
      <c r="F2054" t="s">
        <v>211</v>
      </c>
      <c r="G2054" t="s">
        <v>1999</v>
      </c>
      <c r="H2054" t="s">
        <v>2000</v>
      </c>
      <c r="I2054" t="s">
        <v>83</v>
      </c>
      <c r="J2054" s="3" t="s">
        <v>2001</v>
      </c>
      <c r="K2054" t="s">
        <v>2002</v>
      </c>
      <c r="L2054" s="4">
        <v>3</v>
      </c>
      <c r="M2054" s="4">
        <v>0</v>
      </c>
      <c r="N2054">
        <v>3</v>
      </c>
      <c r="O2054" t="s">
        <v>94</v>
      </c>
      <c r="P2054">
        <v>600</v>
      </c>
      <c r="Q2054">
        <f>QtyRemaining*EstMfgMin/60</f>
        <v>30</v>
      </c>
      <c r="U2054" t="e">
        <f t="shared" si="66"/>
        <v>#REF!</v>
      </c>
      <c r="V2054" s="5" t="e">
        <f t="shared" si="67"/>
        <v>#REF!</v>
      </c>
    </row>
    <row r="2055" spans="1:22" x14ac:dyDescent="0.25">
      <c r="A2055" s="2">
        <v>46860</v>
      </c>
      <c r="B2055" s="2">
        <v>45933</v>
      </c>
      <c r="C2055" t="s">
        <v>523</v>
      </c>
      <c r="D2055">
        <v>17</v>
      </c>
      <c r="E2055" t="s">
        <v>1998</v>
      </c>
      <c r="F2055" t="s">
        <v>211</v>
      </c>
      <c r="G2055" t="s">
        <v>1999</v>
      </c>
      <c r="H2055" t="s">
        <v>2000</v>
      </c>
      <c r="I2055" t="s">
        <v>83</v>
      </c>
      <c r="J2055" s="3" t="s">
        <v>2003</v>
      </c>
      <c r="K2055" t="s">
        <v>2004</v>
      </c>
      <c r="L2055" s="4">
        <v>3</v>
      </c>
      <c r="M2055" s="4">
        <v>0</v>
      </c>
      <c r="N2055">
        <v>3</v>
      </c>
      <c r="O2055" t="s">
        <v>457</v>
      </c>
      <c r="P2055">
        <v>240</v>
      </c>
      <c r="Q2055">
        <f>QtyRemaining*EstMfgMin/60</f>
        <v>12</v>
      </c>
      <c r="U2055" t="e">
        <f t="shared" si="66"/>
        <v>#REF!</v>
      </c>
      <c r="V2055" s="5" t="e">
        <f t="shared" si="67"/>
        <v>#REF!</v>
      </c>
    </row>
    <row r="2056" spans="1:22" x14ac:dyDescent="0.25">
      <c r="A2056" s="2">
        <v>46860</v>
      </c>
      <c r="B2056" s="2">
        <v>45933</v>
      </c>
      <c r="C2056" t="s">
        <v>523</v>
      </c>
      <c r="D2056">
        <v>17</v>
      </c>
      <c r="E2056" t="s">
        <v>1998</v>
      </c>
      <c r="F2056" t="s">
        <v>211</v>
      </c>
      <c r="G2056" t="s">
        <v>1999</v>
      </c>
      <c r="H2056" t="s">
        <v>2000</v>
      </c>
      <c r="I2056" t="s">
        <v>83</v>
      </c>
      <c r="J2056" s="3" t="s">
        <v>2005</v>
      </c>
      <c r="K2056" t="s">
        <v>2006</v>
      </c>
      <c r="L2056" s="4">
        <v>3</v>
      </c>
      <c r="M2056" s="4">
        <v>0</v>
      </c>
      <c r="N2056">
        <v>3</v>
      </c>
      <c r="O2056" t="s">
        <v>457</v>
      </c>
      <c r="P2056">
        <v>240</v>
      </c>
      <c r="Q2056">
        <f>QtyRemaining*EstMfgMin/60</f>
        <v>12</v>
      </c>
      <c r="U2056" t="e">
        <f t="shared" si="66"/>
        <v>#REF!</v>
      </c>
      <c r="V2056" s="5" t="e">
        <f t="shared" si="67"/>
        <v>#REF!</v>
      </c>
    </row>
    <row r="2057" spans="1:22" x14ac:dyDescent="0.25">
      <c r="A2057" s="2"/>
      <c r="B2057" s="2"/>
      <c r="U2057" t="e">
        <f t="shared" ref="U2051:U2079" si="68">VLOOKUP(A2057,Calendar,13,FALSE)</f>
        <v>#REF!</v>
      </c>
      <c r="V2057" s="5" t="e">
        <f t="shared" ref="V2051:V2079" si="69">VLOOKUP(A2057,Calendar,14,FALSE)</f>
        <v>#REF!</v>
      </c>
    </row>
    <row r="2058" spans="1:22" x14ac:dyDescent="0.25">
      <c r="A2058" s="2"/>
      <c r="B2058" s="2"/>
      <c r="U2058" t="e">
        <f t="shared" si="68"/>
        <v>#REF!</v>
      </c>
      <c r="V2058" s="5" t="e">
        <f t="shared" si="69"/>
        <v>#REF!</v>
      </c>
    </row>
    <row r="2059" spans="1:22" x14ac:dyDescent="0.25">
      <c r="A2059" s="2"/>
      <c r="B2059" s="2"/>
      <c r="U2059" t="e">
        <f t="shared" si="68"/>
        <v>#REF!</v>
      </c>
      <c r="V2059" s="5" t="e">
        <f t="shared" si="69"/>
        <v>#REF!</v>
      </c>
    </row>
    <row r="2060" spans="1:22" x14ac:dyDescent="0.25">
      <c r="A2060" s="2"/>
      <c r="B2060" s="2"/>
      <c r="U2060" t="e">
        <f t="shared" si="68"/>
        <v>#REF!</v>
      </c>
      <c r="V2060" s="5" t="e">
        <f t="shared" si="69"/>
        <v>#REF!</v>
      </c>
    </row>
    <row r="2061" spans="1:22" x14ac:dyDescent="0.25">
      <c r="A2061" s="2"/>
      <c r="B2061" s="2"/>
      <c r="U2061" t="e">
        <f t="shared" si="68"/>
        <v>#REF!</v>
      </c>
      <c r="V2061" s="5" t="e">
        <f t="shared" si="69"/>
        <v>#REF!</v>
      </c>
    </row>
    <row r="2062" spans="1:22" x14ac:dyDescent="0.25">
      <c r="A2062" s="2"/>
      <c r="B2062" s="2"/>
      <c r="U2062" t="e">
        <f t="shared" si="68"/>
        <v>#REF!</v>
      </c>
      <c r="V2062" s="5" t="e">
        <f t="shared" si="69"/>
        <v>#REF!</v>
      </c>
    </row>
    <row r="2063" spans="1:22" x14ac:dyDescent="0.25">
      <c r="A2063" s="2"/>
      <c r="B2063" s="2"/>
      <c r="U2063" t="e">
        <f t="shared" si="68"/>
        <v>#REF!</v>
      </c>
      <c r="V2063" s="5" t="e">
        <f t="shared" si="69"/>
        <v>#REF!</v>
      </c>
    </row>
    <row r="2064" spans="1:22" x14ac:dyDescent="0.25">
      <c r="A2064" s="2"/>
      <c r="B2064" s="2"/>
      <c r="U2064" t="e">
        <f t="shared" si="68"/>
        <v>#REF!</v>
      </c>
      <c r="V2064" s="5" t="e">
        <f t="shared" si="69"/>
        <v>#REF!</v>
      </c>
    </row>
    <row r="2065" spans="1:22" x14ac:dyDescent="0.25">
      <c r="A2065" s="2"/>
      <c r="B2065" s="2"/>
      <c r="U2065" t="e">
        <f t="shared" si="68"/>
        <v>#REF!</v>
      </c>
      <c r="V2065" s="5" t="e">
        <f t="shared" si="69"/>
        <v>#REF!</v>
      </c>
    </row>
    <row r="2066" spans="1:22" x14ac:dyDescent="0.25">
      <c r="A2066" s="2"/>
      <c r="B2066" s="2"/>
      <c r="U2066" t="e">
        <f t="shared" si="68"/>
        <v>#REF!</v>
      </c>
      <c r="V2066" s="5" t="e">
        <f t="shared" si="69"/>
        <v>#REF!</v>
      </c>
    </row>
    <row r="2067" spans="1:22" x14ac:dyDescent="0.25">
      <c r="A2067" s="2"/>
      <c r="B2067" s="2"/>
      <c r="U2067" t="e">
        <f t="shared" si="68"/>
        <v>#REF!</v>
      </c>
      <c r="V2067" s="5" t="e">
        <f t="shared" si="69"/>
        <v>#REF!</v>
      </c>
    </row>
    <row r="2068" spans="1:22" x14ac:dyDescent="0.25">
      <c r="A2068" s="2"/>
      <c r="B2068" s="2"/>
      <c r="U2068" t="e">
        <f t="shared" si="68"/>
        <v>#REF!</v>
      </c>
      <c r="V2068" s="5" t="e">
        <f t="shared" si="69"/>
        <v>#REF!</v>
      </c>
    </row>
    <row r="2069" spans="1:22" x14ac:dyDescent="0.25">
      <c r="A2069" s="2"/>
      <c r="B2069" s="2"/>
      <c r="U2069" t="e">
        <f t="shared" si="68"/>
        <v>#REF!</v>
      </c>
      <c r="V2069" s="5" t="e">
        <f t="shared" si="69"/>
        <v>#REF!</v>
      </c>
    </row>
    <row r="2070" spans="1:22" x14ac:dyDescent="0.25">
      <c r="A2070" s="2"/>
      <c r="B2070" s="2"/>
      <c r="U2070" t="e">
        <f t="shared" si="68"/>
        <v>#REF!</v>
      </c>
      <c r="V2070" s="5" t="e">
        <f t="shared" si="69"/>
        <v>#REF!</v>
      </c>
    </row>
    <row r="2071" spans="1:22" x14ac:dyDescent="0.25">
      <c r="A2071" s="2"/>
      <c r="B2071" s="2"/>
      <c r="U2071" t="e">
        <f t="shared" si="68"/>
        <v>#REF!</v>
      </c>
      <c r="V2071" s="5" t="e">
        <f t="shared" si="69"/>
        <v>#REF!</v>
      </c>
    </row>
    <row r="2072" spans="1:22" x14ac:dyDescent="0.25">
      <c r="A2072" s="2"/>
      <c r="B2072" s="2"/>
      <c r="U2072" t="e">
        <f t="shared" si="68"/>
        <v>#REF!</v>
      </c>
      <c r="V2072" s="5" t="e">
        <f t="shared" si="69"/>
        <v>#REF!</v>
      </c>
    </row>
    <row r="2073" spans="1:22" x14ac:dyDescent="0.25">
      <c r="A2073" s="2"/>
      <c r="B2073" s="2"/>
      <c r="U2073" t="e">
        <f t="shared" si="68"/>
        <v>#REF!</v>
      </c>
      <c r="V2073" s="5" t="e">
        <f t="shared" si="69"/>
        <v>#REF!</v>
      </c>
    </row>
    <row r="2074" spans="1:22" x14ac:dyDescent="0.25">
      <c r="A2074" s="2"/>
      <c r="B2074" s="2"/>
      <c r="U2074" t="e">
        <f t="shared" si="68"/>
        <v>#REF!</v>
      </c>
      <c r="V2074" s="5" t="e">
        <f t="shared" si="69"/>
        <v>#REF!</v>
      </c>
    </row>
    <row r="2075" spans="1:22" x14ac:dyDescent="0.25">
      <c r="A2075" s="2"/>
      <c r="B2075" s="2"/>
      <c r="U2075" t="e">
        <f t="shared" si="68"/>
        <v>#REF!</v>
      </c>
      <c r="V2075" s="5" t="e">
        <f t="shared" si="69"/>
        <v>#REF!</v>
      </c>
    </row>
    <row r="2076" spans="1:22" x14ac:dyDescent="0.25">
      <c r="A2076" s="2"/>
      <c r="B2076" s="2"/>
      <c r="U2076" t="e">
        <f t="shared" si="68"/>
        <v>#REF!</v>
      </c>
      <c r="V2076" s="5" t="e">
        <f t="shared" si="69"/>
        <v>#REF!</v>
      </c>
    </row>
    <row r="2077" spans="1:22" x14ac:dyDescent="0.25">
      <c r="A2077" s="2"/>
      <c r="B2077" s="2"/>
      <c r="U2077" t="e">
        <f t="shared" si="68"/>
        <v>#REF!</v>
      </c>
      <c r="V2077" s="5" t="e">
        <f t="shared" si="69"/>
        <v>#REF!</v>
      </c>
    </row>
    <row r="2078" spans="1:22" x14ac:dyDescent="0.25">
      <c r="A2078" s="2"/>
      <c r="B2078" s="2"/>
      <c r="U2078" t="e">
        <f t="shared" si="68"/>
        <v>#REF!</v>
      </c>
      <c r="V2078" s="5" t="e">
        <f t="shared" si="69"/>
        <v>#REF!</v>
      </c>
    </row>
    <row r="2079" spans="1:22" x14ac:dyDescent="0.25">
      <c r="A2079" s="2"/>
      <c r="B2079" s="2"/>
      <c r="U2079" t="e">
        <f t="shared" si="68"/>
        <v>#REF!</v>
      </c>
      <c r="V2079" s="5" t="e">
        <f t="shared" si="69"/>
        <v>#REF!</v>
      </c>
    </row>
  </sheetData>
  <sortState xmlns:xlrd2="http://schemas.microsoft.com/office/spreadsheetml/2017/richdata2" ref="A2:S4">
    <sortCondition ref="E2:E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G11"/>
  <sheetViews>
    <sheetView workbookViewId="0">
      <selection activeCell="E20" sqref="E20"/>
    </sheetView>
  </sheetViews>
  <sheetFormatPr defaultRowHeight="15" x14ac:dyDescent="0.25"/>
  <sheetData>
    <row r="1" spans="2:7" x14ac:dyDescent="0.25">
      <c r="B1" t="s">
        <v>0</v>
      </c>
      <c r="F1" t="s">
        <v>1</v>
      </c>
    </row>
    <row r="2" spans="2:7" x14ac:dyDescent="0.25">
      <c r="B2" t="s">
        <v>24</v>
      </c>
      <c r="C2" t="s">
        <v>25</v>
      </c>
      <c r="D2" s="1">
        <v>46052.418298611112</v>
      </c>
      <c r="F2" t="s">
        <v>26</v>
      </c>
      <c r="G2" t="s">
        <v>27</v>
      </c>
    </row>
    <row r="3" spans="2:7" x14ac:dyDescent="0.25">
      <c r="F3" t="s">
        <v>28</v>
      </c>
      <c r="G3">
        <v>455</v>
      </c>
    </row>
    <row r="4" spans="2:7" x14ac:dyDescent="0.25">
      <c r="F4" t="s">
        <v>29</v>
      </c>
      <c r="G4" t="s">
        <v>30</v>
      </c>
    </row>
    <row r="5" spans="2:7" x14ac:dyDescent="0.25">
      <c r="F5" t="s">
        <v>31</v>
      </c>
      <c r="G5" t="s">
        <v>32</v>
      </c>
    </row>
    <row r="6" spans="2:7" x14ac:dyDescent="0.25">
      <c r="F6" t="s">
        <v>33</v>
      </c>
      <c r="G6">
        <v>0</v>
      </c>
    </row>
    <row r="7" spans="2:7" x14ac:dyDescent="0.25">
      <c r="F7" t="s">
        <v>34</v>
      </c>
      <c r="G7" t="s">
        <v>35</v>
      </c>
    </row>
    <row r="8" spans="2:7" x14ac:dyDescent="0.25">
      <c r="F8" t="s">
        <v>36</v>
      </c>
    </row>
    <row r="9" spans="2:7" x14ac:dyDescent="0.25">
      <c r="F9" t="s">
        <v>37</v>
      </c>
    </row>
    <row r="10" spans="2:7" x14ac:dyDescent="0.25">
      <c r="F10" t="s">
        <v>38</v>
      </c>
    </row>
    <row r="11" spans="2:7" x14ac:dyDescent="0.25">
      <c r="F1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51F07E-C320-4142-8237-5DB2DF48FC19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33</vt:i4>
      </vt:variant>
    </vt:vector>
  </HeadingPairs>
  <TitlesOfParts>
    <vt:vector size="36" baseType="lpstr">
      <vt:lpstr>data</vt:lpstr>
      <vt:lpstr>Param</vt:lpstr>
      <vt:lpstr>Sheet3</vt:lpstr>
      <vt:lpstr>data!ARDivisionNo</vt:lpstr>
      <vt:lpstr>data!BillToName</vt:lpstr>
      <vt:lpstr>data!CustomerPONo</vt:lpstr>
      <vt:lpstr>data!Department</vt:lpstr>
      <vt:lpstr>data!EstMfgMin</vt:lpstr>
      <vt:lpstr>data!Item_Status</vt:lpstr>
      <vt:lpstr>data!ItemCode</vt:lpstr>
      <vt:lpstr>data!ItemCodeDesc</vt:lpstr>
      <vt:lpstr>data!OrderDate</vt:lpstr>
      <vt:lpstr>Param!PARAM_DATA_CATALOG</vt:lpstr>
      <vt:lpstr>Param!PARAM_EXE_PATH</vt:lpstr>
      <vt:lpstr>Param!PARAM_INSTANCE_ID</vt:lpstr>
      <vt:lpstr>Param!PARAM_INSTANCE_NAME</vt:lpstr>
      <vt:lpstr>Param!PARAM_REPORT_ID</vt:lpstr>
      <vt:lpstr>Param!PARAM_REPORT_NAME</vt:lpstr>
      <vt:lpstr>Param!PARAM_RUN_ON</vt:lpstr>
      <vt:lpstr>data!Prod_Status</vt:lpstr>
      <vt:lpstr>data!PromiseDate</vt:lpstr>
      <vt:lpstr>data!QtyRemaining</vt:lpstr>
      <vt:lpstr>data!QuantityOrdered</vt:lpstr>
      <vt:lpstr>data!QuantityShipped</vt:lpstr>
      <vt:lpstr>data!QV_Notes</vt:lpstr>
      <vt:lpstr>data!RawData</vt:lpstr>
      <vt:lpstr>data!RawDataCols</vt:lpstr>
      <vt:lpstr>Param!REP_REPORT_CODE</vt:lpstr>
      <vt:lpstr>Param!REP_SYSTEM_CODE</vt:lpstr>
      <vt:lpstr>Param!REP_SYSTEM_MODULE</vt:lpstr>
      <vt:lpstr>Param!ROW_MASK_FILTER</vt:lpstr>
      <vt:lpstr>data!SalesOrderNo</vt:lpstr>
      <vt:lpstr>data!SalespersonNo</vt:lpstr>
      <vt:lpstr>data!Total_Mfg_Hrs</vt:lpstr>
      <vt:lpstr>data!UDF_REV</vt:lpstr>
      <vt:lpstr>data!Week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Open Order All Qty Only_20260130_10_02_14_022.xls</dc:title>
  <dc:creator>Sage 100 ERP Intelligence Reporting</dc:creator>
  <dc:description>Report Parameters_x000d_
</dc:description>
  <cp:lastModifiedBy>Local Admin</cp:lastModifiedBy>
  <dcterms:created xsi:type="dcterms:W3CDTF">2017-04-02T15:42:51Z</dcterms:created>
  <dcterms:modified xsi:type="dcterms:W3CDTF">2026-01-30T15:02:32Z</dcterms:modified>
</cp:coreProperties>
</file>